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Event Config" sheetId="1" state="visible" r:id="rId1"/>
    <sheet xmlns:r="http://schemas.openxmlformats.org/officeDocument/2006/relationships" name="Bet Range" sheetId="2" state="visible" r:id="rId2"/>
    <sheet xmlns:r="http://schemas.openxmlformats.org/officeDocument/2006/relationships" name="Sheet5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(* #,##0_);_(* \(#,##0\);_(* &quot;-&quot;??_);_(@_)"/>
    <numFmt numFmtId="165" formatCode="_-* #,##0_-;\-* #,##0_-;_-* &quot;-&quot;_-;_-@_-"/>
    <numFmt numFmtId="166" formatCode="_-* #,##0_-;\-* #,##0_-;_-* &quot;-&quot;??_-;_-@_-"/>
    <numFmt numFmtId="167" formatCode="0.0"/>
  </numFmts>
  <fonts count="2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3"/>
      <b val="1"/>
      <color theme="1"/>
      <sz val="9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2"/>
      <sz val="9"/>
      <scheme val="minor"/>
    </font>
    <font>
      <name val="맑은 고딕"/>
      <charset val="129"/>
      <family val="3"/>
      <b val="1"/>
      <color rgb="FFFF0000"/>
      <sz val="9"/>
      <scheme val="minor"/>
    </font>
    <font>
      <name val="맑은 고딕"/>
      <charset val="129"/>
      <family val="3"/>
      <b val="1"/>
      <color rgb="FF0000FF"/>
      <sz val="9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2"/>
      <color rgb="FFFF0000"/>
      <sz val="9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rgb="FFFF0000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b val="1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i val="1"/>
      <color theme="1" tint="0.499984740745262"/>
      <sz val="9"/>
      <scheme val="minor"/>
    </font>
    <font>
      <name val="맑은 고딕"/>
      <charset val="129"/>
      <family val="3"/>
      <color rgb="FFFF0000"/>
      <sz val="9"/>
      <scheme val="minor"/>
    </font>
    <font>
      <b val="1"/>
      <color rgb="00CC0000"/>
      <sz val="9"/>
    </font>
  </fonts>
  <fills count="12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FFF2F2"/>
        <bgColor rgb="00FFF2F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3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</cellStyleXfs>
  <cellXfs count="132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5" fillId="0" borderId="0" applyAlignment="1" pivotButton="0" quotePrefix="0" xfId="1">
      <alignment vertical="center"/>
    </xf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164" fontId="5" fillId="4" borderId="1" applyAlignment="1" pivotButton="0" quotePrefix="0" xfId="1">
      <alignment vertical="center"/>
    </xf>
    <xf numFmtId="164" fontId="8" fillId="5" borderId="1" applyAlignment="1" pivotButton="0" quotePrefix="0" xfId="0">
      <alignment vertical="center"/>
    </xf>
    <xf numFmtId="164" fontId="9" fillId="5" borderId="1" applyAlignment="1" pivotButton="0" quotePrefix="0" xfId="0">
      <alignment vertical="center"/>
    </xf>
    <xf numFmtId="164" fontId="10" fillId="5" borderId="1" applyAlignment="1" pivotButton="0" quotePrefix="0" xfId="0">
      <alignment vertical="center"/>
    </xf>
    <xf numFmtId="164" fontId="8" fillId="4" borderId="1" applyAlignment="1" pivotButton="0" quotePrefix="0" xfId="1">
      <alignment vertical="center"/>
    </xf>
    <xf numFmtId="164" fontId="11" fillId="5" borderId="1" applyAlignment="1" pivotButton="0" quotePrefix="0" xfId="0">
      <alignment vertical="center"/>
    </xf>
    <xf numFmtId="164" fontId="8" fillId="0" borderId="1" applyAlignment="1" pivotButton="0" quotePrefix="0" xfId="0">
      <alignment vertical="center"/>
    </xf>
    <xf numFmtId="164" fontId="8" fillId="6" borderId="1" applyAlignment="1" pivotButton="0" quotePrefix="0" xfId="0">
      <alignment vertical="center"/>
    </xf>
    <xf numFmtId="164" fontId="11" fillId="0" borderId="1" applyAlignment="1" pivotButton="0" quotePrefix="0" xfId="0">
      <alignment vertical="center"/>
    </xf>
    <xf numFmtId="164" fontId="8" fillId="7" borderId="1" applyAlignment="1" pivotButton="0" quotePrefix="0" xfId="0">
      <alignment vertical="center"/>
    </xf>
    <xf numFmtId="164" fontId="8" fillId="0" borderId="1" applyAlignment="1" pivotButton="0" quotePrefix="0" xfId="0">
      <alignment vertical="center"/>
    </xf>
    <xf numFmtId="164" fontId="9" fillId="0" borderId="1" applyAlignment="1" pivotButton="0" quotePrefix="0" xfId="0">
      <alignment vertical="center"/>
    </xf>
    <xf numFmtId="164" fontId="9" fillId="0" borderId="1" applyAlignment="1" pivotButton="0" quotePrefix="0" xfId="0">
      <alignment vertical="center"/>
    </xf>
    <xf numFmtId="164" fontId="9" fillId="7" borderId="1" applyAlignment="1" pivotButton="0" quotePrefix="0" xfId="0">
      <alignment vertical="center"/>
    </xf>
    <xf numFmtId="164" fontId="9" fillId="6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0" fontId="9" fillId="0" borderId="1" applyAlignment="1" pivotButton="0" quotePrefix="0" xfId="0">
      <alignment vertical="center"/>
    </xf>
    <xf numFmtId="164" fontId="12" fillId="0" borderId="0" applyAlignment="1" pivotButton="0" quotePrefix="0" xfId="1">
      <alignment vertical="center"/>
    </xf>
    <xf numFmtId="164" fontId="5" fillId="7" borderId="0" applyAlignment="1" pivotButton="0" quotePrefix="0" xfId="1">
      <alignment vertical="center"/>
    </xf>
    <xf numFmtId="10" fontId="9" fillId="0" borderId="1" applyAlignment="1" pivotButton="0" quotePrefix="0" xfId="3">
      <alignment vertical="center"/>
    </xf>
    <xf numFmtId="14" fontId="0" fillId="0" borderId="0" applyAlignment="1" pivotButton="0" quotePrefix="0" xfId="0">
      <alignment vertical="center"/>
    </xf>
    <xf numFmtId="165" fontId="0" fillId="0" borderId="0" applyAlignment="1" pivotButton="0" quotePrefix="0" xfId="2">
      <alignment vertical="center"/>
    </xf>
    <xf numFmtId="0" fontId="0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4" fontId="18" fillId="4" borderId="1" applyAlignment="1" pivotButton="0" quotePrefix="0" xfId="0">
      <alignment vertical="center"/>
    </xf>
    <xf numFmtId="164" fontId="18" fillId="4" borderId="1" applyAlignment="1" pivotButton="0" quotePrefix="0" xfId="0">
      <alignment horizontal="right" vertical="center"/>
    </xf>
    <xf numFmtId="164" fontId="18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vertical="center"/>
    </xf>
    <xf numFmtId="3" fontId="5" fillId="0" borderId="1" applyAlignment="1" pivotButton="0" quotePrefix="0" xfId="3">
      <alignment horizontal="center" vertical="center"/>
    </xf>
    <xf numFmtId="3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center" vertical="center"/>
    </xf>
    <xf numFmtId="164" fontId="18" fillId="9" borderId="1" applyAlignment="1" pivotButton="0" quotePrefix="0" xfId="0">
      <alignment horizontal="right" vertical="center"/>
    </xf>
    <xf numFmtId="164" fontId="18" fillId="9" borderId="1" applyAlignment="1" pivotButton="0" quotePrefix="0" xfId="0">
      <alignment vertical="center"/>
    </xf>
    <xf numFmtId="164" fontId="18" fillId="9" borderId="1" applyAlignment="1" pivotButton="0" quotePrefix="0" xfId="0">
      <alignment horizontal="left" vertical="center"/>
    </xf>
    <xf numFmtId="9" fontId="18" fillId="0" borderId="1" applyAlignment="1" pivotButton="0" quotePrefix="0" xfId="3">
      <alignment vertical="center"/>
    </xf>
    <xf numFmtId="0" fontId="9" fillId="0" borderId="1" applyAlignment="1" pivotButton="0" quotePrefix="0" xfId="0">
      <alignment vertical="center"/>
    </xf>
    <xf numFmtId="9" fontId="18" fillId="7" borderId="1" applyAlignment="1" pivotButton="0" quotePrefix="0" xfId="3">
      <alignment vertical="center"/>
    </xf>
    <xf numFmtId="0" fontId="18" fillId="7" borderId="1" applyAlignment="1" pivotButton="0" quotePrefix="0" xfId="0">
      <alignment horizontal="center" vertical="center"/>
    </xf>
    <xf numFmtId="9" fontId="18" fillId="0" borderId="1" applyAlignment="1" pivotButton="0" quotePrefix="0" xfId="3">
      <alignment vertical="center"/>
    </xf>
    <xf numFmtId="0" fontId="18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vertical="center"/>
    </xf>
    <xf numFmtId="0" fontId="18" fillId="10" borderId="1" applyAlignment="1" pivotButton="0" quotePrefix="0" xfId="0">
      <alignment horizontal="center" vertical="center"/>
    </xf>
    <xf numFmtId="164" fontId="18" fillId="9" borderId="4" applyAlignment="1" pivotButton="0" quotePrefix="0" xfId="0">
      <alignment horizontal="right" vertical="center"/>
    </xf>
    <xf numFmtId="0" fontId="13" fillId="0" borderId="0" applyAlignment="1" pivotButton="0" quotePrefix="0" xfId="0">
      <alignment horizontal="center" vertical="center"/>
    </xf>
    <xf numFmtId="164" fontId="17" fillId="4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2">
      <alignment horizontal="center" vertical="center"/>
    </xf>
    <xf numFmtId="9" fontId="0" fillId="0" borderId="0" applyAlignment="1" pivotButton="0" quotePrefix="0" xfId="3">
      <alignment vertical="center"/>
    </xf>
    <xf numFmtId="167" fontId="15" fillId="0" borderId="0" applyAlignment="1" pivotButton="0" quotePrefix="0" xfId="3">
      <alignment vertical="center"/>
    </xf>
    <xf numFmtId="167" fontId="15" fillId="0" borderId="1" applyAlignment="1" pivotButton="0" quotePrefix="0" xfId="3">
      <alignment vertical="center"/>
    </xf>
    <xf numFmtId="0" fontId="13" fillId="8" borderId="0" applyAlignment="1" pivotButton="0" quotePrefix="0" xfId="0">
      <alignment horizontal="center" vertical="center"/>
    </xf>
    <xf numFmtId="0" fontId="0" fillId="8" borderId="0" applyAlignment="1" pivotButton="0" quotePrefix="0" xfId="0">
      <alignment vertical="center"/>
    </xf>
    <xf numFmtId="164" fontId="20" fillId="4" borderId="1" applyAlignment="1" pivotButton="0" quotePrefix="0" xfId="0">
      <alignment horizontal="right" vertical="center"/>
    </xf>
    <xf numFmtId="164" fontId="20" fillId="4" borderId="1" applyAlignment="1" pivotButton="0" quotePrefix="0" xfId="0">
      <alignment vertical="center"/>
    </xf>
    <xf numFmtId="164" fontId="20" fillId="4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center" vertical="center" wrapText="1"/>
    </xf>
    <xf numFmtId="0" fontId="7" fillId="8" borderId="5" applyAlignment="1" pivotButton="0" quotePrefix="0" xfId="0">
      <alignment horizontal="center" vertical="center" wrapText="1"/>
    </xf>
    <xf numFmtId="0" fontId="7" fillId="8" borderId="3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165" fontId="0" fillId="0" borderId="1" applyAlignment="1" pivotButton="0" quotePrefix="0" xfId="2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165" fontId="15" fillId="0" borderId="1" applyAlignment="1" pivotButton="0" quotePrefix="1" xfId="0">
      <alignment horizontal="center"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7" pivotButton="0" quotePrefix="0" xfId="0"/>
    <xf numFmtId="0" fontId="0" fillId="0" borderId="8" pivotButton="0" quotePrefix="0" xfId="0"/>
    <xf numFmtId="165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3" pivotButton="0" quotePrefix="0" xfId="0"/>
    <xf numFmtId="165" fontId="0" fillId="0" borderId="1" applyAlignment="1" pivotButton="0" quotePrefix="0" xfId="2">
      <alignment horizontal="center" vertical="center"/>
    </xf>
    <xf numFmtId="164" fontId="17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vertical="center"/>
    </xf>
    <xf numFmtId="164" fontId="18" fillId="4" borderId="1" applyAlignment="1" pivotButton="0" quotePrefix="0" xfId="0">
      <alignment horizontal="right" vertical="center"/>
    </xf>
    <xf numFmtId="164" fontId="18" fillId="4" borderId="1" applyAlignment="1" pivotButton="0" quotePrefix="0" xfId="0">
      <alignment vertical="center"/>
    </xf>
    <xf numFmtId="164" fontId="18" fillId="4" borderId="1" applyAlignment="1" pivotButton="0" quotePrefix="0" xfId="0">
      <alignment horizontal="left" vertical="center"/>
    </xf>
    <xf numFmtId="164" fontId="18" fillId="9" borderId="4" applyAlignment="1" pivotButton="0" quotePrefix="0" xfId="0">
      <alignment horizontal="right" vertical="center"/>
    </xf>
    <xf numFmtId="164" fontId="18" fillId="9" borderId="1" applyAlignment="1" pivotButton="0" quotePrefix="0" xfId="0">
      <alignment vertical="center"/>
    </xf>
    <xf numFmtId="164" fontId="18" fillId="9" borderId="1" applyAlignment="1" pivotButton="0" quotePrefix="0" xfId="0">
      <alignment horizontal="right" vertical="center"/>
    </xf>
    <xf numFmtId="164" fontId="18" fillId="9" borderId="1" applyAlignment="1" pivotButton="0" quotePrefix="0" xfId="0">
      <alignment horizontal="left" vertical="center"/>
    </xf>
    <xf numFmtId="167" fontId="15" fillId="0" borderId="1" applyAlignment="1" pivotButton="0" quotePrefix="0" xfId="3">
      <alignment vertical="center"/>
    </xf>
    <xf numFmtId="167" fontId="15" fillId="0" borderId="0" applyAlignment="1" pivotButton="0" quotePrefix="0" xfId="3">
      <alignment vertical="center"/>
    </xf>
    <xf numFmtId="164" fontId="3" fillId="2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165" fontId="15" fillId="0" borderId="1" applyAlignment="1" pivotButton="0" quotePrefix="1" xfId="0">
      <alignment horizontal="center" vertical="center"/>
    </xf>
    <xf numFmtId="164" fontId="20" fillId="4" borderId="1" applyAlignment="1" pivotButton="0" quotePrefix="0" xfId="0">
      <alignment horizontal="right" vertical="center"/>
    </xf>
    <xf numFmtId="164" fontId="20" fillId="4" borderId="1" applyAlignment="1" pivotButton="0" quotePrefix="0" xfId="0">
      <alignment vertical="center"/>
    </xf>
    <xf numFmtId="164" fontId="20" fillId="4" borderId="1" applyAlignment="1" pivotButton="0" quotePrefix="0" xfId="0">
      <alignment horizontal="left" vertical="center"/>
    </xf>
    <xf numFmtId="164" fontId="5" fillId="0" borderId="0" applyAlignment="1" pivotButton="0" quotePrefix="0" xfId="1">
      <alignment vertical="center"/>
    </xf>
    <xf numFmtId="164" fontId="5" fillId="0" borderId="0" applyAlignment="1" pivotButton="0" quotePrefix="0" xfId="1">
      <alignment horizontal="center" vertical="center"/>
    </xf>
    <xf numFmtId="164" fontId="5" fillId="4" borderId="1" applyAlignment="1" pivotButton="0" quotePrefix="0" xfId="1">
      <alignment vertical="center"/>
    </xf>
    <xf numFmtId="164" fontId="8" fillId="5" borderId="1" applyAlignment="1" pivotButton="0" quotePrefix="0" xfId="0">
      <alignment vertical="center"/>
    </xf>
    <xf numFmtId="164" fontId="9" fillId="5" borderId="1" applyAlignment="1" pivotButton="0" quotePrefix="0" xfId="0">
      <alignment vertical="center"/>
    </xf>
    <xf numFmtId="164" fontId="10" fillId="5" borderId="1" applyAlignment="1" pivotButton="0" quotePrefix="0" xfId="0">
      <alignment vertical="center"/>
    </xf>
    <xf numFmtId="164" fontId="8" fillId="4" borderId="1" applyAlignment="1" pivotButton="0" quotePrefix="0" xfId="1">
      <alignment vertical="center"/>
    </xf>
    <xf numFmtId="164" fontId="11" fillId="5" borderId="1" applyAlignment="1" pivotButton="0" quotePrefix="0" xfId="0">
      <alignment vertical="center"/>
    </xf>
    <xf numFmtId="164" fontId="8" fillId="0" borderId="1" applyAlignment="1" pivotButton="0" quotePrefix="0" xfId="0">
      <alignment vertical="center"/>
    </xf>
    <xf numFmtId="164" fontId="8" fillId="6" borderId="1" applyAlignment="1" pivotButton="0" quotePrefix="0" xfId="0">
      <alignment vertical="center"/>
    </xf>
    <xf numFmtId="164" fontId="11" fillId="0" borderId="1" applyAlignment="1" pivotButton="0" quotePrefix="0" xfId="0">
      <alignment vertical="center"/>
    </xf>
    <xf numFmtId="164" fontId="8" fillId="7" borderId="1" applyAlignment="1" pivotButton="0" quotePrefix="0" xfId="0">
      <alignment vertical="center"/>
    </xf>
    <xf numFmtId="164" fontId="9" fillId="0" borderId="1" applyAlignment="1" pivotButton="0" quotePrefix="0" xfId="0">
      <alignment vertical="center"/>
    </xf>
    <xf numFmtId="164" fontId="9" fillId="7" borderId="1" applyAlignment="1" pivotButton="0" quotePrefix="0" xfId="0">
      <alignment vertical="center"/>
    </xf>
    <xf numFmtId="164" fontId="9" fillId="6" borderId="1" applyAlignment="1" pivotButton="0" quotePrefix="0" xfId="0">
      <alignment vertical="center"/>
    </xf>
    <xf numFmtId="164" fontId="12" fillId="0" borderId="0" applyAlignment="1" pivotButton="0" quotePrefix="0" xfId="1">
      <alignment vertical="center"/>
    </xf>
    <xf numFmtId="164" fontId="5" fillId="7" borderId="0" applyAlignment="1" pivotButton="0" quotePrefix="0" xfId="1">
      <alignment vertical="center"/>
    </xf>
    <xf numFmtId="165" fontId="0" fillId="0" borderId="0" applyAlignment="1" pivotButton="0" quotePrefix="0" xfId="2">
      <alignment vertical="center"/>
    </xf>
    <xf numFmtId="166" fontId="2" fillId="0" borderId="0" applyAlignment="1" pivotButton="0" quotePrefix="0" xfId="0">
      <alignment vertical="center"/>
    </xf>
    <xf numFmtId="0" fontId="21" fillId="11" borderId="0" applyAlignment="1" pivotButton="0" quotePrefix="0" xfId="0">
      <alignment horizontal="center" vertical="center"/>
    </xf>
  </cellXfs>
  <cellStyles count="4">
    <cellStyle name="표준" xfId="0" builtinId="0"/>
    <cellStyle name="쉼표" xfId="1" builtinId="3"/>
    <cellStyle name="쉼표 [0]" xfId="2" builtinId="6"/>
    <cellStyle name="백분율" xfId="3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44</col>
      <colOff>200025</colOff>
      <row>3</row>
      <rowOff>12596</rowOff>
    </from>
    <to>
      <col>54</col>
      <colOff>1004</colOff>
      <row>23</row>
      <rowOff>37317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743825" y="12596"/>
          <a:ext cx="6656738" cy="421572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AR71"/>
  <sheetViews>
    <sheetView tabSelected="1" topLeftCell="A28" zoomScale="85" zoomScaleNormal="85" workbookViewId="0">
      <selection activeCell="S3" sqref="S3"/>
    </sheetView>
  </sheetViews>
  <sheetFormatPr baseColWidth="8" defaultRowHeight="16.5"/>
  <cols>
    <col width="3.125" customWidth="1" style="55" min="1" max="1"/>
    <col width="12.25" customWidth="1" style="86" min="2" max="2"/>
    <col width="4.625" customWidth="1" style="86" min="3" max="44"/>
  </cols>
  <sheetData>
    <row r="1" ht="20" customHeight="1" s="86">
      <c r="A1" s="131" t="inlineStr">
        <is>
          <t>CONFIDENTIAL — Shared for portfolio review purposes only. All game content is the property of its respective studio.</t>
        </is>
      </c>
    </row>
    <row r="2">
      <c r="A2" s="76" t="inlineStr">
        <is>
          <t>Collect</t>
        </is>
      </c>
      <c r="B2" s="87" t="n"/>
      <c r="C2" s="31" t="n">
        <v>30</v>
      </c>
      <c r="E2" s="62">
        <f>C1/100</f>
        <v/>
      </c>
      <c r="F2" s="0">
        <f>1/E1</f>
        <v/>
      </c>
    </row>
    <row r="3">
      <c r="A3" s="76" t="inlineStr">
        <is>
          <t>Miss</t>
        </is>
      </c>
      <c r="B3" s="87" t="n"/>
      <c r="C3" s="31" t="n">
        <v>70</v>
      </c>
    </row>
    <row r="4" ht="16.5" customHeight="1" s="86">
      <c r="A4" s="87" t="n"/>
      <c r="B4" s="87" t="n"/>
    </row>
    <row r="5">
      <c r="B5" s="87" t="n"/>
      <c r="C5" s="78" t="inlineStr">
        <is>
          <t>C1</t>
        </is>
      </c>
      <c r="D5" s="88" t="n"/>
      <c r="E5" s="88" t="n"/>
      <c r="F5" s="88" t="n"/>
      <c r="G5" s="88" t="n"/>
      <c r="H5" s="89" t="n"/>
      <c r="I5" s="78" t="inlineStr">
        <is>
          <t>C2</t>
        </is>
      </c>
      <c r="J5" s="88" t="n"/>
      <c r="K5" s="88" t="n"/>
      <c r="L5" s="88" t="n"/>
      <c r="M5" s="88" t="n"/>
      <c r="N5" s="89" t="n"/>
      <c r="O5" s="78" t="inlineStr">
        <is>
          <t>C3</t>
        </is>
      </c>
      <c r="P5" s="88" t="n"/>
      <c r="Q5" s="88" t="n"/>
      <c r="R5" s="88" t="n"/>
      <c r="S5" s="88" t="n"/>
      <c r="T5" s="89" t="n"/>
      <c r="U5" s="78" t="inlineStr">
        <is>
          <t>C4</t>
        </is>
      </c>
      <c r="V5" s="88" t="n"/>
      <c r="W5" s="88" t="n"/>
      <c r="X5" s="88" t="n"/>
      <c r="Y5" s="88" t="n"/>
      <c r="Z5" s="89" t="n"/>
      <c r="AA5" s="78" t="inlineStr">
        <is>
          <t>C5</t>
        </is>
      </c>
      <c r="AB5" s="88" t="n"/>
      <c r="AC5" s="88" t="n"/>
      <c r="AD5" s="88" t="n"/>
      <c r="AE5" s="88" t="n"/>
      <c r="AF5" s="89" t="n"/>
      <c r="AG5" s="78" t="inlineStr">
        <is>
          <t>C6</t>
        </is>
      </c>
      <c r="AH5" s="88" t="n"/>
      <c r="AI5" s="88" t="n"/>
      <c r="AJ5" s="88" t="n"/>
      <c r="AK5" s="88" t="n"/>
      <c r="AL5" s="89" t="n"/>
      <c r="AM5" s="78" t="inlineStr">
        <is>
          <t>C7</t>
        </is>
      </c>
      <c r="AN5" s="88" t="n"/>
      <c r="AO5" s="88" t="n"/>
      <c r="AP5" s="88" t="n"/>
      <c r="AQ5" s="88" t="n"/>
      <c r="AR5" s="89" t="n"/>
    </row>
    <row r="6">
      <c r="B6" s="87" t="n"/>
      <c r="C6" s="90" t="n"/>
      <c r="D6" s="88" t="n"/>
      <c r="E6" s="88" t="n"/>
      <c r="F6" s="88" t="n"/>
      <c r="G6" s="88" t="n"/>
      <c r="H6" s="89" t="n"/>
      <c r="I6" s="90" t="n"/>
      <c r="J6" s="88" t="n"/>
      <c r="K6" s="88" t="n"/>
      <c r="L6" s="88" t="n"/>
      <c r="M6" s="88" t="n"/>
      <c r="N6" s="89" t="n"/>
      <c r="O6" s="90" t="n"/>
      <c r="P6" s="88" t="n"/>
      <c r="Q6" s="88" t="n"/>
      <c r="R6" s="88" t="n"/>
      <c r="S6" s="88" t="n"/>
      <c r="T6" s="89" t="n"/>
      <c r="U6" s="90" t="n"/>
      <c r="V6" s="88" t="n"/>
      <c r="W6" s="88" t="n"/>
      <c r="X6" s="88" t="n"/>
      <c r="Y6" s="88" t="n"/>
      <c r="Z6" s="89" t="n"/>
      <c r="AA6" s="90" t="n"/>
      <c r="AB6" s="88" t="n"/>
      <c r="AC6" s="88" t="n"/>
      <c r="AD6" s="88" t="n"/>
      <c r="AE6" s="88" t="n"/>
      <c r="AF6" s="89" t="n"/>
      <c r="AG6" s="90" t="n"/>
      <c r="AH6" s="88" t="n"/>
      <c r="AI6" s="88" t="n"/>
      <c r="AJ6" s="88" t="n"/>
      <c r="AK6" s="88" t="n"/>
      <c r="AL6" s="89" t="n"/>
      <c r="AM6" s="90" t="n"/>
      <c r="AN6" s="88" t="n"/>
      <c r="AO6" s="88" t="n"/>
      <c r="AP6" s="88" t="n"/>
      <c r="AQ6" s="88" t="n"/>
      <c r="AR6" s="89" t="n"/>
    </row>
    <row r="7">
      <c r="A7" s="91" t="n"/>
      <c r="B7" s="92" t="n"/>
      <c r="C7" s="93" t="n">
        <v>100000</v>
      </c>
      <c r="D7" s="88" t="n"/>
      <c r="E7" s="88" t="n"/>
      <c r="F7" s="88" t="n"/>
      <c r="G7" s="88" t="n"/>
      <c r="H7" s="89" t="n"/>
      <c r="I7" s="93" t="n">
        <v>300000</v>
      </c>
      <c r="J7" s="88" t="n"/>
      <c r="K7" s="88" t="n"/>
      <c r="L7" s="88" t="n"/>
      <c r="M7" s="88" t="n"/>
      <c r="N7" s="89" t="n"/>
      <c r="O7" s="93" t="n">
        <v>500000</v>
      </c>
      <c r="P7" s="88" t="n"/>
      <c r="Q7" s="88" t="n"/>
      <c r="R7" s="88" t="n"/>
      <c r="S7" s="88" t="n"/>
      <c r="T7" s="89" t="n"/>
      <c r="U7" s="93" t="n">
        <v>600000</v>
      </c>
      <c r="V7" s="88" t="n"/>
      <c r="W7" s="88" t="n"/>
      <c r="X7" s="88" t="n"/>
      <c r="Y7" s="88" t="n"/>
      <c r="Z7" s="89" t="n"/>
      <c r="AA7" s="93" t="n">
        <v>700000</v>
      </c>
      <c r="AB7" s="88" t="n"/>
      <c r="AC7" s="88" t="n"/>
      <c r="AD7" s="88" t="n"/>
      <c r="AE7" s="88" t="n"/>
      <c r="AF7" s="89" t="n"/>
      <c r="AG7" s="93" t="n">
        <v>1000000</v>
      </c>
      <c r="AH7" s="88" t="n"/>
      <c r="AI7" s="88" t="n"/>
      <c r="AJ7" s="88" t="n"/>
      <c r="AK7" s="88" t="n"/>
      <c r="AL7" s="89" t="n"/>
      <c r="AM7" s="93" t="n">
        <v>2000000</v>
      </c>
      <c r="AN7" s="88" t="n"/>
      <c r="AO7" s="88" t="n"/>
      <c r="AP7" s="88" t="n"/>
      <c r="AQ7" s="88" t="n"/>
      <c r="AR7" s="89" t="n"/>
    </row>
    <row r="8">
      <c r="A8" s="94" t="inlineStr">
        <is>
          <t>No.</t>
        </is>
      </c>
      <c r="B8" s="95" t="inlineStr">
        <is>
          <t>Collect Item Num.</t>
        </is>
      </c>
      <c r="C8" s="38" t="n">
        <v>1</v>
      </c>
      <c r="D8" s="39" t="n">
        <v>2</v>
      </c>
      <c r="E8" s="39" t="n">
        <v>3</v>
      </c>
      <c r="F8" s="39" t="n">
        <v>4</v>
      </c>
      <c r="G8" s="39" t="n">
        <v>5</v>
      </c>
      <c r="H8" s="40" t="inlineStr">
        <is>
          <t>Miss</t>
        </is>
      </c>
      <c r="I8" s="38" t="n">
        <v>1</v>
      </c>
      <c r="J8" s="39" t="n">
        <v>2</v>
      </c>
      <c r="K8" s="39" t="n">
        <v>3</v>
      </c>
      <c r="L8" s="39" t="n">
        <v>4</v>
      </c>
      <c r="M8" s="39" t="n">
        <v>5</v>
      </c>
      <c r="N8" s="40" t="inlineStr">
        <is>
          <t>Miss</t>
        </is>
      </c>
      <c r="O8" s="38" t="n">
        <v>1</v>
      </c>
      <c r="P8" s="39" t="n">
        <v>2</v>
      </c>
      <c r="Q8" s="39" t="n">
        <v>3</v>
      </c>
      <c r="R8" s="39" t="n">
        <v>4</v>
      </c>
      <c r="S8" s="39" t="n">
        <v>5</v>
      </c>
      <c r="T8" s="40" t="inlineStr">
        <is>
          <t>Miss</t>
        </is>
      </c>
      <c r="U8" s="38" t="n">
        <v>1</v>
      </c>
      <c r="V8" s="39" t="n">
        <v>2</v>
      </c>
      <c r="W8" s="39" t="n">
        <v>3</v>
      </c>
      <c r="X8" s="39" t="n">
        <v>4</v>
      </c>
      <c r="Y8" s="39" t="n">
        <v>5</v>
      </c>
      <c r="Z8" s="40" t="inlineStr">
        <is>
          <t>Miss</t>
        </is>
      </c>
      <c r="AA8" s="38" t="n">
        <v>1</v>
      </c>
      <c r="AB8" s="39" t="n">
        <v>2</v>
      </c>
      <c r="AC8" s="39" t="n">
        <v>3</v>
      </c>
      <c r="AD8" s="39" t="n">
        <v>4</v>
      </c>
      <c r="AE8" s="39" t="n">
        <v>5</v>
      </c>
      <c r="AF8" s="40" t="inlineStr">
        <is>
          <t>Miss</t>
        </is>
      </c>
      <c r="AG8" s="38" t="n">
        <v>1</v>
      </c>
      <c r="AH8" s="39" t="n">
        <v>2</v>
      </c>
      <c r="AI8" s="39" t="n">
        <v>3</v>
      </c>
      <c r="AJ8" s="39" t="n">
        <v>4</v>
      </c>
      <c r="AK8" s="39" t="n">
        <v>5</v>
      </c>
      <c r="AL8" s="40" t="inlineStr">
        <is>
          <t>Miss</t>
        </is>
      </c>
      <c r="AM8" s="38" t="n">
        <v>1</v>
      </c>
      <c r="AN8" s="39" t="n">
        <v>2</v>
      </c>
      <c r="AO8" s="39" t="n">
        <v>3</v>
      </c>
      <c r="AP8" s="39" t="n">
        <v>4</v>
      </c>
      <c r="AQ8" s="39" t="n">
        <v>5</v>
      </c>
      <c r="AR8" s="40" t="inlineStr">
        <is>
          <t>Miss</t>
        </is>
      </c>
    </row>
    <row r="9">
      <c r="A9" s="57" t="n">
        <v>1</v>
      </c>
      <c r="B9" s="96" t="inlineStr">
        <is>
          <t>50,000 Under</t>
        </is>
      </c>
      <c r="C9" s="53" t="n">
        <v>20</v>
      </c>
      <c r="D9" s="53" t="n">
        <v>10</v>
      </c>
      <c r="E9" s="51" t="n"/>
      <c r="F9" s="51" t="n"/>
      <c r="G9" s="51" t="n"/>
      <c r="H9" s="42">
        <f>$C$2</f>
        <v/>
      </c>
      <c r="I9" s="53" t="n">
        <v>30</v>
      </c>
      <c r="J9" s="51" t="n"/>
      <c r="K9" s="51" t="n"/>
      <c r="L9" s="51" t="n"/>
      <c r="M9" s="51" t="n"/>
      <c r="N9" s="42">
        <f>$C$2</f>
        <v/>
      </c>
      <c r="O9" s="53" t="n">
        <v>30</v>
      </c>
      <c r="P9" s="51" t="n"/>
      <c r="Q9" s="51" t="n"/>
      <c r="R9" s="51" t="n"/>
      <c r="S9" s="51" t="n"/>
      <c r="T9" s="42">
        <f>$C$2</f>
        <v/>
      </c>
      <c r="U9" s="53" t="n">
        <v>30</v>
      </c>
      <c r="V9" s="51" t="n"/>
      <c r="W9" s="51" t="n"/>
      <c r="X9" s="51" t="n"/>
      <c r="Y9" s="51" t="n"/>
      <c r="Z9" s="42">
        <f>$C$2</f>
        <v/>
      </c>
      <c r="AA9" s="53" t="n">
        <v>30</v>
      </c>
      <c r="AB9" s="51" t="n"/>
      <c r="AC9" s="51" t="n"/>
      <c r="AD9" s="51" t="n"/>
      <c r="AE9" s="51" t="n"/>
      <c r="AF9" s="42">
        <f>$C$2</f>
        <v/>
      </c>
      <c r="AG9" s="53" t="n">
        <v>30</v>
      </c>
      <c r="AH9" s="51" t="n"/>
      <c r="AI9" s="51" t="n"/>
      <c r="AJ9" s="51" t="n"/>
      <c r="AK9" s="51" t="n"/>
      <c r="AL9" s="42">
        <f>$C$2</f>
        <v/>
      </c>
      <c r="AM9" s="53" t="n">
        <v>30</v>
      </c>
      <c r="AN9" s="51" t="n"/>
      <c r="AO9" s="51" t="n"/>
      <c r="AP9" s="51" t="n"/>
      <c r="AQ9" s="51" t="n"/>
      <c r="AR9" s="42">
        <f>$C$2</f>
        <v/>
      </c>
    </row>
    <row r="10">
      <c r="A10" s="57" t="n">
        <v>2</v>
      </c>
      <c r="B10" s="97" t="n">
        <v>50000</v>
      </c>
      <c r="C10" s="53" t="n">
        <v>10</v>
      </c>
      <c r="D10" s="53" t="n">
        <v>15</v>
      </c>
      <c r="E10" s="51" t="n">
        <v>5</v>
      </c>
      <c r="F10" s="51" t="n"/>
      <c r="G10" s="51" t="n"/>
      <c r="H10" s="42">
        <f>$C$2</f>
        <v/>
      </c>
      <c r="I10" s="53" t="n">
        <v>20</v>
      </c>
      <c r="J10" s="53" t="n">
        <v>10</v>
      </c>
      <c r="K10" s="51" t="n"/>
      <c r="L10" s="51" t="n"/>
      <c r="M10" s="51" t="n"/>
      <c r="N10" s="42">
        <f>$C$2</f>
        <v/>
      </c>
      <c r="O10" s="53" t="n">
        <v>25</v>
      </c>
      <c r="P10" s="51" t="n">
        <v>5</v>
      </c>
      <c r="Q10" s="51" t="n"/>
      <c r="R10" s="51" t="n"/>
      <c r="S10" s="51" t="n"/>
      <c r="T10" s="42">
        <f>$C$2</f>
        <v/>
      </c>
      <c r="U10" s="53" t="n">
        <v>30</v>
      </c>
      <c r="V10" s="51" t="n"/>
      <c r="W10" s="51" t="n"/>
      <c r="X10" s="51" t="n"/>
      <c r="Y10" s="51" t="n"/>
      <c r="Z10" s="42">
        <f>$C$2</f>
        <v/>
      </c>
      <c r="AA10" s="53" t="n">
        <v>30</v>
      </c>
      <c r="AB10" s="51" t="n"/>
      <c r="AC10" s="51" t="n"/>
      <c r="AD10" s="51" t="n"/>
      <c r="AE10" s="51" t="n"/>
      <c r="AF10" s="42">
        <f>$C$2</f>
        <v/>
      </c>
      <c r="AG10" s="53" t="n">
        <v>30</v>
      </c>
      <c r="AH10" s="51" t="n"/>
      <c r="AI10" s="51" t="n"/>
      <c r="AJ10" s="51" t="n"/>
      <c r="AK10" s="51" t="n"/>
      <c r="AL10" s="42">
        <f>$C$2</f>
        <v/>
      </c>
      <c r="AM10" s="53" t="n">
        <v>30</v>
      </c>
      <c r="AN10" s="51" t="n"/>
      <c r="AO10" s="51" t="n"/>
      <c r="AP10" s="51" t="n"/>
      <c r="AQ10" s="51" t="n"/>
      <c r="AR10" s="42">
        <f>$C$2</f>
        <v/>
      </c>
    </row>
    <row r="11">
      <c r="A11" s="57" t="n">
        <v>3</v>
      </c>
      <c r="B11" s="96" t="n">
        <v>100000</v>
      </c>
      <c r="C11" s="51" t="n"/>
      <c r="D11" s="53" t="n">
        <v>10</v>
      </c>
      <c r="E11" s="49" t="n">
        <v>15</v>
      </c>
      <c r="F11" s="51" t="n">
        <v>5</v>
      </c>
      <c r="G11" s="51" t="n"/>
      <c r="H11" s="42">
        <f>$C$2</f>
        <v/>
      </c>
      <c r="I11" s="53" t="n">
        <v>10</v>
      </c>
      <c r="J11" s="53" t="n">
        <v>20</v>
      </c>
      <c r="K11" s="51" t="n">
        <v>5</v>
      </c>
      <c r="L11" s="51" t="n"/>
      <c r="M11" s="51" t="n"/>
      <c r="N11" s="42">
        <f>$C$2</f>
        <v/>
      </c>
      <c r="O11" s="53" t="n">
        <v>25</v>
      </c>
      <c r="P11" s="51" t="n">
        <v>5</v>
      </c>
      <c r="Q11" s="51" t="n"/>
      <c r="R11" s="51" t="n"/>
      <c r="S11" s="51" t="n"/>
      <c r="T11" s="42">
        <f>$C$2</f>
        <v/>
      </c>
      <c r="U11" s="53" t="n">
        <v>20</v>
      </c>
      <c r="V11" s="51" t="n">
        <v>10</v>
      </c>
      <c r="W11" s="51" t="n"/>
      <c r="X11" s="51" t="n"/>
      <c r="Y11" s="51" t="n"/>
      <c r="Z11" s="42">
        <f>$C$2</f>
        <v/>
      </c>
      <c r="AA11" s="53" t="n">
        <v>30</v>
      </c>
      <c r="AB11" s="51" t="n"/>
      <c r="AC11" s="51" t="n"/>
      <c r="AD11" s="51" t="n"/>
      <c r="AE11" s="51" t="n"/>
      <c r="AF11" s="42">
        <f>$C$2</f>
        <v/>
      </c>
      <c r="AG11" s="53" t="n">
        <v>30</v>
      </c>
      <c r="AH11" s="51" t="n"/>
      <c r="AI11" s="51" t="n"/>
      <c r="AJ11" s="51" t="n"/>
      <c r="AK11" s="51" t="n"/>
      <c r="AL11" s="42">
        <f>$C$2</f>
        <v/>
      </c>
      <c r="AM11" s="53" t="n">
        <v>30</v>
      </c>
      <c r="AN11" s="51" t="n"/>
      <c r="AO11" s="51" t="n"/>
      <c r="AP11" s="51" t="n"/>
      <c r="AQ11" s="51" t="n"/>
      <c r="AR11" s="42">
        <f>$C$2</f>
        <v/>
      </c>
    </row>
    <row r="12">
      <c r="A12" s="57" t="n">
        <v>4</v>
      </c>
      <c r="B12" s="96" t="n">
        <v>200000</v>
      </c>
      <c r="C12" s="51" t="n"/>
      <c r="D12" s="51" t="n"/>
      <c r="E12" s="49" t="n">
        <v>20</v>
      </c>
      <c r="F12" s="53" t="n">
        <v>10</v>
      </c>
      <c r="G12" s="51" t="n"/>
      <c r="H12" s="42">
        <f>$C$2</f>
        <v/>
      </c>
      <c r="I12" s="51" t="n"/>
      <c r="J12" s="53" t="n">
        <v>10</v>
      </c>
      <c r="K12" s="49" t="n">
        <v>15</v>
      </c>
      <c r="L12" s="51" t="n">
        <v>5</v>
      </c>
      <c r="M12" s="51" t="n"/>
      <c r="N12" s="42">
        <f>$C$2</f>
        <v/>
      </c>
      <c r="O12" s="53" t="n">
        <v>10</v>
      </c>
      <c r="P12" s="49" t="n">
        <v>15</v>
      </c>
      <c r="Q12" s="51" t="n">
        <v>5</v>
      </c>
      <c r="R12" s="51" t="n"/>
      <c r="S12" s="51" t="n"/>
      <c r="T12" s="42">
        <f>$C$2</f>
        <v/>
      </c>
      <c r="U12" s="51" t="n">
        <v>10</v>
      </c>
      <c r="V12" s="53" t="n">
        <v>20</v>
      </c>
      <c r="W12" s="51" t="n"/>
      <c r="X12" s="51" t="n"/>
      <c r="Y12" s="51" t="n"/>
      <c r="Z12" s="42">
        <f>$C$2</f>
        <v/>
      </c>
      <c r="AA12" s="53" t="n">
        <v>25</v>
      </c>
      <c r="AB12" s="51" t="n">
        <v>5</v>
      </c>
      <c r="AC12" s="51" t="n"/>
      <c r="AD12" s="51" t="n"/>
      <c r="AE12" s="51" t="n"/>
      <c r="AF12" s="42">
        <f>$C$2</f>
        <v/>
      </c>
      <c r="AG12" s="53" t="n">
        <v>30</v>
      </c>
      <c r="AH12" s="51" t="n"/>
      <c r="AI12" s="51" t="n"/>
      <c r="AJ12" s="51" t="n"/>
      <c r="AK12" s="51" t="n"/>
      <c r="AL12" s="42">
        <f>$C$2</f>
        <v/>
      </c>
      <c r="AM12" s="53" t="n">
        <v>30</v>
      </c>
      <c r="AN12" s="51" t="n"/>
      <c r="AO12" s="51" t="n"/>
      <c r="AP12" s="51" t="n"/>
      <c r="AQ12" s="51" t="n"/>
      <c r="AR12" s="42">
        <f>$C$2</f>
        <v/>
      </c>
    </row>
    <row r="13">
      <c r="A13" s="57" t="n">
        <v>5</v>
      </c>
      <c r="B13" s="98" t="n">
        <v>500000</v>
      </c>
      <c r="C13" s="51" t="n"/>
      <c r="D13" s="51" t="n"/>
      <c r="E13" s="51" t="n"/>
      <c r="F13" s="53" t="n">
        <v>20</v>
      </c>
      <c r="G13" s="53" t="n">
        <v>10</v>
      </c>
      <c r="H13" s="42">
        <f>$C$2</f>
        <v/>
      </c>
      <c r="I13" s="51" t="n"/>
      <c r="J13" s="51" t="n"/>
      <c r="K13" s="49" t="n">
        <v>20</v>
      </c>
      <c r="L13" s="51" t="n">
        <v>5</v>
      </c>
      <c r="M13" s="51" t="n"/>
      <c r="N13" s="42">
        <f>$C$2</f>
        <v/>
      </c>
      <c r="O13" s="51" t="n"/>
      <c r="P13" s="51" t="n"/>
      <c r="Q13" s="49" t="n">
        <v>25</v>
      </c>
      <c r="R13" s="51" t="n">
        <v>5</v>
      </c>
      <c r="S13" s="51" t="n"/>
      <c r="T13" s="42">
        <f>$C$2</f>
        <v/>
      </c>
      <c r="U13" s="51" t="n"/>
      <c r="V13" s="49" t="n">
        <v>20</v>
      </c>
      <c r="W13" s="49" t="n">
        <v>10</v>
      </c>
      <c r="X13" s="51" t="n"/>
      <c r="Y13" s="51" t="n"/>
      <c r="Z13" s="42">
        <f>$C$2</f>
        <v/>
      </c>
      <c r="AA13" s="53" t="n">
        <v>20</v>
      </c>
      <c r="AB13" s="53" t="n">
        <v>10</v>
      </c>
      <c r="AC13" s="51" t="n"/>
      <c r="AD13" s="51" t="n"/>
      <c r="AE13" s="51" t="n"/>
      <c r="AF13" s="42">
        <f>$C$2</f>
        <v/>
      </c>
      <c r="AG13" s="53" t="n">
        <v>25</v>
      </c>
      <c r="AH13" s="51" t="n">
        <v>5</v>
      </c>
      <c r="AI13" s="51" t="n"/>
      <c r="AJ13" s="51" t="n"/>
      <c r="AK13" s="51" t="n"/>
      <c r="AL13" s="42">
        <f>$C$2</f>
        <v/>
      </c>
      <c r="AM13" s="53" t="n">
        <v>30</v>
      </c>
      <c r="AN13" s="51" t="n"/>
      <c r="AO13" s="51" t="n"/>
      <c r="AP13" s="51" t="n"/>
      <c r="AQ13" s="51" t="n"/>
      <c r="AR13" s="42">
        <f>$C$2</f>
        <v/>
      </c>
    </row>
    <row r="14">
      <c r="A14" s="57" t="n">
        <v>6</v>
      </c>
      <c r="B14" s="98" t="n">
        <v>800000</v>
      </c>
      <c r="C14" s="51" t="n"/>
      <c r="D14" s="51" t="n"/>
      <c r="E14" s="51" t="n"/>
      <c r="F14" s="53" t="n">
        <v>10</v>
      </c>
      <c r="G14" s="53" t="n">
        <v>20</v>
      </c>
      <c r="H14" s="42">
        <f>$C$2</f>
        <v/>
      </c>
      <c r="I14" s="51" t="n"/>
      <c r="J14" s="51" t="n"/>
      <c r="K14" s="51" t="n">
        <v>5</v>
      </c>
      <c r="L14" s="53" t="n">
        <v>20</v>
      </c>
      <c r="M14" s="51" t="n">
        <v>5</v>
      </c>
      <c r="N14" s="42">
        <f>$C$2</f>
        <v/>
      </c>
      <c r="O14" s="51" t="n"/>
      <c r="P14" s="51" t="n"/>
      <c r="Q14" s="51" t="n">
        <v>5</v>
      </c>
      <c r="R14" s="49" t="n">
        <v>20</v>
      </c>
      <c r="S14" s="51" t="n">
        <v>5</v>
      </c>
      <c r="T14" s="42">
        <f>$C$2</f>
        <v/>
      </c>
      <c r="U14" s="51" t="n"/>
      <c r="V14" s="51" t="n"/>
      <c r="W14" s="49" t="n">
        <v>20</v>
      </c>
      <c r="X14" s="49" t="n">
        <v>10</v>
      </c>
      <c r="Y14" s="51" t="n"/>
      <c r="Z14" s="42">
        <f>$C$2</f>
        <v/>
      </c>
      <c r="AA14" s="51" t="n"/>
      <c r="AB14" s="49" t="n">
        <v>10</v>
      </c>
      <c r="AC14" s="49" t="n">
        <v>15</v>
      </c>
      <c r="AD14" s="49" t="n">
        <v>5</v>
      </c>
      <c r="AE14" s="51" t="n"/>
      <c r="AF14" s="42">
        <f>$C$2</f>
        <v/>
      </c>
      <c r="AG14" s="53" t="n">
        <v>20</v>
      </c>
      <c r="AH14" s="53" t="n">
        <v>10</v>
      </c>
      <c r="AI14" s="51" t="n"/>
      <c r="AJ14" s="51" t="n"/>
      <c r="AK14" s="51" t="n"/>
      <c r="AL14" s="42">
        <f>$C$2</f>
        <v/>
      </c>
      <c r="AM14" s="53" t="n">
        <v>10</v>
      </c>
      <c r="AN14" s="49" t="n">
        <v>20</v>
      </c>
      <c r="AO14" s="51" t="n"/>
      <c r="AP14" s="51" t="n"/>
      <c r="AQ14" s="51" t="n"/>
      <c r="AR14" s="42">
        <f>$C$2</f>
        <v/>
      </c>
    </row>
    <row r="15">
      <c r="A15" s="57" t="n">
        <v>7</v>
      </c>
      <c r="B15" s="98" t="n">
        <v>1200000</v>
      </c>
      <c r="C15" s="51" t="n"/>
      <c r="D15" s="51" t="n"/>
      <c r="E15" s="51" t="n"/>
      <c r="F15" s="51" t="n">
        <v>5</v>
      </c>
      <c r="G15" s="53" t="n">
        <v>25</v>
      </c>
      <c r="H15" s="42">
        <f>$C$2</f>
        <v/>
      </c>
      <c r="I15" s="51" t="n"/>
      <c r="J15" s="51" t="n"/>
      <c r="K15" s="51" t="n"/>
      <c r="L15" s="53" t="n">
        <v>10</v>
      </c>
      <c r="M15" s="53" t="n">
        <v>20</v>
      </c>
      <c r="N15" s="42">
        <f>$C$2</f>
        <v/>
      </c>
      <c r="O15" s="51" t="n"/>
      <c r="P15" s="51" t="n"/>
      <c r="Q15" s="51" t="n"/>
      <c r="R15" s="53" t="n">
        <v>10</v>
      </c>
      <c r="S15" s="53" t="n">
        <v>20</v>
      </c>
      <c r="T15" s="42">
        <f>$C$2</f>
        <v/>
      </c>
      <c r="U15" s="51" t="n"/>
      <c r="V15" s="51" t="n"/>
      <c r="W15" s="51" t="n">
        <v>5</v>
      </c>
      <c r="X15" s="53" t="n">
        <v>10</v>
      </c>
      <c r="Y15" s="53" t="n">
        <v>15</v>
      </c>
      <c r="Z15" s="42">
        <f>$C$2</f>
        <v/>
      </c>
      <c r="AA15" s="51" t="n"/>
      <c r="AB15" s="51" t="n"/>
      <c r="AC15" s="51" t="n">
        <v>5</v>
      </c>
      <c r="AD15" s="53" t="n">
        <v>10</v>
      </c>
      <c r="AE15" s="53" t="n">
        <v>15</v>
      </c>
      <c r="AF15" s="42">
        <f>$C$2</f>
        <v/>
      </c>
      <c r="AG15" s="51" t="n"/>
      <c r="AH15" s="49" t="n">
        <v>10</v>
      </c>
      <c r="AI15" s="49" t="n">
        <v>15</v>
      </c>
      <c r="AJ15" s="49" t="n">
        <v>5</v>
      </c>
      <c r="AK15" s="51" t="n"/>
      <c r="AL15" s="42">
        <f>$C$2</f>
        <v/>
      </c>
      <c r="AM15" s="51" t="n">
        <v>5</v>
      </c>
      <c r="AN15" s="49" t="n">
        <v>15</v>
      </c>
      <c r="AO15" s="49" t="n">
        <v>10</v>
      </c>
      <c r="AP15" s="51" t="n"/>
      <c r="AQ15" s="51" t="n"/>
      <c r="AR15" s="42">
        <f>$C$2</f>
        <v/>
      </c>
    </row>
    <row r="16">
      <c r="A16" s="57" t="n">
        <v>8</v>
      </c>
      <c r="B16" s="98" t="n">
        <v>3000000</v>
      </c>
      <c r="C16" s="51" t="n"/>
      <c r="D16" s="51" t="n"/>
      <c r="E16" s="51" t="n"/>
      <c r="F16" s="51" t="n"/>
      <c r="G16" s="53" t="n">
        <v>30</v>
      </c>
      <c r="H16" s="42">
        <f>$C$2</f>
        <v/>
      </c>
      <c r="I16" s="51" t="n"/>
      <c r="J16" s="51" t="n"/>
      <c r="K16" s="51" t="n"/>
      <c r="L16" s="51" t="n">
        <v>5</v>
      </c>
      <c r="M16" s="53" t="n">
        <v>25</v>
      </c>
      <c r="N16" s="42">
        <f>$C$2</f>
        <v/>
      </c>
      <c r="O16" s="51" t="n"/>
      <c r="P16" s="51" t="n"/>
      <c r="Q16" s="51" t="n"/>
      <c r="R16" s="53" t="n">
        <v>5</v>
      </c>
      <c r="S16" s="53" t="n">
        <v>25</v>
      </c>
      <c r="T16" s="42">
        <f>$C$2</f>
        <v/>
      </c>
      <c r="U16" s="51" t="n"/>
      <c r="V16" s="51" t="n"/>
      <c r="W16" s="51" t="n"/>
      <c r="X16" s="51" t="n">
        <v>10</v>
      </c>
      <c r="Y16" s="53" t="n">
        <v>20</v>
      </c>
      <c r="Z16" s="42">
        <f>$C$2</f>
        <v/>
      </c>
      <c r="AA16" s="51" t="n"/>
      <c r="AB16" s="51" t="n"/>
      <c r="AC16" s="51" t="n"/>
      <c r="AD16" s="51" t="n">
        <v>10</v>
      </c>
      <c r="AE16" s="53" t="n">
        <v>20</v>
      </c>
      <c r="AF16" s="42">
        <f>$C$2</f>
        <v/>
      </c>
      <c r="AG16" s="51" t="n"/>
      <c r="AH16" s="51" t="n"/>
      <c r="AI16" s="51" t="n">
        <v>5</v>
      </c>
      <c r="AJ16" s="53" t="n">
        <v>10</v>
      </c>
      <c r="AK16" s="53" t="n">
        <v>15</v>
      </c>
      <c r="AL16" s="42">
        <f>$C$2</f>
        <v/>
      </c>
      <c r="AM16" s="51" t="n"/>
      <c r="AN16" s="49" t="n">
        <v>5</v>
      </c>
      <c r="AO16" s="49" t="n">
        <v>15</v>
      </c>
      <c r="AP16" s="49" t="n">
        <v>10</v>
      </c>
      <c r="AQ16" s="51" t="n"/>
      <c r="AR16" s="42">
        <f>$C$2</f>
        <v/>
      </c>
    </row>
    <row r="17">
      <c r="A17" s="57" t="n">
        <v>9</v>
      </c>
      <c r="B17" s="98" t="n">
        <v>5000000</v>
      </c>
      <c r="C17" s="51" t="n"/>
      <c r="D17" s="51" t="n"/>
      <c r="E17" s="51" t="n"/>
      <c r="F17" s="51" t="n"/>
      <c r="G17" s="53" t="n">
        <v>30</v>
      </c>
      <c r="H17" s="42">
        <f>$C$2</f>
        <v/>
      </c>
      <c r="I17" s="51" t="n"/>
      <c r="J17" s="51" t="n"/>
      <c r="K17" s="51" t="n"/>
      <c r="L17" s="51" t="n"/>
      <c r="M17" s="53" t="n">
        <v>30</v>
      </c>
      <c r="N17" s="42">
        <f>$C$2</f>
        <v/>
      </c>
      <c r="O17" s="51" t="n"/>
      <c r="P17" s="51" t="n"/>
      <c r="Q17" s="51" t="n"/>
      <c r="R17" s="51" t="n"/>
      <c r="S17" s="53" t="n">
        <v>30</v>
      </c>
      <c r="T17" s="42">
        <f>$C$2</f>
        <v/>
      </c>
      <c r="U17" s="51" t="n"/>
      <c r="V17" s="51" t="n"/>
      <c r="W17" s="51" t="n"/>
      <c r="X17" s="51" t="n"/>
      <c r="Y17" s="53" t="n">
        <v>30</v>
      </c>
      <c r="Z17" s="42">
        <f>$C$2</f>
        <v/>
      </c>
      <c r="AA17" s="51" t="n"/>
      <c r="AB17" s="51" t="n"/>
      <c r="AC17" s="51" t="n"/>
      <c r="AD17" s="51" t="n"/>
      <c r="AE17" s="53" t="n">
        <v>30</v>
      </c>
      <c r="AF17" s="42">
        <f>$C$2</f>
        <v/>
      </c>
      <c r="AG17" s="51" t="n"/>
      <c r="AH17" s="51" t="n"/>
      <c r="AI17" s="51" t="n"/>
      <c r="AJ17" s="51" t="n">
        <v>10</v>
      </c>
      <c r="AK17" s="53" t="n">
        <v>20</v>
      </c>
      <c r="AL17" s="42">
        <f>$C$2</f>
        <v/>
      </c>
      <c r="AM17" s="51" t="n"/>
      <c r="AN17" s="51" t="n"/>
      <c r="AO17" s="49" t="n">
        <v>10</v>
      </c>
      <c r="AP17" s="49" t="n">
        <v>15</v>
      </c>
      <c r="AQ17" s="53" t="n">
        <v>5</v>
      </c>
      <c r="AR17" s="42">
        <f>$C$2</f>
        <v/>
      </c>
    </row>
    <row r="18">
      <c r="A18" s="57" t="n">
        <v>10</v>
      </c>
      <c r="B18" s="98" t="n">
        <v>10000000</v>
      </c>
      <c r="C18" s="51" t="n"/>
      <c r="D18" s="51" t="n"/>
      <c r="E18" s="51" t="n"/>
      <c r="F18" s="51" t="n"/>
      <c r="G18" s="53" t="n">
        <v>30</v>
      </c>
      <c r="H18" s="42">
        <f>$C$2</f>
        <v/>
      </c>
      <c r="I18" s="51" t="n"/>
      <c r="J18" s="51" t="n"/>
      <c r="K18" s="51" t="n"/>
      <c r="L18" s="51" t="n"/>
      <c r="M18" s="53" t="n">
        <v>30</v>
      </c>
      <c r="N18" s="42">
        <f>$C$2</f>
        <v/>
      </c>
      <c r="O18" s="51" t="n"/>
      <c r="P18" s="51" t="n"/>
      <c r="Q18" s="51" t="n"/>
      <c r="R18" s="51" t="n"/>
      <c r="S18" s="53" t="n">
        <v>30</v>
      </c>
      <c r="T18" s="42">
        <f>$C$2</f>
        <v/>
      </c>
      <c r="U18" s="51" t="n"/>
      <c r="V18" s="51" t="n"/>
      <c r="W18" s="51" t="n"/>
      <c r="X18" s="51" t="n"/>
      <c r="Y18" s="53" t="n">
        <v>30</v>
      </c>
      <c r="Z18" s="42">
        <f>$C$2</f>
        <v/>
      </c>
      <c r="AA18" s="51" t="n"/>
      <c r="AB18" s="51" t="n"/>
      <c r="AC18" s="51" t="n"/>
      <c r="AD18" s="51" t="n"/>
      <c r="AE18" s="53" t="n">
        <v>30</v>
      </c>
      <c r="AF18" s="42">
        <f>$C$2</f>
        <v/>
      </c>
      <c r="AG18" s="51" t="n"/>
      <c r="AH18" s="51" t="n"/>
      <c r="AI18" s="51" t="n"/>
      <c r="AJ18" s="51" t="n"/>
      <c r="AK18" s="53" t="n">
        <v>30</v>
      </c>
      <c r="AL18" s="42">
        <f>$C$2</f>
        <v/>
      </c>
      <c r="AM18" s="51" t="n"/>
      <c r="AN18" s="51" t="n"/>
      <c r="AO18" s="51" t="n"/>
      <c r="AP18" s="49" t="n">
        <v>20</v>
      </c>
      <c r="AQ18" s="53" t="n">
        <v>10</v>
      </c>
      <c r="AR18" s="42">
        <f>$C$2</f>
        <v/>
      </c>
    </row>
    <row r="19">
      <c r="A19" s="57" t="n">
        <v>11</v>
      </c>
      <c r="B19" s="98" t="n">
        <v>50000000</v>
      </c>
      <c r="C19" s="51" t="n"/>
      <c r="D19" s="51" t="n"/>
      <c r="E19" s="51" t="n"/>
      <c r="F19" s="51" t="n"/>
      <c r="G19" s="53" t="n">
        <v>30</v>
      </c>
      <c r="H19" s="42">
        <f>$C$2</f>
        <v/>
      </c>
      <c r="I19" s="51" t="n"/>
      <c r="J19" s="51" t="n"/>
      <c r="K19" s="51" t="n"/>
      <c r="L19" s="51" t="n"/>
      <c r="M19" s="53" t="n">
        <v>30</v>
      </c>
      <c r="N19" s="42">
        <f>$C$2</f>
        <v/>
      </c>
      <c r="O19" s="51" t="n"/>
      <c r="P19" s="51" t="n"/>
      <c r="Q19" s="51" t="n"/>
      <c r="R19" s="51" t="n"/>
      <c r="S19" s="53" t="n">
        <v>30</v>
      </c>
      <c r="T19" s="42">
        <f>$C$2</f>
        <v/>
      </c>
      <c r="U19" s="51" t="n"/>
      <c r="V19" s="51" t="n"/>
      <c r="W19" s="51" t="n"/>
      <c r="X19" s="51" t="n"/>
      <c r="Y19" s="53" t="n">
        <v>30</v>
      </c>
      <c r="Z19" s="42">
        <f>$C$2</f>
        <v/>
      </c>
      <c r="AA19" s="51" t="n"/>
      <c r="AB19" s="51" t="n"/>
      <c r="AC19" s="51" t="n"/>
      <c r="AD19" s="51" t="n"/>
      <c r="AE19" s="53" t="n">
        <v>30</v>
      </c>
      <c r="AF19" s="42">
        <f>$C$2</f>
        <v/>
      </c>
      <c r="AG19" s="51" t="n"/>
      <c r="AH19" s="51" t="n"/>
      <c r="AI19" s="51" t="n"/>
      <c r="AJ19" s="51" t="n"/>
      <c r="AK19" s="53" t="n">
        <v>30</v>
      </c>
      <c r="AL19" s="42">
        <f>$C$2</f>
        <v/>
      </c>
      <c r="AM19" s="51" t="n"/>
      <c r="AN19" s="51" t="n"/>
      <c r="AO19" s="51" t="n"/>
      <c r="AP19" s="51" t="n">
        <v>10</v>
      </c>
      <c r="AQ19" s="53" t="n">
        <v>20</v>
      </c>
      <c r="AR19" s="42">
        <f>$C$2</f>
        <v/>
      </c>
    </row>
    <row r="20">
      <c r="A20" s="57" t="n">
        <v>12</v>
      </c>
      <c r="B20" s="97" t="n">
        <v>100000000</v>
      </c>
      <c r="C20" s="51" t="n"/>
      <c r="D20" s="51" t="n"/>
      <c r="E20" s="51" t="n"/>
      <c r="F20" s="51" t="n"/>
      <c r="G20" s="53" t="n">
        <v>30</v>
      </c>
      <c r="H20" s="42">
        <f>$C$2</f>
        <v/>
      </c>
      <c r="I20" s="51" t="n"/>
      <c r="J20" s="51" t="n"/>
      <c r="K20" s="51" t="n"/>
      <c r="L20" s="51" t="n"/>
      <c r="M20" s="53" t="n">
        <v>30</v>
      </c>
      <c r="N20" s="42">
        <f>$C$2</f>
        <v/>
      </c>
      <c r="O20" s="51" t="n"/>
      <c r="P20" s="51" t="n"/>
      <c r="Q20" s="51" t="n"/>
      <c r="R20" s="51" t="n"/>
      <c r="S20" s="53" t="n">
        <v>30</v>
      </c>
      <c r="T20" s="42">
        <f>$C$2</f>
        <v/>
      </c>
      <c r="U20" s="51" t="n"/>
      <c r="V20" s="51" t="n"/>
      <c r="W20" s="51" t="n"/>
      <c r="X20" s="51" t="n"/>
      <c r="Y20" s="53" t="n">
        <v>30</v>
      </c>
      <c r="Z20" s="42">
        <f>$C$2</f>
        <v/>
      </c>
      <c r="AA20" s="51" t="n"/>
      <c r="AB20" s="51" t="n"/>
      <c r="AC20" s="51" t="n"/>
      <c r="AD20" s="51" t="n"/>
      <c r="AE20" s="53" t="n">
        <v>30</v>
      </c>
      <c r="AF20" s="42">
        <f>$C$2</f>
        <v/>
      </c>
      <c r="AG20" s="51" t="n"/>
      <c r="AH20" s="51" t="n"/>
      <c r="AI20" s="51" t="n"/>
      <c r="AJ20" s="51" t="n"/>
      <c r="AK20" s="53" t="n">
        <v>30</v>
      </c>
      <c r="AL20" s="42">
        <f>$C$2</f>
        <v/>
      </c>
      <c r="AM20" s="51" t="n"/>
      <c r="AN20" s="51" t="n"/>
      <c r="AO20" s="51" t="n"/>
      <c r="AP20" s="51" t="n"/>
      <c r="AQ20" s="53" t="n">
        <v>30</v>
      </c>
      <c r="AR20" s="42">
        <f>$C$2</f>
        <v/>
      </c>
    </row>
    <row r="21">
      <c r="A21" s="58" t="n">
        <v>1</v>
      </c>
      <c r="B21" s="99" t="inlineStr">
        <is>
          <t>50,000 Under</t>
        </is>
      </c>
      <c r="C21" s="50">
        <f>C8/SUM(C8:G8)</f>
        <v/>
      </c>
      <c r="D21" s="50">
        <f>D8/SUM(C8:G8)</f>
        <v/>
      </c>
      <c r="E21" s="50">
        <f>E8/SUM(C8:G8)</f>
        <v/>
      </c>
      <c r="F21" s="50">
        <f>F8/SUM(C8:G8)</f>
        <v/>
      </c>
      <c r="G21" s="50">
        <f>G8/SUM(C8:G8)</f>
        <v/>
      </c>
      <c r="H21" s="52">
        <f>(C20*C$7)+(D20*D$7)+(E20*E$7)+(F20*F$7)+(G20*G$7)</f>
        <v/>
      </c>
      <c r="I21" s="50">
        <f>I8/SUM(I8:M8)</f>
        <v/>
      </c>
      <c r="J21" s="50">
        <f>J8/SUM(I8:M8)</f>
        <v/>
      </c>
      <c r="K21" s="50">
        <f>K8/SUM(I8:M8)</f>
        <v/>
      </c>
      <c r="L21" s="50">
        <f>L8/SUM(I8:M8)</f>
        <v/>
      </c>
      <c r="M21" s="50">
        <f>M8/SUM(I8:M8)</f>
        <v/>
      </c>
      <c r="N21" s="52">
        <f>(I20*I$7)+(J20*J$7)+(K20*K$7)+(L20*L$7)+(M20*M$7)</f>
        <v/>
      </c>
      <c r="O21" s="50">
        <f>O8/SUM(O8:S8)</f>
        <v/>
      </c>
      <c r="P21" s="50">
        <f>P8/SUM(O8:S8)</f>
        <v/>
      </c>
      <c r="Q21" s="50">
        <f>Q8/SUM(O8:S8)</f>
        <v/>
      </c>
      <c r="R21" s="50">
        <f>R8/SUM(O8:S8)</f>
        <v/>
      </c>
      <c r="S21" s="50">
        <f>S8/SUM(O8:S8)</f>
        <v/>
      </c>
      <c r="T21" s="52">
        <f>(O20*O$7)+(P20*P$7)+(Q20*Q$7)+(R20*R$7)+(S20*S$7)</f>
        <v/>
      </c>
      <c r="U21" s="50">
        <f>U8/SUM(U8:Y8)</f>
        <v/>
      </c>
      <c r="V21" s="50">
        <f>V8/SUM(U8:Y8)</f>
        <v/>
      </c>
      <c r="W21" s="50">
        <f>W8/SUM(U8:Y8)</f>
        <v/>
      </c>
      <c r="X21" s="50">
        <f>X8/SUM(U8:Y8)</f>
        <v/>
      </c>
      <c r="Y21" s="50">
        <f>Y8/SUM(U8:Y8)</f>
        <v/>
      </c>
      <c r="Z21" s="52">
        <f>(U20*U$7)+(V20*V$7)+(W20*W$7)+(X20*X$7)+(Y20*Y$7)</f>
        <v/>
      </c>
      <c r="AA21" s="50">
        <f>AA8/SUM(AA8:AE8)</f>
        <v/>
      </c>
      <c r="AB21" s="50">
        <f>AB8/SUM(AA8:AE8)</f>
        <v/>
      </c>
      <c r="AC21" s="50">
        <f>AC8/SUM(AA8:AE8)</f>
        <v/>
      </c>
      <c r="AD21" s="50">
        <f>AD8/SUM(AA8:AE8)</f>
        <v/>
      </c>
      <c r="AE21" s="50">
        <f>AE8/SUM(AA8:AE8)</f>
        <v/>
      </c>
      <c r="AF21" s="52">
        <f>(AA20*AA$7)+(AB20*AB$7)+(AC20*AC$7)+(AD20*AD$7)+(AE20*AE$7)</f>
        <v/>
      </c>
      <c r="AG21" s="50">
        <f>AG8/SUM(AG8:AK8)</f>
        <v/>
      </c>
      <c r="AH21" s="50">
        <f>AH8/SUM(AG8:AK8)</f>
        <v/>
      </c>
      <c r="AI21" s="50">
        <f>AI8/SUM(AG8:AK8)</f>
        <v/>
      </c>
      <c r="AJ21" s="50">
        <f>AJ8/SUM(AG8:AK8)</f>
        <v/>
      </c>
      <c r="AK21" s="50">
        <f>AK8/SUM(AG8:AK8)</f>
        <v/>
      </c>
      <c r="AL21" s="52">
        <f>(AG20*AG$7)+(AH20*AH$7)+(AI20*AI$7)+(AJ20*AJ$7)+(AK20*AK$7)</f>
        <v/>
      </c>
      <c r="AM21" s="50">
        <f>AM8/SUM(AM8:AQ8)</f>
        <v/>
      </c>
      <c r="AN21" s="50">
        <f>AN8/SUM(AM8:AQ8)</f>
        <v/>
      </c>
      <c r="AO21" s="50">
        <f>AO8/SUM(AM8:AQ8)</f>
        <v/>
      </c>
      <c r="AP21" s="50">
        <f>AP8/SUM(AM8:AQ8)</f>
        <v/>
      </c>
      <c r="AQ21" s="50">
        <f>AQ8/SUM(AM8:AQ8)</f>
        <v/>
      </c>
      <c r="AR21" s="52">
        <f>(AM20*AM$7)+(AN20*AN$7)+(AO20*AO$7)+(AP20*AP$7)+(AQ20*AQ$7)</f>
        <v/>
      </c>
    </row>
    <row r="22">
      <c r="A22" s="58" t="n">
        <v>2</v>
      </c>
      <c r="B22" s="100" t="n">
        <v>50000</v>
      </c>
      <c r="C22" s="50">
        <f>C9/SUM(C9:G9)</f>
        <v/>
      </c>
      <c r="D22" s="50">
        <f>D9/SUM(C9:G9)</f>
        <v/>
      </c>
      <c r="E22" s="50">
        <f>E9/SUM(C9:G9)</f>
        <v/>
      </c>
      <c r="F22" s="50">
        <f>F9/SUM(C9:G9)</f>
        <v/>
      </c>
      <c r="G22" s="50">
        <f>G9/SUM(C9:G9)</f>
        <v/>
      </c>
      <c r="H22" s="52">
        <f>(C21*C$7)+(D21*D$7)+(E21*E$7)+(F21*F$7)+(G21*G$7)</f>
        <v/>
      </c>
      <c r="I22" s="50">
        <f>I9/SUM(I9:M9)</f>
        <v/>
      </c>
      <c r="J22" s="50">
        <f>J9/SUM(I9:M9)</f>
        <v/>
      </c>
      <c r="K22" s="50">
        <f>K9/SUM(I9:M9)</f>
        <v/>
      </c>
      <c r="L22" s="50">
        <f>L9/SUM(I9:M9)</f>
        <v/>
      </c>
      <c r="M22" s="50">
        <f>M9/SUM(I9:M9)</f>
        <v/>
      </c>
      <c r="N22" s="52">
        <f>(I21*I$7)+(J21*J$7)+(K21*K$7)+(L21*L$7)+(M21*M$7)</f>
        <v/>
      </c>
      <c r="O22" s="50">
        <f>O9/SUM(O9:S9)</f>
        <v/>
      </c>
      <c r="P22" s="50">
        <f>P9/SUM(O9:S9)</f>
        <v/>
      </c>
      <c r="Q22" s="50">
        <f>Q9/SUM(O9:S9)</f>
        <v/>
      </c>
      <c r="R22" s="50">
        <f>R9/SUM(O9:S9)</f>
        <v/>
      </c>
      <c r="S22" s="50">
        <f>S9/SUM(O9:S9)</f>
        <v/>
      </c>
      <c r="T22" s="52">
        <f>(O21*O$7)+(P21*P$7)+(Q21*Q$7)+(R21*R$7)+(S21*S$7)</f>
        <v/>
      </c>
      <c r="U22" s="50">
        <f>U9/SUM(U9:Y9)</f>
        <v/>
      </c>
      <c r="V22" s="50">
        <f>V9/SUM(U9:Y9)</f>
        <v/>
      </c>
      <c r="W22" s="50">
        <f>W9/SUM(U9:Y9)</f>
        <v/>
      </c>
      <c r="X22" s="50">
        <f>X9/SUM(U9:Y9)</f>
        <v/>
      </c>
      <c r="Y22" s="50">
        <f>Y9/SUM(U9:Y9)</f>
        <v/>
      </c>
      <c r="Z22" s="52">
        <f>(U21*U$7)+(V21*V$7)+(W21*W$7)+(X21*X$7)+(Y21*Y$7)</f>
        <v/>
      </c>
      <c r="AA22" s="50">
        <f>AA9/SUM(AA9:AE9)</f>
        <v/>
      </c>
      <c r="AB22" s="50">
        <f>AB9/SUM(AA9:AE9)</f>
        <v/>
      </c>
      <c r="AC22" s="50">
        <f>AC9/SUM(AA9:AE9)</f>
        <v/>
      </c>
      <c r="AD22" s="50">
        <f>AD9/SUM(AA9:AE9)</f>
        <v/>
      </c>
      <c r="AE22" s="50">
        <f>AE9/SUM(AA9:AE9)</f>
        <v/>
      </c>
      <c r="AF22" s="52">
        <f>(AA21*AA$7)+(AB21*AB$7)+(AC21*AC$7)+(AD21*AD$7)+(AE21*AE$7)</f>
        <v/>
      </c>
      <c r="AG22" s="50">
        <f>AG9/SUM(AG9:AK9)</f>
        <v/>
      </c>
      <c r="AH22" s="50">
        <f>AH9/SUM(AG9:AK9)</f>
        <v/>
      </c>
      <c r="AI22" s="50">
        <f>AI9/SUM(AG9:AK9)</f>
        <v/>
      </c>
      <c r="AJ22" s="50">
        <f>AJ9/SUM(AG9:AK9)</f>
        <v/>
      </c>
      <c r="AK22" s="50">
        <f>AK9/SUM(AG9:AK9)</f>
        <v/>
      </c>
      <c r="AL22" s="52">
        <f>(AG21*AG$7)+(AH21*AH$7)+(AI21*AI$7)+(AJ21*AJ$7)+(AK21*AK$7)</f>
        <v/>
      </c>
      <c r="AM22" s="50">
        <f>AM9/SUM(AM9:AQ9)</f>
        <v/>
      </c>
      <c r="AN22" s="50">
        <f>AN9/SUM(AM9:AQ9)</f>
        <v/>
      </c>
      <c r="AO22" s="50">
        <f>AO9/SUM(AM9:AQ9)</f>
        <v/>
      </c>
      <c r="AP22" s="50">
        <f>AP9/SUM(AM9:AQ9)</f>
        <v/>
      </c>
      <c r="AQ22" s="50">
        <f>AQ9/SUM(AM9:AQ9)</f>
        <v/>
      </c>
      <c r="AR22" s="52">
        <f>(AM21*AM$7)+(AN21*AN$7)+(AO21*AO$7)+(AP21*AP$7)+(AQ21*AQ$7)</f>
        <v/>
      </c>
    </row>
    <row r="23">
      <c r="A23" s="58" t="n">
        <v>3</v>
      </c>
      <c r="B23" s="101" t="n">
        <v>100000</v>
      </c>
      <c r="C23" s="50">
        <f>C10/SUM(C10:G10)</f>
        <v/>
      </c>
      <c r="D23" s="50">
        <f>D10/SUM(C10:G10)</f>
        <v/>
      </c>
      <c r="E23" s="48">
        <f>E10/SUM(C10:G10)</f>
        <v/>
      </c>
      <c r="F23" s="50">
        <f>F10/SUM(C10:G10)</f>
        <v/>
      </c>
      <c r="G23" s="50">
        <f>G10/SUM(C10:G10)</f>
        <v/>
      </c>
      <c r="H23" s="47">
        <f>(C22*C$7)+(D22*D$7)+(E22*E$7)+(F22*F$7)+(G22*G$7)</f>
        <v/>
      </c>
      <c r="I23" s="50">
        <f>I10/SUM(I10:M10)</f>
        <v/>
      </c>
      <c r="J23" s="50">
        <f>J10/SUM(I10:M10)</f>
        <v/>
      </c>
      <c r="K23" s="50">
        <f>K10/SUM(I10:M10)</f>
        <v/>
      </c>
      <c r="L23" s="50">
        <f>L10/SUM(I10:M10)</f>
        <v/>
      </c>
      <c r="M23" s="50">
        <f>M10/SUM(I10:M10)</f>
        <v/>
      </c>
      <c r="N23" s="52">
        <f>(I22*I$7)+(J22*J$7)+(K22*K$7)+(L22*L$7)+(M22*M$7)</f>
        <v/>
      </c>
      <c r="O23" s="50">
        <f>O10/SUM(O10:S10)</f>
        <v/>
      </c>
      <c r="P23" s="50">
        <f>P10/SUM(O10:S10)</f>
        <v/>
      </c>
      <c r="Q23" s="50">
        <f>Q10/SUM(O10:S10)</f>
        <v/>
      </c>
      <c r="R23" s="50">
        <f>R10/SUM(O10:S10)</f>
        <v/>
      </c>
      <c r="S23" s="50">
        <f>S10/SUM(O10:S10)</f>
        <v/>
      </c>
      <c r="T23" s="52">
        <f>(O22*O$7)+(P22*P$7)+(Q22*Q$7)+(R22*R$7)+(S22*S$7)</f>
        <v/>
      </c>
      <c r="U23" s="50">
        <f>U10/SUM(U10:Y10)</f>
        <v/>
      </c>
      <c r="V23" s="50">
        <f>V10/SUM(U10:Y10)</f>
        <v/>
      </c>
      <c r="W23" s="50">
        <f>W10/SUM(U10:Y10)</f>
        <v/>
      </c>
      <c r="X23" s="50">
        <f>X10/SUM(U10:Y10)</f>
        <v/>
      </c>
      <c r="Y23" s="50">
        <f>Y10/SUM(U10:Y10)</f>
        <v/>
      </c>
      <c r="Z23" s="52">
        <f>(U22*U$7)+(V22*V$7)+(W22*W$7)+(X22*X$7)+(Y22*Y$7)</f>
        <v/>
      </c>
      <c r="AA23" s="50">
        <f>AA10/SUM(AA10:AE10)</f>
        <v/>
      </c>
      <c r="AB23" s="50">
        <f>AB10/SUM(AA10:AE10)</f>
        <v/>
      </c>
      <c r="AC23" s="50">
        <f>AC10/SUM(AA10:AE10)</f>
        <v/>
      </c>
      <c r="AD23" s="50">
        <f>AD10/SUM(AA10:AE10)</f>
        <v/>
      </c>
      <c r="AE23" s="50">
        <f>AE10/SUM(AA10:AE10)</f>
        <v/>
      </c>
      <c r="AF23" s="52">
        <f>(AA22*AA$7)+(AB22*AB$7)+(AC22*AC$7)+(AD22*AD$7)+(AE22*AE$7)</f>
        <v/>
      </c>
      <c r="AG23" s="50">
        <f>AG10/SUM(AG10:AK10)</f>
        <v/>
      </c>
      <c r="AH23" s="50">
        <f>AH10/SUM(AG10:AK10)</f>
        <v/>
      </c>
      <c r="AI23" s="50">
        <f>AI10/SUM(AG10:AK10)</f>
        <v/>
      </c>
      <c r="AJ23" s="50">
        <f>AJ10/SUM(AG10:AK10)</f>
        <v/>
      </c>
      <c r="AK23" s="50">
        <f>AK10/SUM(AG10:AK10)</f>
        <v/>
      </c>
      <c r="AL23" s="52">
        <f>(AG22*AG$7)+(AH22*AH$7)+(AI22*AI$7)+(AJ22*AJ$7)+(AK22*AK$7)</f>
        <v/>
      </c>
      <c r="AM23" s="50">
        <f>AM10/SUM(AM10:AQ10)</f>
        <v/>
      </c>
      <c r="AN23" s="50">
        <f>AN10/SUM(AM10:AQ10)</f>
        <v/>
      </c>
      <c r="AO23" s="50">
        <f>AO10/SUM(AM10:AQ10)</f>
        <v/>
      </c>
      <c r="AP23" s="50">
        <f>AP10/SUM(AM10:AQ10)</f>
        <v/>
      </c>
      <c r="AQ23" s="50">
        <f>AQ10/SUM(AM10:AQ10)</f>
        <v/>
      </c>
      <c r="AR23" s="52">
        <f>(AM22*AM$7)+(AN22*AN$7)+(AO22*AO$7)+(AP22*AP$7)+(AQ22*AQ$7)</f>
        <v/>
      </c>
    </row>
    <row r="24">
      <c r="A24" s="58" t="n">
        <v>4</v>
      </c>
      <c r="B24" s="101" t="n">
        <v>200000</v>
      </c>
      <c r="C24" s="50">
        <f>C11/SUM(C11:G11)</f>
        <v/>
      </c>
      <c r="D24" s="50">
        <f>D11/SUM(C11:G11)</f>
        <v/>
      </c>
      <c r="E24" s="48">
        <f>E11/SUM(C11:G11)</f>
        <v/>
      </c>
      <c r="F24" s="50">
        <f>F11/SUM(C11:G11)</f>
        <v/>
      </c>
      <c r="G24" s="50">
        <f>G11/SUM(C11:G11)</f>
        <v/>
      </c>
      <c r="H24" s="47">
        <f>(C23*C$7)+(D23*D$7)+(E23*E$7)+(F23*F$7)+(G23*G$7)</f>
        <v/>
      </c>
      <c r="I24" s="50">
        <f>I11/SUM(I11:M11)</f>
        <v/>
      </c>
      <c r="J24" s="50">
        <f>J11/SUM(I11:M11)</f>
        <v/>
      </c>
      <c r="K24" s="48">
        <f>K11/SUM(I11:M11)</f>
        <v/>
      </c>
      <c r="L24" s="50">
        <f>L11/SUM(I11:M11)</f>
        <v/>
      </c>
      <c r="M24" s="50">
        <f>M11/SUM(I11:M11)</f>
        <v/>
      </c>
      <c r="N24" s="47">
        <f>(I23*I$7)+(J23*J$7)+(K23*K$7)+(L23*L$7)+(M23*M$7)</f>
        <v/>
      </c>
      <c r="O24" s="50">
        <f>O11/SUM(O11:S11)</f>
        <v/>
      </c>
      <c r="P24" s="48">
        <f>P11/SUM(O11:S11)</f>
        <v/>
      </c>
      <c r="Q24" s="50">
        <f>Q11/SUM(O11:S11)</f>
        <v/>
      </c>
      <c r="R24" s="50">
        <f>R11/SUM(O11:S11)</f>
        <v/>
      </c>
      <c r="S24" s="50">
        <f>S11/SUM(O11:S11)</f>
        <v/>
      </c>
      <c r="T24" s="47">
        <f>(O23*O$7)+(P23*P$7)+(Q23*Q$7)+(R23*R$7)+(S23*S$7)</f>
        <v/>
      </c>
      <c r="U24" s="50">
        <f>U11/SUM(U11:Y11)</f>
        <v/>
      </c>
      <c r="V24" s="50">
        <f>V11/SUM(U11:Y11)</f>
        <v/>
      </c>
      <c r="W24" s="50">
        <f>W11/SUM(U11:Y11)</f>
        <v/>
      </c>
      <c r="X24" s="50">
        <f>X11/SUM(U11:Y11)</f>
        <v/>
      </c>
      <c r="Y24" s="50">
        <f>Y11/SUM(U11:Y11)</f>
        <v/>
      </c>
      <c r="Z24" s="52">
        <f>(U23*U$7)+(V23*V$7)+(W23*W$7)+(X23*X$7)+(Y23*Y$7)</f>
        <v/>
      </c>
      <c r="AA24" s="50">
        <f>AA11/SUM(AA11:AE11)</f>
        <v/>
      </c>
      <c r="AB24" s="50">
        <f>AB11/SUM(AA11:AE11)</f>
        <v/>
      </c>
      <c r="AC24" s="50">
        <f>AC11/SUM(AA11:AE11)</f>
        <v/>
      </c>
      <c r="AD24" s="50">
        <f>AD11/SUM(AA11:AE11)</f>
        <v/>
      </c>
      <c r="AE24" s="50">
        <f>AE11/SUM(AA11:AE11)</f>
        <v/>
      </c>
      <c r="AF24" s="52">
        <f>(AA23*AA$7)+(AB23*AB$7)+(AC23*AC$7)+(AD23*AD$7)+(AE23*AE$7)</f>
        <v/>
      </c>
      <c r="AG24" s="50">
        <f>AG11/SUM(AG11:AK11)</f>
        <v/>
      </c>
      <c r="AH24" s="50">
        <f>AH11/SUM(AG11:AK11)</f>
        <v/>
      </c>
      <c r="AI24" s="50">
        <f>AI11/SUM(AG11:AK11)</f>
        <v/>
      </c>
      <c r="AJ24" s="50">
        <f>AJ11/SUM(AG11:AK11)</f>
        <v/>
      </c>
      <c r="AK24" s="50">
        <f>AK11/SUM(AG11:AK11)</f>
        <v/>
      </c>
      <c r="AL24" s="52">
        <f>(AG23*AG$7)+(AH23*AH$7)+(AI23*AI$7)+(AJ23*AJ$7)+(AK23*AK$7)</f>
        <v/>
      </c>
      <c r="AM24" s="50">
        <f>AM11/SUM(AM11:AQ11)</f>
        <v/>
      </c>
      <c r="AN24" s="50">
        <f>AN11/SUM(AM11:AQ11)</f>
        <v/>
      </c>
      <c r="AO24" s="50">
        <f>AO11/SUM(AM11:AQ11)</f>
        <v/>
      </c>
      <c r="AP24" s="50">
        <f>AP11/SUM(AM11:AQ11)</f>
        <v/>
      </c>
      <c r="AQ24" s="50">
        <f>AQ11/SUM(AM11:AQ11)</f>
        <v/>
      </c>
      <c r="AR24" s="52">
        <f>(AM23*AM$7)+(AN23*AN$7)+(AO23*AO$7)+(AP23*AP$7)+(AQ23*AQ$7)</f>
        <v/>
      </c>
    </row>
    <row r="25">
      <c r="A25" s="58" t="n">
        <v>5</v>
      </c>
      <c r="B25" s="102" t="n">
        <v>500000</v>
      </c>
      <c r="C25" s="50">
        <f>C12/SUM(C12:G12)</f>
        <v/>
      </c>
      <c r="D25" s="50">
        <f>D12/SUM(C12:G12)</f>
        <v/>
      </c>
      <c r="E25" s="50">
        <f>E12/SUM(C12:G12)</f>
        <v/>
      </c>
      <c r="F25" s="50">
        <f>F12/SUM(C12:G12)</f>
        <v/>
      </c>
      <c r="G25" s="50">
        <f>G12/SUM(C12:G12)</f>
        <v/>
      </c>
      <c r="H25" s="52">
        <f>(C24*C$7)+(D24*D$7)+(E24*E$7)+(F24*F$7)+(G24*G$7)</f>
        <v/>
      </c>
      <c r="I25" s="50">
        <f>I12/SUM(I12:M12)</f>
        <v/>
      </c>
      <c r="J25" s="50">
        <f>J12/SUM(I12:M12)</f>
        <v/>
      </c>
      <c r="K25" s="48">
        <f>K12/SUM(I12:M12)</f>
        <v/>
      </c>
      <c r="L25" s="50">
        <f>L12/SUM(I12:M12)</f>
        <v/>
      </c>
      <c r="M25" s="50">
        <f>M12/SUM(I12:M12)</f>
        <v/>
      </c>
      <c r="N25" s="47">
        <f>(I24*I$7)+(J24*J$7)+(K24*K$7)+(L24*L$7)+(M24*M$7)</f>
        <v/>
      </c>
      <c r="O25" s="50">
        <f>O12/SUM(O12:S12)</f>
        <v/>
      </c>
      <c r="P25" s="50">
        <f>P12/SUM(O12:S12)</f>
        <v/>
      </c>
      <c r="Q25" s="48">
        <f>Q12/SUM(O12:S12)</f>
        <v/>
      </c>
      <c r="R25" s="50">
        <f>R12/SUM(O12:S12)</f>
        <v/>
      </c>
      <c r="S25" s="50">
        <f>S12/SUM(O12:S12)</f>
        <v/>
      </c>
      <c r="T25" s="47">
        <f>(O24*O$7)+(P24*P$7)+(Q24*Q$7)+(R24*R$7)+(S24*S$7)</f>
        <v/>
      </c>
      <c r="U25" s="50">
        <f>U12/SUM(U12:Y12)</f>
        <v/>
      </c>
      <c r="V25" s="48">
        <f>V12/SUM(U12:Y12)</f>
        <v/>
      </c>
      <c r="W25" s="48">
        <f>W12/SUM(U12:Y12)</f>
        <v/>
      </c>
      <c r="X25" s="50">
        <f>X12/SUM(U12:Y12)</f>
        <v/>
      </c>
      <c r="Y25" s="50">
        <f>Y12/SUM(U12:Y12)</f>
        <v/>
      </c>
      <c r="Z25" s="47">
        <f>(U24*U$7)+(V24*V$7)+(W24*W$7)+(X24*X$7)+(Y24*Y$7)</f>
        <v/>
      </c>
      <c r="AA25" s="50">
        <f>AA12/SUM(AA12:AE12)</f>
        <v/>
      </c>
      <c r="AB25" s="50">
        <f>AB12/SUM(AA12:AE12)</f>
        <v/>
      </c>
      <c r="AC25" s="50">
        <f>AC12/SUM(AA12:AE12)</f>
        <v/>
      </c>
      <c r="AD25" s="50">
        <f>AD12/SUM(AA12:AE12)</f>
        <v/>
      </c>
      <c r="AE25" s="50">
        <f>AE12/SUM(AA12:AE12)</f>
        <v/>
      </c>
      <c r="AF25" s="52">
        <f>(AA24*AA$7)+(AB24*AB$7)+(AC24*AC$7)+(AD24*AD$7)+(AE24*AE$7)</f>
        <v/>
      </c>
      <c r="AG25" s="50">
        <f>AG12/SUM(AG12:AK12)</f>
        <v/>
      </c>
      <c r="AH25" s="50">
        <f>AH12/SUM(AG12:AK12)</f>
        <v/>
      </c>
      <c r="AI25" s="50">
        <f>AI12/SUM(AG12:AK12)</f>
        <v/>
      </c>
      <c r="AJ25" s="50">
        <f>AJ12/SUM(AG12:AK12)</f>
        <v/>
      </c>
      <c r="AK25" s="50">
        <f>AK12/SUM(AG12:AK12)</f>
        <v/>
      </c>
      <c r="AL25" s="52">
        <f>(AG24*AG$7)+(AH24*AH$7)+(AI24*AI$7)+(AJ24*AJ$7)+(AK24*AK$7)</f>
        <v/>
      </c>
      <c r="AM25" s="50">
        <f>AM12/SUM(AM12:AQ12)</f>
        <v/>
      </c>
      <c r="AN25" s="50">
        <f>AN12/SUM(AM12:AQ12)</f>
        <v/>
      </c>
      <c r="AO25" s="50">
        <f>AO12/SUM(AM12:AQ12)</f>
        <v/>
      </c>
      <c r="AP25" s="50">
        <f>AP12/SUM(AM12:AQ12)</f>
        <v/>
      </c>
      <c r="AQ25" s="50">
        <f>AQ12/SUM(AM12:AQ12)</f>
        <v/>
      </c>
      <c r="AR25" s="52">
        <f>(AM24*AM$7)+(AN24*AN$7)+(AO24*AO$7)+(AP24*AP$7)+(AQ24*AQ$7)</f>
        <v/>
      </c>
    </row>
    <row r="26">
      <c r="A26" s="58" t="n">
        <v>6</v>
      </c>
      <c r="B26" s="102" t="n">
        <v>800000</v>
      </c>
      <c r="C26" s="50">
        <f>C13/SUM(C13:G13)</f>
        <v/>
      </c>
      <c r="D26" s="50">
        <f>D13/SUM(C13:G13)</f>
        <v/>
      </c>
      <c r="E26" s="50">
        <f>E13/SUM(C13:G13)</f>
        <v/>
      </c>
      <c r="F26" s="50">
        <f>F13/SUM(C13:G13)</f>
        <v/>
      </c>
      <c r="G26" s="50">
        <f>G13/SUM(C13:G13)</f>
        <v/>
      </c>
      <c r="H26" s="52">
        <f>(C25*C$7)+(D25*D$7)+(E25*E$7)+(F25*F$7)+(G25*G$7)</f>
        <v/>
      </c>
      <c r="I26" s="50">
        <f>I13/SUM(I13:M13)</f>
        <v/>
      </c>
      <c r="J26" s="50">
        <f>J13/SUM(I13:M13)</f>
        <v/>
      </c>
      <c r="K26" s="50">
        <f>K13/SUM(I13:M13)</f>
        <v/>
      </c>
      <c r="L26" s="50">
        <f>L13/SUM(I13:M13)</f>
        <v/>
      </c>
      <c r="M26" s="50">
        <f>M13/SUM(I13:M13)</f>
        <v/>
      </c>
      <c r="N26" s="52">
        <f>(I25*I$7)+(J25*J$7)+(K25*K$7)+(L25*L$7)+(M25*M$7)</f>
        <v/>
      </c>
      <c r="O26" s="50">
        <f>O13/SUM(O13:S13)</f>
        <v/>
      </c>
      <c r="P26" s="50">
        <f>P13/SUM(O13:S13)</f>
        <v/>
      </c>
      <c r="Q26" s="50">
        <f>Q13/SUM(O13:S13)</f>
        <v/>
      </c>
      <c r="R26" s="48">
        <f>R13/SUM(O13:S13)</f>
        <v/>
      </c>
      <c r="S26" s="50">
        <f>S13/SUM(O13:S13)</f>
        <v/>
      </c>
      <c r="T26" s="47">
        <f>(O25*O$7)+(P25*P$7)+(Q25*Q$7)+(R25*R$7)+(S25*S$7)</f>
        <v/>
      </c>
      <c r="U26" s="50">
        <f>U13/SUM(U13:Y13)</f>
        <v/>
      </c>
      <c r="V26" s="50">
        <f>V13/SUM(U13:Y13)</f>
        <v/>
      </c>
      <c r="W26" s="48">
        <f>W13/SUM(U13:Y13)</f>
        <v/>
      </c>
      <c r="X26" s="48">
        <f>X13/SUM(U13:Y13)</f>
        <v/>
      </c>
      <c r="Y26" s="50">
        <f>Y13/SUM(U13:Y13)</f>
        <v/>
      </c>
      <c r="Z26" s="47">
        <f>(U25*U$7)+(V25*V$7)+(W25*W$7)+(X25*X$7)+(Y25*Y$7)</f>
        <v/>
      </c>
      <c r="AA26" s="50">
        <f>AA13/SUM(AA13:AE13)</f>
        <v/>
      </c>
      <c r="AB26" s="48">
        <f>AB13/SUM(AA13:AE13)</f>
        <v/>
      </c>
      <c r="AC26" s="48">
        <f>AC13/SUM(AA13:AE13)</f>
        <v/>
      </c>
      <c r="AD26" s="48">
        <f>AD13/SUM(AA13:AE13)</f>
        <v/>
      </c>
      <c r="AE26" s="50">
        <f>AE13/SUM(AA13:AE13)</f>
        <v/>
      </c>
      <c r="AF26" s="47">
        <f>(AA25*AA$7)+(AB25*AB$7)+(AC25*AC$7)+(AD25*AD$7)+(AE25*AE$7)</f>
        <v/>
      </c>
      <c r="AG26" s="50">
        <f>AG13/SUM(AG13:AK13)</f>
        <v/>
      </c>
      <c r="AH26" s="50">
        <f>AH13/SUM(AG13:AK13)</f>
        <v/>
      </c>
      <c r="AI26" s="50">
        <f>AI13/SUM(AG13:AK13)</f>
        <v/>
      </c>
      <c r="AJ26" s="50">
        <f>AJ13/SUM(AG13:AK13)</f>
        <v/>
      </c>
      <c r="AK26" s="50">
        <f>AK13/SUM(AG13:AK13)</f>
        <v/>
      </c>
      <c r="AL26" s="52">
        <f>(AG25*AG$7)+(AH25*AH$7)+(AI25*AI$7)+(AJ25*AJ$7)+(AK25*AK$7)</f>
        <v/>
      </c>
      <c r="AM26" s="50">
        <f>AM13/SUM(AM13:AQ13)</f>
        <v/>
      </c>
      <c r="AN26" s="48">
        <f>AN13/SUM(AM13:AQ13)</f>
        <v/>
      </c>
      <c r="AO26" s="50">
        <f>AO13/SUM(AM13:AQ13)</f>
        <v/>
      </c>
      <c r="AP26" s="50">
        <f>AP13/SUM(AM13:AQ13)</f>
        <v/>
      </c>
      <c r="AQ26" s="50">
        <f>AQ13/SUM(AM13:AQ13)</f>
        <v/>
      </c>
      <c r="AR26" s="47">
        <f>(AM25*AM$7)+(AN25*AN$7)+(AO25*AO$7)+(AP25*AP$7)+(AQ25*AQ$7)</f>
        <v/>
      </c>
    </row>
    <row r="27">
      <c r="A27" s="58" t="n">
        <v>7</v>
      </c>
      <c r="B27" s="102" t="n">
        <v>1200000</v>
      </c>
      <c r="C27" s="50">
        <f>C14/SUM(C14:G14)</f>
        <v/>
      </c>
      <c r="D27" s="50">
        <f>D14/SUM(C14:G14)</f>
        <v/>
      </c>
      <c r="E27" s="50">
        <f>E14/SUM(C14:G14)</f>
        <v/>
      </c>
      <c r="F27" s="50">
        <f>F14/SUM(C14:G14)</f>
        <v/>
      </c>
      <c r="G27" s="50">
        <f>G14/SUM(C14:G14)</f>
        <v/>
      </c>
      <c r="H27" s="52">
        <f>(C26*C$7)+(D26*D$7)+(E26*E$7)+(F26*F$7)+(G26*G$7)</f>
        <v/>
      </c>
      <c r="I27" s="50">
        <f>I14/SUM(I14:M14)</f>
        <v/>
      </c>
      <c r="J27" s="50">
        <f>J14/SUM(I14:M14)</f>
        <v/>
      </c>
      <c r="K27" s="50">
        <f>K14/SUM(I14:M14)</f>
        <v/>
      </c>
      <c r="L27" s="50">
        <f>L14/SUM(I14:M14)</f>
        <v/>
      </c>
      <c r="M27" s="50">
        <f>M14/SUM(I14:M14)</f>
        <v/>
      </c>
      <c r="N27" s="52">
        <f>(I26*I$7)+(J26*J$7)+(K26*K$7)+(L26*L$7)+(M26*M$7)</f>
        <v/>
      </c>
      <c r="O27" s="50">
        <f>O14/SUM(O14:S14)</f>
        <v/>
      </c>
      <c r="P27" s="50">
        <f>P14/SUM(O14:S14)</f>
        <v/>
      </c>
      <c r="Q27" s="50">
        <f>Q14/SUM(O14:S14)</f>
        <v/>
      </c>
      <c r="R27" s="50">
        <f>R14/SUM(O14:S14)</f>
        <v/>
      </c>
      <c r="S27" s="50">
        <f>S14/SUM(O14:S14)</f>
        <v/>
      </c>
      <c r="T27" s="52">
        <f>(O26*O$7)+(P26*P$7)+(Q26*Q$7)+(R26*R$7)+(S26*S$7)</f>
        <v/>
      </c>
      <c r="U27" s="50">
        <f>U14/SUM(U14:Y14)</f>
        <v/>
      </c>
      <c r="V27" s="50">
        <f>V14/SUM(U14:Y14)</f>
        <v/>
      </c>
      <c r="W27" s="50">
        <f>W14/SUM(U14:Y14)</f>
        <v/>
      </c>
      <c r="X27" s="50">
        <f>X14/SUM(U14:Y14)</f>
        <v/>
      </c>
      <c r="Y27" s="50">
        <f>Y14/SUM(U14:Y14)</f>
        <v/>
      </c>
      <c r="Z27" s="52">
        <f>(U26*U$7)+(V26*V$7)+(W26*W$7)+(X26*X$7)+(Y26*Y$7)</f>
        <v/>
      </c>
      <c r="AA27" s="50">
        <f>AA14/SUM(AA14:AE14)</f>
        <v/>
      </c>
      <c r="AB27" s="50">
        <f>AB14/SUM(AA14:AE14)</f>
        <v/>
      </c>
      <c r="AC27" s="50">
        <f>AC14/SUM(AA14:AE14)</f>
        <v/>
      </c>
      <c r="AD27" s="50">
        <f>AD14/SUM(AA14:AE14)</f>
        <v/>
      </c>
      <c r="AE27" s="50">
        <f>AE14/SUM(AA14:AE14)</f>
        <v/>
      </c>
      <c r="AF27" s="52">
        <f>(AA26*AA$7)+(AB26*AB$7)+(AC26*AC$7)+(AD26*AD$7)+(AE26*AE$7)</f>
        <v/>
      </c>
      <c r="AG27" s="50">
        <f>AG14/SUM(AG14:AK14)</f>
        <v/>
      </c>
      <c r="AH27" s="48">
        <f>AH14/SUM(AG14:AK14)</f>
        <v/>
      </c>
      <c r="AI27" s="48">
        <f>AI14/SUM(AG14:AK14)</f>
        <v/>
      </c>
      <c r="AJ27" s="48">
        <f>AJ14/SUM(AG14:AK14)</f>
        <v/>
      </c>
      <c r="AK27" s="50">
        <f>AK14/SUM(AG14:AK14)</f>
        <v/>
      </c>
      <c r="AL27" s="47">
        <f>(AG26*AG$7)+(AH26*AH$7)+(AI26*AI$7)+(AJ26*AJ$7)+(AK26*AK$7)</f>
        <v/>
      </c>
      <c r="AM27" s="50">
        <f>AM14/SUM(AM14:AQ14)</f>
        <v/>
      </c>
      <c r="AN27" s="48">
        <f>AN14/SUM(AM14:AQ14)</f>
        <v/>
      </c>
      <c r="AO27" s="48">
        <f>AO14/SUM(AM14:AQ14)</f>
        <v/>
      </c>
      <c r="AP27" s="50">
        <f>AP14/SUM(AM14:AQ14)</f>
        <v/>
      </c>
      <c r="AQ27" s="50">
        <f>AQ14/SUM(AM14:AQ14)</f>
        <v/>
      </c>
      <c r="AR27" s="47">
        <f>(AM26*AM$7)+(AN26*AN$7)+(AO26*AO$7)+(AP26*AP$7)+(AQ26*AQ$7)</f>
        <v/>
      </c>
    </row>
    <row r="28">
      <c r="A28" s="58" t="n">
        <v>8</v>
      </c>
      <c r="B28" s="102" t="n">
        <v>3000000</v>
      </c>
      <c r="C28" s="50">
        <f>C15/SUM(C15:G15)</f>
        <v/>
      </c>
      <c r="D28" s="50">
        <f>D15/SUM(C15:G15)</f>
        <v/>
      </c>
      <c r="E28" s="50">
        <f>E15/SUM(C15:G15)</f>
        <v/>
      </c>
      <c r="F28" s="50">
        <f>F15/SUM(C15:G15)</f>
        <v/>
      </c>
      <c r="G28" s="50">
        <f>G15/SUM(C15:G15)</f>
        <v/>
      </c>
      <c r="H28" s="52">
        <f>(C27*C$7)+(D27*D$7)+(E27*E$7)+(F27*F$7)+(G27*G$7)</f>
        <v/>
      </c>
      <c r="I28" s="50">
        <f>I15/SUM(I15:M15)</f>
        <v/>
      </c>
      <c r="J28" s="50">
        <f>J15/SUM(I15:M15)</f>
        <v/>
      </c>
      <c r="K28" s="50">
        <f>K15/SUM(I15:M15)</f>
        <v/>
      </c>
      <c r="L28" s="50">
        <f>L15/SUM(I15:M15)</f>
        <v/>
      </c>
      <c r="M28" s="50">
        <f>M15/SUM(I15:M15)</f>
        <v/>
      </c>
      <c r="N28" s="52">
        <f>(I27*I$7)+(J27*J$7)+(K27*K$7)+(L27*L$7)+(M27*M$7)</f>
        <v/>
      </c>
      <c r="O28" s="50">
        <f>O15/SUM(O15:S15)</f>
        <v/>
      </c>
      <c r="P28" s="50">
        <f>P15/SUM(O15:S15)</f>
        <v/>
      </c>
      <c r="Q28" s="50">
        <f>Q15/SUM(O15:S15)</f>
        <v/>
      </c>
      <c r="R28" s="50">
        <f>R15/SUM(O15:S15)</f>
        <v/>
      </c>
      <c r="S28" s="50">
        <f>S15/SUM(O15:S15)</f>
        <v/>
      </c>
      <c r="T28" s="52">
        <f>(O27*O$7)+(P27*P$7)+(Q27*Q$7)+(R27*R$7)+(S27*S$7)</f>
        <v/>
      </c>
      <c r="U28" s="50">
        <f>U15/SUM(U15:Y15)</f>
        <v/>
      </c>
      <c r="V28" s="50">
        <f>V15/SUM(U15:Y15)</f>
        <v/>
      </c>
      <c r="W28" s="50">
        <f>W15/SUM(U15:Y15)</f>
        <v/>
      </c>
      <c r="X28" s="50">
        <f>X15/SUM(U15:Y15)</f>
        <v/>
      </c>
      <c r="Y28" s="50">
        <f>Y15/SUM(U15:Y15)</f>
        <v/>
      </c>
      <c r="Z28" s="52">
        <f>(U27*U$7)+(V27*V$7)+(W27*W$7)+(X27*X$7)+(Y27*Y$7)</f>
        <v/>
      </c>
      <c r="AA28" s="50">
        <f>AA15/SUM(AA15:AE15)</f>
        <v/>
      </c>
      <c r="AB28" s="50">
        <f>AB15/SUM(AA15:AE15)</f>
        <v/>
      </c>
      <c r="AC28" s="50">
        <f>AC15/SUM(AA15:AE15)</f>
        <v/>
      </c>
      <c r="AD28" s="50">
        <f>AD15/SUM(AA15:AE15)</f>
        <v/>
      </c>
      <c r="AE28" s="50">
        <f>AE15/SUM(AA15:AE15)</f>
        <v/>
      </c>
      <c r="AF28" s="52">
        <f>(AA27*AA$7)+(AB27*AB$7)+(AC27*AC$7)+(AD27*AD$7)+(AE27*AE$7)</f>
        <v/>
      </c>
      <c r="AG28" s="50">
        <f>AG15/SUM(AG15:AK15)</f>
        <v/>
      </c>
      <c r="AH28" s="50">
        <f>AH15/SUM(AG15:AK15)</f>
        <v/>
      </c>
      <c r="AI28" s="50">
        <f>AI15/SUM(AG15:AK15)</f>
        <v/>
      </c>
      <c r="AJ28" s="50">
        <f>AJ15/SUM(AG15:AK15)</f>
        <v/>
      </c>
      <c r="AK28" s="50">
        <f>AK15/SUM(AG15:AK15)</f>
        <v/>
      </c>
      <c r="AL28" s="52">
        <f>(AG27*AG$7)+(AH27*AH$7)+(AI27*AI$7)+(AJ27*AJ$7)+(AK27*AK$7)</f>
        <v/>
      </c>
      <c r="AM28" s="50">
        <f>AM15/SUM(AM15:AQ15)</f>
        <v/>
      </c>
      <c r="AN28" s="48">
        <f>AN15/SUM(AM15:AQ15)</f>
        <v/>
      </c>
      <c r="AO28" s="48">
        <f>AO15/SUM(AM15:AQ15)</f>
        <v/>
      </c>
      <c r="AP28" s="48">
        <f>AP15/SUM(AM15:AQ15)</f>
        <v/>
      </c>
      <c r="AQ28" s="50">
        <f>AQ15/SUM(AM15:AQ15)</f>
        <v/>
      </c>
      <c r="AR28" s="52">
        <f>(AM27*AM$7)+(AN27*AN$7)+(AO27*AO$7)+(AP27*AP$7)+(AQ27*AQ$7)</f>
        <v/>
      </c>
    </row>
    <row r="29">
      <c r="A29" s="58" t="n">
        <v>9</v>
      </c>
      <c r="B29" s="102" t="n">
        <v>5000000</v>
      </c>
      <c r="C29" s="50">
        <f>C16/SUM(C16:G16)</f>
        <v/>
      </c>
      <c r="D29" s="50">
        <f>D16/SUM(C16:G16)</f>
        <v/>
      </c>
      <c r="E29" s="50">
        <f>E16/SUM(C16:G16)</f>
        <v/>
      </c>
      <c r="F29" s="50">
        <f>F16/SUM(C16:G16)</f>
        <v/>
      </c>
      <c r="G29" s="50">
        <f>G16/SUM(C16:G16)</f>
        <v/>
      </c>
      <c r="H29" s="52">
        <f>(C28*C$7)+(D28*D$7)+(E28*E$7)+(F28*F$7)+(G28*G$7)</f>
        <v/>
      </c>
      <c r="I29" s="50">
        <f>I16/SUM(I16:M16)</f>
        <v/>
      </c>
      <c r="J29" s="50">
        <f>J16/SUM(I16:M16)</f>
        <v/>
      </c>
      <c r="K29" s="50">
        <f>K16/SUM(I16:M16)</f>
        <v/>
      </c>
      <c r="L29" s="50">
        <f>L16/SUM(I16:M16)</f>
        <v/>
      </c>
      <c r="M29" s="50">
        <f>M16/SUM(I16:M16)</f>
        <v/>
      </c>
      <c r="N29" s="52">
        <f>(I28*I$7)+(J28*J$7)+(K28*K$7)+(L28*L$7)+(M28*M$7)</f>
        <v/>
      </c>
      <c r="O29" s="50">
        <f>O16/SUM(O16:S16)</f>
        <v/>
      </c>
      <c r="P29" s="50">
        <f>P16/SUM(O16:S16)</f>
        <v/>
      </c>
      <c r="Q29" s="50">
        <f>Q16/SUM(O16:S16)</f>
        <v/>
      </c>
      <c r="R29" s="50">
        <f>R16/SUM(O16:S16)</f>
        <v/>
      </c>
      <c r="S29" s="50">
        <f>S16/SUM(O16:S16)</f>
        <v/>
      </c>
      <c r="T29" s="52">
        <f>(O28*O$7)+(P28*P$7)+(Q28*Q$7)+(R28*R$7)+(S28*S$7)</f>
        <v/>
      </c>
      <c r="U29" s="50">
        <f>U16/SUM(U16:Y16)</f>
        <v/>
      </c>
      <c r="V29" s="50">
        <f>V16/SUM(U16:Y16)</f>
        <v/>
      </c>
      <c r="W29" s="50">
        <f>W16/SUM(U16:Y16)</f>
        <v/>
      </c>
      <c r="X29" s="50">
        <f>X16/SUM(U16:Y16)</f>
        <v/>
      </c>
      <c r="Y29" s="50">
        <f>Y16/SUM(U16:Y16)</f>
        <v/>
      </c>
      <c r="Z29" s="52">
        <f>(U28*U$7)+(V28*V$7)+(W28*W$7)+(X28*X$7)+(Y28*Y$7)</f>
        <v/>
      </c>
      <c r="AA29" s="50">
        <f>AA16/SUM(AA16:AE16)</f>
        <v/>
      </c>
      <c r="AB29" s="50">
        <f>AB16/SUM(AA16:AE16)</f>
        <v/>
      </c>
      <c r="AC29" s="50">
        <f>AC16/SUM(AA16:AE16)</f>
        <v/>
      </c>
      <c r="AD29" s="50">
        <f>AD16/SUM(AA16:AE16)</f>
        <v/>
      </c>
      <c r="AE29" s="50">
        <f>AE16/SUM(AA16:AE16)</f>
        <v/>
      </c>
      <c r="AF29" s="52">
        <f>(AA28*AA$7)+(AB28*AB$7)+(AC28*AC$7)+(AD28*AD$7)+(AE28*AE$7)</f>
        <v/>
      </c>
      <c r="AG29" s="50">
        <f>AG16/SUM(AG16:AK16)</f>
        <v/>
      </c>
      <c r="AH29" s="50">
        <f>AH16/SUM(AG16:AK16)</f>
        <v/>
      </c>
      <c r="AI29" s="50">
        <f>AI16/SUM(AG16:AK16)</f>
        <v/>
      </c>
      <c r="AJ29" s="50">
        <f>AJ16/SUM(AG16:AK16)</f>
        <v/>
      </c>
      <c r="AK29" s="50">
        <f>AK16/SUM(AG16:AK16)</f>
        <v/>
      </c>
      <c r="AL29" s="52">
        <f>(AG28*AG$7)+(AH28*AH$7)+(AI28*AI$7)+(AJ28*AJ$7)+(AK28*AK$7)</f>
        <v/>
      </c>
      <c r="AM29" s="50">
        <f>AM16/SUM(AM16:AQ16)</f>
        <v/>
      </c>
      <c r="AN29" s="50">
        <f>AN16/SUM(AM16:AQ16)</f>
        <v/>
      </c>
      <c r="AO29" s="48">
        <f>AO16/SUM(AM16:AQ16)</f>
        <v/>
      </c>
      <c r="AP29" s="48">
        <f>AP16/SUM(AM16:AQ16)</f>
        <v/>
      </c>
      <c r="AQ29" s="50">
        <f>AQ16/SUM(AM16:AQ16)</f>
        <v/>
      </c>
      <c r="AR29" s="47">
        <f>(AM28*AM$7)+(AN28*AN$7)+(AO28*AO$7)+(AP28*AP$7)+(AQ28*AQ$7)</f>
        <v/>
      </c>
    </row>
    <row r="30">
      <c r="A30" s="58" t="n">
        <v>10</v>
      </c>
      <c r="B30" s="102" t="n">
        <v>10000000</v>
      </c>
      <c r="C30" s="50">
        <f>C17/SUM(C17:G17)</f>
        <v/>
      </c>
      <c r="D30" s="50">
        <f>D17/SUM(C17:G17)</f>
        <v/>
      </c>
      <c r="E30" s="50">
        <f>E17/SUM(C17:G17)</f>
        <v/>
      </c>
      <c r="F30" s="50">
        <f>F17/SUM(C17:G17)</f>
        <v/>
      </c>
      <c r="G30" s="50">
        <f>G17/SUM(C17:G17)</f>
        <v/>
      </c>
      <c r="H30" s="52">
        <f>(C29*C$7)+(D29*D$7)+(E29*E$7)+(F29*F$7)+(G29*G$7)</f>
        <v/>
      </c>
      <c r="I30" s="50">
        <f>I17/SUM(I17:M17)</f>
        <v/>
      </c>
      <c r="J30" s="50">
        <f>J17/SUM(I17:M17)</f>
        <v/>
      </c>
      <c r="K30" s="50">
        <f>K17/SUM(I17:M17)</f>
        <v/>
      </c>
      <c r="L30" s="50">
        <f>L17/SUM(I17:M17)</f>
        <v/>
      </c>
      <c r="M30" s="50">
        <f>M17/SUM(I17:M17)</f>
        <v/>
      </c>
      <c r="N30" s="52">
        <f>(I29*I$7)+(J29*J$7)+(K29*K$7)+(L29*L$7)+(M29*M$7)</f>
        <v/>
      </c>
      <c r="O30" s="50">
        <f>O17/SUM(O17:S17)</f>
        <v/>
      </c>
      <c r="P30" s="50">
        <f>P17/SUM(O17:S17)</f>
        <v/>
      </c>
      <c r="Q30" s="50">
        <f>Q17/SUM(O17:S17)</f>
        <v/>
      </c>
      <c r="R30" s="50">
        <f>R17/SUM(O17:S17)</f>
        <v/>
      </c>
      <c r="S30" s="50">
        <f>S17/SUM(O17:S17)</f>
        <v/>
      </c>
      <c r="T30" s="52">
        <f>(O29*O$7)+(P29*P$7)+(Q29*Q$7)+(R29*R$7)+(S29*S$7)</f>
        <v/>
      </c>
      <c r="U30" s="50">
        <f>U17/SUM(U17:Y17)</f>
        <v/>
      </c>
      <c r="V30" s="50">
        <f>V17/SUM(U17:Y17)</f>
        <v/>
      </c>
      <c r="W30" s="50">
        <f>W17/SUM(U17:Y17)</f>
        <v/>
      </c>
      <c r="X30" s="50">
        <f>X17/SUM(U17:Y17)</f>
        <v/>
      </c>
      <c r="Y30" s="50">
        <f>Y17/SUM(U17:Y17)</f>
        <v/>
      </c>
      <c r="Z30" s="52">
        <f>(U29*U$7)+(V29*V$7)+(W29*W$7)+(X29*X$7)+(Y29*Y$7)</f>
        <v/>
      </c>
      <c r="AA30" s="50">
        <f>AA17/SUM(AA17:AE17)</f>
        <v/>
      </c>
      <c r="AB30" s="50">
        <f>AB17/SUM(AA17:AE17)</f>
        <v/>
      </c>
      <c r="AC30" s="50">
        <f>AC17/SUM(AA17:AE17)</f>
        <v/>
      </c>
      <c r="AD30" s="50">
        <f>AD17/SUM(AA17:AE17)</f>
        <v/>
      </c>
      <c r="AE30" s="50">
        <f>AE17/SUM(AA17:AE17)</f>
        <v/>
      </c>
      <c r="AF30" s="52">
        <f>(AA29*AA$7)+(AB29*AB$7)+(AC29*AC$7)+(AD29*AD$7)+(AE29*AE$7)</f>
        <v/>
      </c>
      <c r="AG30" s="50">
        <f>AG17/SUM(AG17:AK17)</f>
        <v/>
      </c>
      <c r="AH30" s="50">
        <f>AH17/SUM(AG17:AK17)</f>
        <v/>
      </c>
      <c r="AI30" s="50">
        <f>AI17/SUM(AG17:AK17)</f>
        <v/>
      </c>
      <c r="AJ30" s="50">
        <f>AJ17/SUM(AG17:AK17)</f>
        <v/>
      </c>
      <c r="AK30" s="50">
        <f>AK17/SUM(AG17:AK17)</f>
        <v/>
      </c>
      <c r="AL30" s="52">
        <f>(AG29*AG$7)+(AH29*AH$7)+(AI29*AI$7)+(AJ29*AJ$7)+(AK29*AK$7)</f>
        <v/>
      </c>
      <c r="AM30" s="50">
        <f>AM17/SUM(AM17:AQ17)</f>
        <v/>
      </c>
      <c r="AN30" s="50">
        <f>AN17/SUM(AM17:AQ17)</f>
        <v/>
      </c>
      <c r="AO30" s="50">
        <f>AO17/SUM(AM17:AQ17)</f>
        <v/>
      </c>
      <c r="AP30" s="48">
        <f>AP17/SUM(AM17:AQ17)</f>
        <v/>
      </c>
      <c r="AQ30" s="50">
        <f>AQ17/SUM(AM17:AQ17)</f>
        <v/>
      </c>
      <c r="AR30" s="47">
        <f>(AM29*AM$7)+(AN29*AN$7)+(AO29*AO$7)+(AP29*AP$7)+(AQ29*AQ$7)</f>
        <v/>
      </c>
    </row>
    <row r="31">
      <c r="A31" s="58" t="n">
        <v>11</v>
      </c>
      <c r="B31" s="102" t="n">
        <v>50000000</v>
      </c>
      <c r="C31" s="50">
        <f>C18/SUM(C18:G18)</f>
        <v/>
      </c>
      <c r="D31" s="50">
        <f>D18/SUM(C18:G18)</f>
        <v/>
      </c>
      <c r="E31" s="50">
        <f>E18/SUM(C18:G18)</f>
        <v/>
      </c>
      <c r="F31" s="50">
        <f>F18/SUM(C18:G18)</f>
        <v/>
      </c>
      <c r="G31" s="50">
        <f>G18/SUM(C18:G18)</f>
        <v/>
      </c>
      <c r="H31" s="52">
        <f>(C30*C$7)+(D30*D$7)+(E30*E$7)+(F30*F$7)+(G30*G$7)</f>
        <v/>
      </c>
      <c r="I31" s="50">
        <f>I18/SUM(I18:M18)</f>
        <v/>
      </c>
      <c r="J31" s="50">
        <f>J18/SUM(I18:M18)</f>
        <v/>
      </c>
      <c r="K31" s="50">
        <f>K18/SUM(I18:M18)</f>
        <v/>
      </c>
      <c r="L31" s="50">
        <f>L18/SUM(I18:M18)</f>
        <v/>
      </c>
      <c r="M31" s="50">
        <f>M18/SUM(I18:M18)</f>
        <v/>
      </c>
      <c r="N31" s="52">
        <f>(I30*I$7)+(J30*J$7)+(K30*K$7)+(L30*L$7)+(M30*M$7)</f>
        <v/>
      </c>
      <c r="O31" s="50">
        <f>O18/SUM(O18:S18)</f>
        <v/>
      </c>
      <c r="P31" s="50">
        <f>P18/SUM(O18:S18)</f>
        <v/>
      </c>
      <c r="Q31" s="50">
        <f>Q18/SUM(O18:S18)</f>
        <v/>
      </c>
      <c r="R31" s="50">
        <f>R18/SUM(O18:S18)</f>
        <v/>
      </c>
      <c r="S31" s="50">
        <f>S18/SUM(O18:S18)</f>
        <v/>
      </c>
      <c r="T31" s="52">
        <f>(O30*O$7)+(P30*P$7)+(Q30*Q$7)+(R30*R$7)+(S30*S$7)</f>
        <v/>
      </c>
      <c r="U31" s="50">
        <f>U18/SUM(U18:Y18)</f>
        <v/>
      </c>
      <c r="V31" s="50">
        <f>V18/SUM(U18:Y18)</f>
        <v/>
      </c>
      <c r="W31" s="50">
        <f>W18/SUM(U18:Y18)</f>
        <v/>
      </c>
      <c r="X31" s="50">
        <f>X18/SUM(U18:Y18)</f>
        <v/>
      </c>
      <c r="Y31" s="50">
        <f>Y18/SUM(U18:Y18)</f>
        <v/>
      </c>
      <c r="Z31" s="52">
        <f>(U30*U$7)+(V30*V$7)+(W30*W$7)+(X30*X$7)+(Y30*Y$7)</f>
        <v/>
      </c>
      <c r="AA31" s="50">
        <f>AA18/SUM(AA18:AE18)</f>
        <v/>
      </c>
      <c r="AB31" s="50">
        <f>AB18/SUM(AA18:AE18)</f>
        <v/>
      </c>
      <c r="AC31" s="50">
        <f>AC18/SUM(AA18:AE18)</f>
        <v/>
      </c>
      <c r="AD31" s="50">
        <f>AD18/SUM(AA18:AE18)</f>
        <v/>
      </c>
      <c r="AE31" s="50">
        <f>AE18/SUM(AA18:AE18)</f>
        <v/>
      </c>
      <c r="AF31" s="52">
        <f>(AA30*AA$7)+(AB30*AB$7)+(AC30*AC$7)+(AD30*AD$7)+(AE30*AE$7)</f>
        <v/>
      </c>
      <c r="AG31" s="50">
        <f>AG18/SUM(AG18:AK18)</f>
        <v/>
      </c>
      <c r="AH31" s="50">
        <f>AH18/SUM(AG18:AK18)</f>
        <v/>
      </c>
      <c r="AI31" s="50">
        <f>AI18/SUM(AG18:AK18)</f>
        <v/>
      </c>
      <c r="AJ31" s="50">
        <f>AJ18/SUM(AG18:AK18)</f>
        <v/>
      </c>
      <c r="AK31" s="50">
        <f>AK18/SUM(AG18:AK18)</f>
        <v/>
      </c>
      <c r="AL31" s="52">
        <f>(AG30*AG$7)+(AH30*AH$7)+(AI30*AI$7)+(AJ30*AJ$7)+(AK30*AK$7)</f>
        <v/>
      </c>
      <c r="AM31" s="50">
        <f>AM18/SUM(AM18:AQ18)</f>
        <v/>
      </c>
      <c r="AN31" s="50">
        <f>AN18/SUM(AM18:AQ18)</f>
        <v/>
      </c>
      <c r="AO31" s="50">
        <f>AO18/SUM(AM18:AQ18)</f>
        <v/>
      </c>
      <c r="AP31" s="50">
        <f>AP18/SUM(AM18:AQ18)</f>
        <v/>
      </c>
      <c r="AQ31" s="50">
        <f>AQ18/SUM(AM18:AQ18)</f>
        <v/>
      </c>
      <c r="AR31" s="52">
        <f>(AM30*AM$7)+(AN30*AN$7)+(AO30*AO$7)+(AP30*AP$7)+(AQ30*AQ$7)</f>
        <v/>
      </c>
    </row>
    <row r="32">
      <c r="A32" s="58" t="n">
        <v>12</v>
      </c>
      <c r="B32" s="100" t="n">
        <v>100000000</v>
      </c>
      <c r="C32" s="50">
        <f>C19/SUM(C19:G19)</f>
        <v/>
      </c>
      <c r="D32" s="50">
        <f>D19/SUM(C19:G19)</f>
        <v/>
      </c>
      <c r="E32" s="50">
        <f>E19/SUM(C19:G19)</f>
        <v/>
      </c>
      <c r="F32" s="50">
        <f>F19/SUM(C19:G19)</f>
        <v/>
      </c>
      <c r="G32" s="50">
        <f>G19/SUM(C19:G19)</f>
        <v/>
      </c>
      <c r="H32" s="52">
        <f>(C31*C$7)+(D31*D$7)+(E31*E$7)+(F31*F$7)+(G31*G$7)</f>
        <v/>
      </c>
      <c r="I32" s="50">
        <f>I19/SUM(I19:M19)</f>
        <v/>
      </c>
      <c r="J32" s="50">
        <f>J19/SUM(I19:M19)</f>
        <v/>
      </c>
      <c r="K32" s="50">
        <f>K19/SUM(I19:M19)</f>
        <v/>
      </c>
      <c r="L32" s="50">
        <f>L19/SUM(I19:M19)</f>
        <v/>
      </c>
      <c r="M32" s="50">
        <f>M19/SUM(I19:M19)</f>
        <v/>
      </c>
      <c r="N32" s="52">
        <f>(I31*I$7)+(J31*J$7)+(K31*K$7)+(L31*L$7)+(M31*M$7)</f>
        <v/>
      </c>
      <c r="O32" s="50">
        <f>O19/SUM(O19:S19)</f>
        <v/>
      </c>
      <c r="P32" s="50">
        <f>P19/SUM(O19:S19)</f>
        <v/>
      </c>
      <c r="Q32" s="50">
        <f>Q19/SUM(O19:S19)</f>
        <v/>
      </c>
      <c r="R32" s="50">
        <f>R19/SUM(O19:S19)</f>
        <v/>
      </c>
      <c r="S32" s="50">
        <f>S19/SUM(O19:S19)</f>
        <v/>
      </c>
      <c r="T32" s="52">
        <f>(O31*O$7)+(P31*P$7)+(Q31*Q$7)+(R31*R$7)+(S31*S$7)</f>
        <v/>
      </c>
      <c r="U32" s="50">
        <f>U19/SUM(U19:Y19)</f>
        <v/>
      </c>
      <c r="V32" s="50">
        <f>V19/SUM(U19:Y19)</f>
        <v/>
      </c>
      <c r="W32" s="50">
        <f>W19/SUM(U19:Y19)</f>
        <v/>
      </c>
      <c r="X32" s="50">
        <f>X19/SUM(U19:Y19)</f>
        <v/>
      </c>
      <c r="Y32" s="50">
        <f>Y19/SUM(U19:Y19)</f>
        <v/>
      </c>
      <c r="Z32" s="52">
        <f>(U31*U$7)+(V31*V$7)+(W31*W$7)+(X31*X$7)+(Y31*Y$7)</f>
        <v/>
      </c>
      <c r="AA32" s="50">
        <f>AA19/SUM(AA19:AE19)</f>
        <v/>
      </c>
      <c r="AB32" s="50">
        <f>AB19/SUM(AA19:AE19)</f>
        <v/>
      </c>
      <c r="AC32" s="50">
        <f>AC19/SUM(AA19:AE19)</f>
        <v/>
      </c>
      <c r="AD32" s="50">
        <f>AD19/SUM(AA19:AE19)</f>
        <v/>
      </c>
      <c r="AE32" s="50">
        <f>AE19/SUM(AA19:AE19)</f>
        <v/>
      </c>
      <c r="AF32" s="52">
        <f>(AA31*AA$7)+(AB31*AB$7)+(AC31*AC$7)+(AD31*AD$7)+(AE31*AE$7)</f>
        <v/>
      </c>
      <c r="AG32" s="50">
        <f>AG19/SUM(AG19:AK19)</f>
        <v/>
      </c>
      <c r="AH32" s="50">
        <f>AH19/SUM(AG19:AK19)</f>
        <v/>
      </c>
      <c r="AI32" s="50">
        <f>AI19/SUM(AG19:AK19)</f>
        <v/>
      </c>
      <c r="AJ32" s="50">
        <f>AJ19/SUM(AG19:AK19)</f>
        <v/>
      </c>
      <c r="AK32" s="50">
        <f>AK19/SUM(AG19:AK19)</f>
        <v/>
      </c>
      <c r="AL32" s="52">
        <f>(AG31*AG$7)+(AH31*AH$7)+(AI31*AI$7)+(AJ31*AJ$7)+(AK31*AK$7)</f>
        <v/>
      </c>
      <c r="AM32" s="50">
        <f>AM19/SUM(AM19:AQ19)</f>
        <v/>
      </c>
      <c r="AN32" s="50">
        <f>AN19/SUM(AM19:AQ19)</f>
        <v/>
      </c>
      <c r="AO32" s="50">
        <f>AO19/SUM(AM19:AQ19)</f>
        <v/>
      </c>
      <c r="AP32" s="50">
        <f>AP19/SUM(AM19:AQ19)</f>
        <v/>
      </c>
      <c r="AQ32" s="50">
        <f>AQ19/SUM(AM19:AQ19)</f>
        <v/>
      </c>
      <c r="AR32" s="52">
        <f>(AM31*AM$7)+(AN31*AN$7)+(AO31*AO$7)+(AP31*AP$7)+(AQ31*AQ$7)</f>
        <v/>
      </c>
    </row>
    <row r="33">
      <c r="A33" s="65" t="n"/>
      <c r="B33" s="66" t="n"/>
      <c r="C33" s="58" t="n">
        <v>1</v>
      </c>
      <c r="D33" s="58" t="n">
        <v>10</v>
      </c>
      <c r="E33" s="58" t="n">
        <v>50</v>
      </c>
      <c r="F33" s="58" t="n">
        <v>100</v>
      </c>
      <c r="G33" s="58" t="n">
        <v>200</v>
      </c>
      <c r="H33" s="58" t="n">
        <v>300</v>
      </c>
      <c r="I33" s="58" t="n">
        <v>1</v>
      </c>
      <c r="J33" s="58" t="n">
        <v>10</v>
      </c>
      <c r="K33" s="58" t="n">
        <v>50</v>
      </c>
      <c r="L33" s="58" t="n">
        <v>100</v>
      </c>
      <c r="M33" s="58" t="n">
        <v>200</v>
      </c>
      <c r="N33" s="58" t="n">
        <v>300</v>
      </c>
      <c r="O33" s="58" t="n">
        <v>1</v>
      </c>
      <c r="P33" s="58" t="n">
        <v>10</v>
      </c>
      <c r="Q33" s="58" t="n">
        <v>50</v>
      </c>
      <c r="R33" s="58" t="n">
        <v>100</v>
      </c>
      <c r="S33" s="58" t="n">
        <v>200</v>
      </c>
      <c r="T33" s="58" t="n">
        <v>300</v>
      </c>
      <c r="U33" s="58" t="n">
        <v>1</v>
      </c>
      <c r="V33" s="58" t="n">
        <v>10</v>
      </c>
      <c r="W33" s="58" t="n">
        <v>50</v>
      </c>
      <c r="X33" s="58" t="n">
        <v>100</v>
      </c>
      <c r="Y33" s="58" t="n">
        <v>200</v>
      </c>
      <c r="Z33" s="58" t="n">
        <v>300</v>
      </c>
      <c r="AA33" s="58" t="n">
        <v>1</v>
      </c>
      <c r="AB33" s="58" t="n">
        <v>10</v>
      </c>
      <c r="AC33" s="58" t="n">
        <v>50</v>
      </c>
      <c r="AD33" s="58" t="n">
        <v>100</v>
      </c>
      <c r="AE33" s="58" t="n">
        <v>200</v>
      </c>
      <c r="AF33" s="58" t="n">
        <v>300</v>
      </c>
      <c r="AG33" s="58" t="n">
        <v>1</v>
      </c>
      <c r="AH33" s="58" t="n">
        <v>10</v>
      </c>
      <c r="AI33" s="58" t="n">
        <v>50</v>
      </c>
      <c r="AJ33" s="58" t="n">
        <v>100</v>
      </c>
      <c r="AK33" s="58" t="n">
        <v>200</v>
      </c>
      <c r="AL33" s="58" t="n">
        <v>300</v>
      </c>
      <c r="AM33" s="58" t="n">
        <v>1</v>
      </c>
      <c r="AN33" s="58" t="n">
        <v>10</v>
      </c>
      <c r="AO33" s="58" t="n">
        <v>50</v>
      </c>
      <c r="AP33" s="58" t="n">
        <v>100</v>
      </c>
      <c r="AQ33" s="58" t="n">
        <v>200</v>
      </c>
      <c r="AR33" s="58" t="n">
        <v>300</v>
      </c>
    </row>
    <row r="34">
      <c r="A34" s="58" t="n">
        <v>1</v>
      </c>
      <c r="B34" s="99" t="inlineStr">
        <is>
          <t>50,000 Under</t>
        </is>
      </c>
      <c r="C34" s="103">
        <f>D33/10</f>
        <v/>
      </c>
      <c r="D34" s="103">
        <f>H20*$F$1</f>
        <v/>
      </c>
      <c r="E34" s="103">
        <f>C33*E$32</f>
        <v/>
      </c>
      <c r="F34" s="103">
        <f>C33*F$32</f>
        <v/>
      </c>
      <c r="G34" s="103">
        <f>C33*G$32</f>
        <v/>
      </c>
      <c r="H34" s="103">
        <f>C33*H$32</f>
        <v/>
      </c>
      <c r="I34" s="103">
        <f>J33/10</f>
        <v/>
      </c>
      <c r="J34" s="103">
        <f>N20*$F$1</f>
        <v/>
      </c>
      <c r="K34" s="103">
        <f>I33*K$32</f>
        <v/>
      </c>
      <c r="L34" s="103">
        <f>I33*L$32</f>
        <v/>
      </c>
      <c r="M34" s="103">
        <f>I33*M$32</f>
        <v/>
      </c>
      <c r="N34" s="103">
        <f>I33*N$32</f>
        <v/>
      </c>
      <c r="O34" s="103">
        <f>P33/10</f>
        <v/>
      </c>
      <c r="P34" s="103">
        <f>T20*$F$1</f>
        <v/>
      </c>
      <c r="Q34" s="103">
        <f>O33*Q$32</f>
        <v/>
      </c>
      <c r="R34" s="103">
        <f>O33*R$32</f>
        <v/>
      </c>
      <c r="S34" s="103">
        <f>O33*S$32</f>
        <v/>
      </c>
      <c r="T34" s="103">
        <f>O33*T$32</f>
        <v/>
      </c>
      <c r="U34" s="103">
        <f>V33/10</f>
        <v/>
      </c>
      <c r="V34" s="103">
        <f>Z20*$F$1</f>
        <v/>
      </c>
      <c r="W34" s="103">
        <f>U33*W$32</f>
        <v/>
      </c>
      <c r="X34" s="103">
        <f>U33*X$32</f>
        <v/>
      </c>
      <c r="Y34" s="103">
        <f>U33*Y$32</f>
        <v/>
      </c>
      <c r="Z34" s="103">
        <f>U33*Z$32</f>
        <v/>
      </c>
      <c r="AA34" s="103">
        <f>AB33/10</f>
        <v/>
      </c>
      <c r="AB34" s="103">
        <f>AF20*$F$1</f>
        <v/>
      </c>
      <c r="AC34" s="103">
        <f>AA33*AC$32</f>
        <v/>
      </c>
      <c r="AD34" s="103">
        <f>AA33*AD$32</f>
        <v/>
      </c>
      <c r="AE34" s="103">
        <f>AA33*AE$32</f>
        <v/>
      </c>
      <c r="AF34" s="103">
        <f>AA33*AF$32</f>
        <v/>
      </c>
      <c r="AG34" s="103">
        <f>AH33/10</f>
        <v/>
      </c>
      <c r="AH34" s="103">
        <f>AL20*$F$1</f>
        <v/>
      </c>
      <c r="AI34" s="103">
        <f>AG33*AI$32</f>
        <v/>
      </c>
      <c r="AJ34" s="103">
        <f>AG33*AJ$32</f>
        <v/>
      </c>
      <c r="AK34" s="103">
        <f>AG33*AK$32</f>
        <v/>
      </c>
      <c r="AL34" s="103">
        <f>AG33*AL$32</f>
        <v/>
      </c>
      <c r="AM34" s="103">
        <f>AN33/10</f>
        <v/>
      </c>
      <c r="AN34" s="103">
        <f>AR20*$F$1</f>
        <v/>
      </c>
      <c r="AO34" s="103">
        <f>AM33*AO$32</f>
        <v/>
      </c>
      <c r="AP34" s="103">
        <f>AM33*AP$32</f>
        <v/>
      </c>
      <c r="AQ34" s="103">
        <f>AM33*AQ$32</f>
        <v/>
      </c>
      <c r="AR34" s="103">
        <f>AM33*AR$32</f>
        <v/>
      </c>
    </row>
    <row r="35">
      <c r="A35" s="58" t="n">
        <v>2</v>
      </c>
      <c r="B35" s="100" t="n">
        <v>50000</v>
      </c>
      <c r="C35" s="103">
        <f>D34/10</f>
        <v/>
      </c>
      <c r="D35" s="103">
        <f>H21*$F$1</f>
        <v/>
      </c>
      <c r="E35" s="103">
        <f>C34*E$32</f>
        <v/>
      </c>
      <c r="F35" s="103">
        <f>C34*F$32</f>
        <v/>
      </c>
      <c r="G35" s="103">
        <f>C34*G$32</f>
        <v/>
      </c>
      <c r="H35" s="103">
        <f>C34*H$32</f>
        <v/>
      </c>
      <c r="I35" s="103">
        <f>J34/10</f>
        <v/>
      </c>
      <c r="J35" s="103">
        <f>N21*$F$1</f>
        <v/>
      </c>
      <c r="K35" s="103">
        <f>I34*K$32</f>
        <v/>
      </c>
      <c r="L35" s="103">
        <f>I34*L$32</f>
        <v/>
      </c>
      <c r="M35" s="103">
        <f>I34*M$32</f>
        <v/>
      </c>
      <c r="N35" s="103">
        <f>I34*N$32</f>
        <v/>
      </c>
      <c r="O35" s="103">
        <f>P34/10</f>
        <v/>
      </c>
      <c r="P35" s="103">
        <f>T21*$F$1</f>
        <v/>
      </c>
      <c r="Q35" s="103">
        <f>O34*Q$32</f>
        <v/>
      </c>
      <c r="R35" s="103">
        <f>O34*R$32</f>
        <v/>
      </c>
      <c r="S35" s="103">
        <f>O34*S$32</f>
        <v/>
      </c>
      <c r="T35" s="103">
        <f>O34*T$32</f>
        <v/>
      </c>
      <c r="U35" s="103">
        <f>V34/10</f>
        <v/>
      </c>
      <c r="V35" s="103">
        <f>Z21*$F$1</f>
        <v/>
      </c>
      <c r="W35" s="103">
        <f>U34*W$32</f>
        <v/>
      </c>
      <c r="X35" s="103">
        <f>U34*X$32</f>
        <v/>
      </c>
      <c r="Y35" s="103">
        <f>U34*Y$32</f>
        <v/>
      </c>
      <c r="Z35" s="103">
        <f>U34*Z$32</f>
        <v/>
      </c>
      <c r="AA35" s="103">
        <f>AB34/10</f>
        <v/>
      </c>
      <c r="AB35" s="103">
        <f>AF21*$F$1</f>
        <v/>
      </c>
      <c r="AC35" s="103">
        <f>AA34*AC$32</f>
        <v/>
      </c>
      <c r="AD35" s="103">
        <f>AA34*AD$32</f>
        <v/>
      </c>
      <c r="AE35" s="103">
        <f>AA34*AE$32</f>
        <v/>
      </c>
      <c r="AF35" s="103">
        <f>AA34*AF$32</f>
        <v/>
      </c>
      <c r="AG35" s="103">
        <f>AH34/10</f>
        <v/>
      </c>
      <c r="AH35" s="103">
        <f>AL21*$F$1</f>
        <v/>
      </c>
      <c r="AI35" s="103">
        <f>AG34*AI$32</f>
        <v/>
      </c>
      <c r="AJ35" s="103">
        <f>AG34*AJ$32</f>
        <v/>
      </c>
      <c r="AK35" s="103">
        <f>AG34*AK$32</f>
        <v/>
      </c>
      <c r="AL35" s="103">
        <f>AG34*AL$32</f>
        <v/>
      </c>
      <c r="AM35" s="103">
        <f>AN34/10</f>
        <v/>
      </c>
      <c r="AN35" s="103">
        <f>AR21*$F$1</f>
        <v/>
      </c>
      <c r="AO35" s="103">
        <f>AM34*AO$32</f>
        <v/>
      </c>
      <c r="AP35" s="103">
        <f>AM34*AP$32</f>
        <v/>
      </c>
      <c r="AQ35" s="103">
        <f>AM34*AQ$32</f>
        <v/>
      </c>
      <c r="AR35" s="103">
        <f>AM34*AR$32</f>
        <v/>
      </c>
    </row>
    <row r="36">
      <c r="A36" s="58" t="n">
        <v>3</v>
      </c>
      <c r="B36" s="101" t="n">
        <v>100000</v>
      </c>
      <c r="C36" s="103">
        <f>D35/10</f>
        <v/>
      </c>
      <c r="D36" s="103">
        <f>H22*$F$1</f>
        <v/>
      </c>
      <c r="E36" s="103">
        <f>C35*E$32</f>
        <v/>
      </c>
      <c r="F36" s="103">
        <f>C35*F$32</f>
        <v/>
      </c>
      <c r="G36" s="103">
        <f>C35*G$32</f>
        <v/>
      </c>
      <c r="H36" s="103">
        <f>C35*H$32</f>
        <v/>
      </c>
      <c r="I36" s="103">
        <f>J35/10</f>
        <v/>
      </c>
      <c r="J36" s="103">
        <f>N22*$F$1</f>
        <v/>
      </c>
      <c r="K36" s="103">
        <f>I35*K$32</f>
        <v/>
      </c>
      <c r="L36" s="103">
        <f>I35*L$32</f>
        <v/>
      </c>
      <c r="M36" s="103">
        <f>I35*M$32</f>
        <v/>
      </c>
      <c r="N36" s="103">
        <f>I35*N$32</f>
        <v/>
      </c>
      <c r="O36" s="103">
        <f>P35/10</f>
        <v/>
      </c>
      <c r="P36" s="103">
        <f>T22*$F$1</f>
        <v/>
      </c>
      <c r="Q36" s="103">
        <f>O35*Q$32</f>
        <v/>
      </c>
      <c r="R36" s="103">
        <f>O35*R$32</f>
        <v/>
      </c>
      <c r="S36" s="103">
        <f>O35*S$32</f>
        <v/>
      </c>
      <c r="T36" s="103">
        <f>O35*T$32</f>
        <v/>
      </c>
      <c r="U36" s="103">
        <f>V35/10</f>
        <v/>
      </c>
      <c r="V36" s="103">
        <f>Z22*$F$1</f>
        <v/>
      </c>
      <c r="W36" s="103">
        <f>U35*W$32</f>
        <v/>
      </c>
      <c r="X36" s="103">
        <f>U35*X$32</f>
        <v/>
      </c>
      <c r="Y36" s="103">
        <f>U35*Y$32</f>
        <v/>
      </c>
      <c r="Z36" s="103">
        <f>U35*Z$32</f>
        <v/>
      </c>
      <c r="AA36" s="103">
        <f>AB35/10</f>
        <v/>
      </c>
      <c r="AB36" s="103">
        <f>AF22*$F$1</f>
        <v/>
      </c>
      <c r="AC36" s="103">
        <f>AA35*AC$32</f>
        <v/>
      </c>
      <c r="AD36" s="103">
        <f>AA35*AD$32</f>
        <v/>
      </c>
      <c r="AE36" s="103">
        <f>AA35*AE$32</f>
        <v/>
      </c>
      <c r="AF36" s="103">
        <f>AA35*AF$32</f>
        <v/>
      </c>
      <c r="AG36" s="103">
        <f>AH35/10</f>
        <v/>
      </c>
      <c r="AH36" s="103">
        <f>AL22*$F$1</f>
        <v/>
      </c>
      <c r="AI36" s="103">
        <f>AG35*AI$32</f>
        <v/>
      </c>
      <c r="AJ36" s="103">
        <f>AG35*AJ$32</f>
        <v/>
      </c>
      <c r="AK36" s="103">
        <f>AG35*AK$32</f>
        <v/>
      </c>
      <c r="AL36" s="103">
        <f>AG35*AL$32</f>
        <v/>
      </c>
      <c r="AM36" s="103">
        <f>AN35/10</f>
        <v/>
      </c>
      <c r="AN36" s="103">
        <f>AR22*$F$1</f>
        <v/>
      </c>
      <c r="AO36" s="103">
        <f>AM35*AO$32</f>
        <v/>
      </c>
      <c r="AP36" s="103">
        <f>AM35*AP$32</f>
        <v/>
      </c>
      <c r="AQ36" s="103">
        <f>AM35*AQ$32</f>
        <v/>
      </c>
      <c r="AR36" s="103">
        <f>AM35*AR$32</f>
        <v/>
      </c>
    </row>
    <row r="37">
      <c r="A37" s="58" t="n">
        <v>4</v>
      </c>
      <c r="B37" s="101" t="n">
        <v>200000</v>
      </c>
      <c r="C37" s="103">
        <f>D36/10</f>
        <v/>
      </c>
      <c r="D37" s="103">
        <f>H23*$F$1</f>
        <v/>
      </c>
      <c r="E37" s="103">
        <f>C36*E$32</f>
        <v/>
      </c>
      <c r="F37" s="103">
        <f>C36*F$32</f>
        <v/>
      </c>
      <c r="G37" s="103">
        <f>C36*G$32</f>
        <v/>
      </c>
      <c r="H37" s="103">
        <f>C36*H$32</f>
        <v/>
      </c>
      <c r="I37" s="103">
        <f>J36/10</f>
        <v/>
      </c>
      <c r="J37" s="103">
        <f>N23*$F$1</f>
        <v/>
      </c>
      <c r="K37" s="103">
        <f>I36*K$32</f>
        <v/>
      </c>
      <c r="L37" s="103">
        <f>I36*L$32</f>
        <v/>
      </c>
      <c r="M37" s="103">
        <f>I36*M$32</f>
        <v/>
      </c>
      <c r="N37" s="103">
        <f>I36*N$32</f>
        <v/>
      </c>
      <c r="O37" s="103">
        <f>P36/10</f>
        <v/>
      </c>
      <c r="P37" s="103">
        <f>T23*$F$1</f>
        <v/>
      </c>
      <c r="Q37" s="103">
        <f>O36*Q$32</f>
        <v/>
      </c>
      <c r="R37" s="103">
        <f>O36*R$32</f>
        <v/>
      </c>
      <c r="S37" s="103">
        <f>O36*S$32</f>
        <v/>
      </c>
      <c r="T37" s="103">
        <f>O36*T$32</f>
        <v/>
      </c>
      <c r="U37" s="103">
        <f>V36/10</f>
        <v/>
      </c>
      <c r="V37" s="103">
        <f>Z23*$F$1</f>
        <v/>
      </c>
      <c r="W37" s="103">
        <f>U36*W$32</f>
        <v/>
      </c>
      <c r="X37" s="103">
        <f>U36*X$32</f>
        <v/>
      </c>
      <c r="Y37" s="103">
        <f>U36*Y$32</f>
        <v/>
      </c>
      <c r="Z37" s="103">
        <f>U36*Z$32</f>
        <v/>
      </c>
      <c r="AA37" s="103">
        <f>AB36/10</f>
        <v/>
      </c>
      <c r="AB37" s="103">
        <f>AF23*$F$1</f>
        <v/>
      </c>
      <c r="AC37" s="103">
        <f>AA36*AC$32</f>
        <v/>
      </c>
      <c r="AD37" s="103">
        <f>AA36*AD$32</f>
        <v/>
      </c>
      <c r="AE37" s="103">
        <f>AA36*AE$32</f>
        <v/>
      </c>
      <c r="AF37" s="103">
        <f>AA36*AF$32</f>
        <v/>
      </c>
      <c r="AG37" s="103">
        <f>AH36/10</f>
        <v/>
      </c>
      <c r="AH37" s="103">
        <f>AL23*$F$1</f>
        <v/>
      </c>
      <c r="AI37" s="103">
        <f>AG36*AI$32</f>
        <v/>
      </c>
      <c r="AJ37" s="103">
        <f>AG36*AJ$32</f>
        <v/>
      </c>
      <c r="AK37" s="103">
        <f>AG36*AK$32</f>
        <v/>
      </c>
      <c r="AL37" s="103">
        <f>AG36*AL$32</f>
        <v/>
      </c>
      <c r="AM37" s="103">
        <f>AN36/10</f>
        <v/>
      </c>
      <c r="AN37" s="103">
        <f>AR23*$F$1</f>
        <v/>
      </c>
      <c r="AO37" s="103">
        <f>AM36*AO$32</f>
        <v/>
      </c>
      <c r="AP37" s="103">
        <f>AM36*AP$32</f>
        <v/>
      </c>
      <c r="AQ37" s="103">
        <f>AM36*AQ$32</f>
        <v/>
      </c>
      <c r="AR37" s="103">
        <f>AM36*AR$32</f>
        <v/>
      </c>
    </row>
    <row r="38">
      <c r="A38" s="58" t="n">
        <v>5</v>
      </c>
      <c r="B38" s="102" t="n">
        <v>500000</v>
      </c>
      <c r="C38" s="103">
        <f>D37/10</f>
        <v/>
      </c>
      <c r="D38" s="103">
        <f>H24*$F$1</f>
        <v/>
      </c>
      <c r="E38" s="103">
        <f>C37*E$32</f>
        <v/>
      </c>
      <c r="F38" s="103">
        <f>C37*F$32</f>
        <v/>
      </c>
      <c r="G38" s="103">
        <f>C37*G$32</f>
        <v/>
      </c>
      <c r="H38" s="103">
        <f>C37*H$32</f>
        <v/>
      </c>
      <c r="I38" s="103">
        <f>J37/10</f>
        <v/>
      </c>
      <c r="J38" s="103">
        <f>N24*$F$1</f>
        <v/>
      </c>
      <c r="K38" s="103">
        <f>I37*K$32</f>
        <v/>
      </c>
      <c r="L38" s="103">
        <f>I37*L$32</f>
        <v/>
      </c>
      <c r="M38" s="103">
        <f>I37*M$32</f>
        <v/>
      </c>
      <c r="N38" s="103">
        <f>I37*N$32</f>
        <v/>
      </c>
      <c r="O38" s="103">
        <f>P37/10</f>
        <v/>
      </c>
      <c r="P38" s="103">
        <f>T24*$F$1</f>
        <v/>
      </c>
      <c r="Q38" s="103">
        <f>O37*Q$32</f>
        <v/>
      </c>
      <c r="R38" s="103">
        <f>O37*R$32</f>
        <v/>
      </c>
      <c r="S38" s="103">
        <f>O37*S$32</f>
        <v/>
      </c>
      <c r="T38" s="103">
        <f>O37*T$32</f>
        <v/>
      </c>
      <c r="U38" s="103">
        <f>V37/10</f>
        <v/>
      </c>
      <c r="V38" s="103">
        <f>Z24*$F$1</f>
        <v/>
      </c>
      <c r="W38" s="103">
        <f>U37*W$32</f>
        <v/>
      </c>
      <c r="X38" s="103">
        <f>U37*X$32</f>
        <v/>
      </c>
      <c r="Y38" s="103">
        <f>U37*Y$32</f>
        <v/>
      </c>
      <c r="Z38" s="103">
        <f>U37*Z$32</f>
        <v/>
      </c>
      <c r="AA38" s="103">
        <f>AB37/10</f>
        <v/>
      </c>
      <c r="AB38" s="103">
        <f>AF24*$F$1</f>
        <v/>
      </c>
      <c r="AC38" s="103">
        <f>AA37*AC$32</f>
        <v/>
      </c>
      <c r="AD38" s="103">
        <f>AA37*AD$32</f>
        <v/>
      </c>
      <c r="AE38" s="103">
        <f>AA37*AE$32</f>
        <v/>
      </c>
      <c r="AF38" s="103">
        <f>AA37*AF$32</f>
        <v/>
      </c>
      <c r="AG38" s="103">
        <f>AH37/10</f>
        <v/>
      </c>
      <c r="AH38" s="103">
        <f>AL24*$F$1</f>
        <v/>
      </c>
      <c r="AI38" s="103">
        <f>AG37*AI$32</f>
        <v/>
      </c>
      <c r="AJ38" s="103">
        <f>AG37*AJ$32</f>
        <v/>
      </c>
      <c r="AK38" s="103">
        <f>AG37*AK$32</f>
        <v/>
      </c>
      <c r="AL38" s="103">
        <f>AG37*AL$32</f>
        <v/>
      </c>
      <c r="AM38" s="103">
        <f>AN37/10</f>
        <v/>
      </c>
      <c r="AN38" s="103">
        <f>AR24*$F$1</f>
        <v/>
      </c>
      <c r="AO38" s="103">
        <f>AM37*AO$32</f>
        <v/>
      </c>
      <c r="AP38" s="103">
        <f>AM37*AP$32</f>
        <v/>
      </c>
      <c r="AQ38" s="103">
        <f>AM37*AQ$32</f>
        <v/>
      </c>
      <c r="AR38" s="103">
        <f>AM37*AR$32</f>
        <v/>
      </c>
    </row>
    <row r="39">
      <c r="A39" s="58" t="n">
        <v>6</v>
      </c>
      <c r="B39" s="102" t="n">
        <v>800000</v>
      </c>
      <c r="C39" s="103">
        <f>D38/10</f>
        <v/>
      </c>
      <c r="D39" s="103">
        <f>H25*$F$1</f>
        <v/>
      </c>
      <c r="E39" s="103">
        <f>C38*E$32</f>
        <v/>
      </c>
      <c r="F39" s="103">
        <f>C38*F$32</f>
        <v/>
      </c>
      <c r="G39" s="103">
        <f>C38*G$32</f>
        <v/>
      </c>
      <c r="H39" s="103">
        <f>C38*H$32</f>
        <v/>
      </c>
      <c r="I39" s="103">
        <f>J38/10</f>
        <v/>
      </c>
      <c r="J39" s="103">
        <f>N25*$F$1</f>
        <v/>
      </c>
      <c r="K39" s="103">
        <f>I38*K$32</f>
        <v/>
      </c>
      <c r="L39" s="103">
        <f>I38*L$32</f>
        <v/>
      </c>
      <c r="M39" s="103">
        <f>I38*M$32</f>
        <v/>
      </c>
      <c r="N39" s="103">
        <f>I38*N$32</f>
        <v/>
      </c>
      <c r="O39" s="103">
        <f>P38/10</f>
        <v/>
      </c>
      <c r="P39" s="103">
        <f>T25*$F$1</f>
        <v/>
      </c>
      <c r="Q39" s="103">
        <f>O38*Q$32</f>
        <v/>
      </c>
      <c r="R39" s="103">
        <f>O38*R$32</f>
        <v/>
      </c>
      <c r="S39" s="103">
        <f>O38*S$32</f>
        <v/>
      </c>
      <c r="T39" s="103">
        <f>O38*T$32</f>
        <v/>
      </c>
      <c r="U39" s="103">
        <f>V38/10</f>
        <v/>
      </c>
      <c r="V39" s="103">
        <f>Z25*$F$1</f>
        <v/>
      </c>
      <c r="W39" s="103">
        <f>U38*W$32</f>
        <v/>
      </c>
      <c r="X39" s="103">
        <f>U38*X$32</f>
        <v/>
      </c>
      <c r="Y39" s="103">
        <f>U38*Y$32</f>
        <v/>
      </c>
      <c r="Z39" s="103">
        <f>U38*Z$32</f>
        <v/>
      </c>
      <c r="AA39" s="103">
        <f>AB38/10</f>
        <v/>
      </c>
      <c r="AB39" s="103">
        <f>AF25*$F$1</f>
        <v/>
      </c>
      <c r="AC39" s="103">
        <f>AA38*AC$32</f>
        <v/>
      </c>
      <c r="AD39" s="103">
        <f>AA38*AD$32</f>
        <v/>
      </c>
      <c r="AE39" s="103">
        <f>AA38*AE$32</f>
        <v/>
      </c>
      <c r="AF39" s="103">
        <f>AA38*AF$32</f>
        <v/>
      </c>
      <c r="AG39" s="103">
        <f>AH38/10</f>
        <v/>
      </c>
      <c r="AH39" s="103">
        <f>AL25*$F$1</f>
        <v/>
      </c>
      <c r="AI39" s="103">
        <f>AG38*AI$32</f>
        <v/>
      </c>
      <c r="AJ39" s="103">
        <f>AG38*AJ$32</f>
        <v/>
      </c>
      <c r="AK39" s="103">
        <f>AG38*AK$32</f>
        <v/>
      </c>
      <c r="AL39" s="103">
        <f>AG38*AL$32</f>
        <v/>
      </c>
      <c r="AM39" s="103">
        <f>AN38/10</f>
        <v/>
      </c>
      <c r="AN39" s="103">
        <f>AR25*$F$1</f>
        <v/>
      </c>
      <c r="AO39" s="103">
        <f>AM38*AO$32</f>
        <v/>
      </c>
      <c r="AP39" s="103">
        <f>AM38*AP$32</f>
        <v/>
      </c>
      <c r="AQ39" s="103">
        <f>AM38*AQ$32</f>
        <v/>
      </c>
      <c r="AR39" s="103">
        <f>AM38*AR$32</f>
        <v/>
      </c>
    </row>
    <row r="40">
      <c r="A40" s="58" t="n">
        <v>7</v>
      </c>
      <c r="B40" s="102" t="n">
        <v>1200000</v>
      </c>
      <c r="C40" s="103">
        <f>D39/10</f>
        <v/>
      </c>
      <c r="D40" s="103">
        <f>H26*$F$1</f>
        <v/>
      </c>
      <c r="E40" s="103">
        <f>C39*E$32</f>
        <v/>
      </c>
      <c r="F40" s="103">
        <f>C39*F$32</f>
        <v/>
      </c>
      <c r="G40" s="103">
        <f>C39*G$32</f>
        <v/>
      </c>
      <c r="H40" s="103">
        <f>C39*H$32</f>
        <v/>
      </c>
      <c r="I40" s="103">
        <f>J39/10</f>
        <v/>
      </c>
      <c r="J40" s="103">
        <f>N26*$F$1</f>
        <v/>
      </c>
      <c r="K40" s="103">
        <f>I39*K$32</f>
        <v/>
      </c>
      <c r="L40" s="103">
        <f>I39*L$32</f>
        <v/>
      </c>
      <c r="M40" s="103">
        <f>I39*M$32</f>
        <v/>
      </c>
      <c r="N40" s="103">
        <f>I39*N$32</f>
        <v/>
      </c>
      <c r="O40" s="103">
        <f>P39/10</f>
        <v/>
      </c>
      <c r="P40" s="103">
        <f>T26*$F$1</f>
        <v/>
      </c>
      <c r="Q40" s="103">
        <f>O39*Q$32</f>
        <v/>
      </c>
      <c r="R40" s="103">
        <f>O39*R$32</f>
        <v/>
      </c>
      <c r="S40" s="103">
        <f>O39*S$32</f>
        <v/>
      </c>
      <c r="T40" s="103">
        <f>O39*T$32</f>
        <v/>
      </c>
      <c r="U40" s="103">
        <f>V39/10</f>
        <v/>
      </c>
      <c r="V40" s="103">
        <f>Z26*$F$1</f>
        <v/>
      </c>
      <c r="W40" s="103">
        <f>U39*W$32</f>
        <v/>
      </c>
      <c r="X40" s="103">
        <f>U39*X$32</f>
        <v/>
      </c>
      <c r="Y40" s="103">
        <f>U39*Y$32</f>
        <v/>
      </c>
      <c r="Z40" s="103">
        <f>U39*Z$32</f>
        <v/>
      </c>
      <c r="AA40" s="103">
        <f>AB39/10</f>
        <v/>
      </c>
      <c r="AB40" s="103">
        <f>AF26*$F$1</f>
        <v/>
      </c>
      <c r="AC40" s="103">
        <f>AA39*AC$32</f>
        <v/>
      </c>
      <c r="AD40" s="103">
        <f>AA39*AD$32</f>
        <v/>
      </c>
      <c r="AE40" s="103">
        <f>AA39*AE$32</f>
        <v/>
      </c>
      <c r="AF40" s="103">
        <f>AA39*AF$32</f>
        <v/>
      </c>
      <c r="AG40" s="103">
        <f>AH39/10</f>
        <v/>
      </c>
      <c r="AH40" s="103">
        <f>AL26*$F$1</f>
        <v/>
      </c>
      <c r="AI40" s="103">
        <f>AG39*AI$32</f>
        <v/>
      </c>
      <c r="AJ40" s="103">
        <f>AG39*AJ$32</f>
        <v/>
      </c>
      <c r="AK40" s="103">
        <f>AG39*AK$32</f>
        <v/>
      </c>
      <c r="AL40" s="103">
        <f>AG39*AL$32</f>
        <v/>
      </c>
      <c r="AM40" s="103">
        <f>AN39/10</f>
        <v/>
      </c>
      <c r="AN40" s="103">
        <f>AR26*$F$1</f>
        <v/>
      </c>
      <c r="AO40" s="103">
        <f>AM39*AO$32</f>
        <v/>
      </c>
      <c r="AP40" s="103">
        <f>AM39*AP$32</f>
        <v/>
      </c>
      <c r="AQ40" s="103">
        <f>AM39*AQ$32</f>
        <v/>
      </c>
      <c r="AR40" s="103">
        <f>AM39*AR$32</f>
        <v/>
      </c>
    </row>
    <row r="41">
      <c r="A41" s="58" t="n">
        <v>8</v>
      </c>
      <c r="B41" s="102" t="n">
        <v>3000000</v>
      </c>
      <c r="C41" s="103">
        <f>D40/10</f>
        <v/>
      </c>
      <c r="D41" s="103">
        <f>H27*$F$1</f>
        <v/>
      </c>
      <c r="E41" s="103">
        <f>C40*E$32</f>
        <v/>
      </c>
      <c r="F41" s="103">
        <f>C40*F$32</f>
        <v/>
      </c>
      <c r="G41" s="103">
        <f>C40*G$32</f>
        <v/>
      </c>
      <c r="H41" s="103">
        <f>C40*H$32</f>
        <v/>
      </c>
      <c r="I41" s="103">
        <f>J40/10</f>
        <v/>
      </c>
      <c r="J41" s="103">
        <f>N27*$F$1</f>
        <v/>
      </c>
      <c r="K41" s="103">
        <f>I40*K$32</f>
        <v/>
      </c>
      <c r="L41" s="103">
        <f>I40*L$32</f>
        <v/>
      </c>
      <c r="M41" s="103">
        <f>I40*M$32</f>
        <v/>
      </c>
      <c r="N41" s="103">
        <f>I40*N$32</f>
        <v/>
      </c>
      <c r="O41" s="103">
        <f>P40/10</f>
        <v/>
      </c>
      <c r="P41" s="103">
        <f>T27*$F$1</f>
        <v/>
      </c>
      <c r="Q41" s="103">
        <f>O40*Q$32</f>
        <v/>
      </c>
      <c r="R41" s="103">
        <f>O40*R$32</f>
        <v/>
      </c>
      <c r="S41" s="103">
        <f>O40*S$32</f>
        <v/>
      </c>
      <c r="T41" s="103">
        <f>O40*T$32</f>
        <v/>
      </c>
      <c r="U41" s="103">
        <f>V40/10</f>
        <v/>
      </c>
      <c r="V41" s="103">
        <f>Z27*$F$1</f>
        <v/>
      </c>
      <c r="W41" s="103">
        <f>U40*W$32</f>
        <v/>
      </c>
      <c r="X41" s="103">
        <f>U40*X$32</f>
        <v/>
      </c>
      <c r="Y41" s="103">
        <f>U40*Y$32</f>
        <v/>
      </c>
      <c r="Z41" s="103">
        <f>U40*Z$32</f>
        <v/>
      </c>
      <c r="AA41" s="103">
        <f>AB40/10</f>
        <v/>
      </c>
      <c r="AB41" s="103">
        <f>AF27*$F$1</f>
        <v/>
      </c>
      <c r="AC41" s="103">
        <f>AA40*AC$32</f>
        <v/>
      </c>
      <c r="AD41" s="103">
        <f>AA40*AD$32</f>
        <v/>
      </c>
      <c r="AE41" s="103">
        <f>AA40*AE$32</f>
        <v/>
      </c>
      <c r="AF41" s="103">
        <f>AA40*AF$32</f>
        <v/>
      </c>
      <c r="AG41" s="103">
        <f>AH40/10</f>
        <v/>
      </c>
      <c r="AH41" s="103">
        <f>AL27*$F$1</f>
        <v/>
      </c>
      <c r="AI41" s="103">
        <f>AG40*AI$32</f>
        <v/>
      </c>
      <c r="AJ41" s="103">
        <f>AG40*AJ$32</f>
        <v/>
      </c>
      <c r="AK41" s="103">
        <f>AG40*AK$32</f>
        <v/>
      </c>
      <c r="AL41" s="103">
        <f>AG40*AL$32</f>
        <v/>
      </c>
      <c r="AM41" s="103">
        <f>AN40/10</f>
        <v/>
      </c>
      <c r="AN41" s="103">
        <f>AR27*$F$1</f>
        <v/>
      </c>
      <c r="AO41" s="103">
        <f>AM40*AO$32</f>
        <v/>
      </c>
      <c r="AP41" s="103">
        <f>AM40*AP$32</f>
        <v/>
      </c>
      <c r="AQ41" s="103">
        <f>AM40*AQ$32</f>
        <v/>
      </c>
      <c r="AR41" s="103">
        <f>AM40*AR$32</f>
        <v/>
      </c>
    </row>
    <row r="42">
      <c r="A42" s="58" t="n">
        <v>9</v>
      </c>
      <c r="B42" s="102" t="n">
        <v>5000000</v>
      </c>
      <c r="C42" s="103">
        <f>D41/10</f>
        <v/>
      </c>
      <c r="D42" s="103">
        <f>H28*$F$1</f>
        <v/>
      </c>
      <c r="E42" s="103">
        <f>C41*E$32</f>
        <v/>
      </c>
      <c r="F42" s="103">
        <f>C41*F$32</f>
        <v/>
      </c>
      <c r="G42" s="103">
        <f>C41*G$32</f>
        <v/>
      </c>
      <c r="H42" s="103">
        <f>C41*H$32</f>
        <v/>
      </c>
      <c r="I42" s="103">
        <f>J41/10</f>
        <v/>
      </c>
      <c r="J42" s="103">
        <f>N28*$F$1</f>
        <v/>
      </c>
      <c r="K42" s="103">
        <f>I41*K$32</f>
        <v/>
      </c>
      <c r="L42" s="103">
        <f>I41*L$32</f>
        <v/>
      </c>
      <c r="M42" s="103">
        <f>I41*M$32</f>
        <v/>
      </c>
      <c r="N42" s="103">
        <f>I41*N$32</f>
        <v/>
      </c>
      <c r="O42" s="103">
        <f>P41/10</f>
        <v/>
      </c>
      <c r="P42" s="103">
        <f>T28*$F$1</f>
        <v/>
      </c>
      <c r="Q42" s="103">
        <f>O41*Q$32</f>
        <v/>
      </c>
      <c r="R42" s="103">
        <f>O41*R$32</f>
        <v/>
      </c>
      <c r="S42" s="103">
        <f>O41*S$32</f>
        <v/>
      </c>
      <c r="T42" s="103">
        <f>O41*T$32</f>
        <v/>
      </c>
      <c r="U42" s="103">
        <f>V41/10</f>
        <v/>
      </c>
      <c r="V42" s="103">
        <f>Z28*$F$1</f>
        <v/>
      </c>
      <c r="W42" s="103">
        <f>U41*W$32</f>
        <v/>
      </c>
      <c r="X42" s="103">
        <f>U41*X$32</f>
        <v/>
      </c>
      <c r="Y42" s="103">
        <f>U41*Y$32</f>
        <v/>
      </c>
      <c r="Z42" s="103">
        <f>U41*Z$32</f>
        <v/>
      </c>
      <c r="AA42" s="103">
        <f>AB41/10</f>
        <v/>
      </c>
      <c r="AB42" s="103">
        <f>AF28*$F$1</f>
        <v/>
      </c>
      <c r="AC42" s="103">
        <f>AA41*AC$32</f>
        <v/>
      </c>
      <c r="AD42" s="103">
        <f>AA41*AD$32</f>
        <v/>
      </c>
      <c r="AE42" s="103">
        <f>AA41*AE$32</f>
        <v/>
      </c>
      <c r="AF42" s="103">
        <f>AA41*AF$32</f>
        <v/>
      </c>
      <c r="AG42" s="103">
        <f>AH41/10</f>
        <v/>
      </c>
      <c r="AH42" s="103">
        <f>AL28*$F$1</f>
        <v/>
      </c>
      <c r="AI42" s="103">
        <f>AG41*AI$32</f>
        <v/>
      </c>
      <c r="AJ42" s="103">
        <f>AG41*AJ$32</f>
        <v/>
      </c>
      <c r="AK42" s="103">
        <f>AG41*AK$32</f>
        <v/>
      </c>
      <c r="AL42" s="103">
        <f>AG41*AL$32</f>
        <v/>
      </c>
      <c r="AM42" s="103">
        <f>AN41/10</f>
        <v/>
      </c>
      <c r="AN42" s="103">
        <f>AR28*$F$1</f>
        <v/>
      </c>
      <c r="AO42" s="103">
        <f>AM41*AO$32</f>
        <v/>
      </c>
      <c r="AP42" s="103">
        <f>AM41*AP$32</f>
        <v/>
      </c>
      <c r="AQ42" s="103">
        <f>AM41*AQ$32</f>
        <v/>
      </c>
      <c r="AR42" s="103">
        <f>AM41*AR$32</f>
        <v/>
      </c>
    </row>
    <row r="43">
      <c r="A43" s="58" t="n">
        <v>10</v>
      </c>
      <c r="B43" s="102" t="n">
        <v>10000000</v>
      </c>
      <c r="C43" s="103">
        <f>D42/10</f>
        <v/>
      </c>
      <c r="D43" s="103">
        <f>H29*$F$1</f>
        <v/>
      </c>
      <c r="E43" s="103">
        <f>C42*E$32</f>
        <v/>
      </c>
      <c r="F43" s="103">
        <f>C42*F$32</f>
        <v/>
      </c>
      <c r="G43" s="103">
        <f>C42*G$32</f>
        <v/>
      </c>
      <c r="H43" s="103">
        <f>C42*H$32</f>
        <v/>
      </c>
      <c r="I43" s="103">
        <f>J42/10</f>
        <v/>
      </c>
      <c r="J43" s="103">
        <f>N29*$F$1</f>
        <v/>
      </c>
      <c r="K43" s="103">
        <f>I42*K$32</f>
        <v/>
      </c>
      <c r="L43" s="103">
        <f>I42*L$32</f>
        <v/>
      </c>
      <c r="M43" s="103">
        <f>I42*M$32</f>
        <v/>
      </c>
      <c r="N43" s="103">
        <f>I42*N$32</f>
        <v/>
      </c>
      <c r="O43" s="103">
        <f>P42/10</f>
        <v/>
      </c>
      <c r="P43" s="103">
        <f>T29*$F$1</f>
        <v/>
      </c>
      <c r="Q43" s="103">
        <f>O42*Q$32</f>
        <v/>
      </c>
      <c r="R43" s="103">
        <f>O42*R$32</f>
        <v/>
      </c>
      <c r="S43" s="103">
        <f>O42*S$32</f>
        <v/>
      </c>
      <c r="T43" s="103">
        <f>O42*T$32</f>
        <v/>
      </c>
      <c r="U43" s="103">
        <f>V42/10</f>
        <v/>
      </c>
      <c r="V43" s="103">
        <f>Z29*$F$1</f>
        <v/>
      </c>
      <c r="W43" s="103">
        <f>U42*W$32</f>
        <v/>
      </c>
      <c r="X43" s="103">
        <f>U42*X$32</f>
        <v/>
      </c>
      <c r="Y43" s="103">
        <f>U42*Y$32</f>
        <v/>
      </c>
      <c r="Z43" s="103">
        <f>U42*Z$32</f>
        <v/>
      </c>
      <c r="AA43" s="103">
        <f>AB42/10</f>
        <v/>
      </c>
      <c r="AB43" s="103">
        <f>AF29*$F$1</f>
        <v/>
      </c>
      <c r="AC43" s="103">
        <f>AA42*AC$32</f>
        <v/>
      </c>
      <c r="AD43" s="103">
        <f>AA42*AD$32</f>
        <v/>
      </c>
      <c r="AE43" s="103">
        <f>AA42*AE$32</f>
        <v/>
      </c>
      <c r="AF43" s="103">
        <f>AA42*AF$32</f>
        <v/>
      </c>
      <c r="AG43" s="103">
        <f>AH42/10</f>
        <v/>
      </c>
      <c r="AH43" s="103">
        <f>AL29*$F$1</f>
        <v/>
      </c>
      <c r="AI43" s="103">
        <f>AG42*AI$32</f>
        <v/>
      </c>
      <c r="AJ43" s="103">
        <f>AG42*AJ$32</f>
        <v/>
      </c>
      <c r="AK43" s="103">
        <f>AG42*AK$32</f>
        <v/>
      </c>
      <c r="AL43" s="103">
        <f>AG42*AL$32</f>
        <v/>
      </c>
      <c r="AM43" s="103">
        <f>AN42/10</f>
        <v/>
      </c>
      <c r="AN43" s="103">
        <f>AR29*$F$1</f>
        <v/>
      </c>
      <c r="AO43" s="103">
        <f>AM42*AO$32</f>
        <v/>
      </c>
      <c r="AP43" s="103">
        <f>AM42*AP$32</f>
        <v/>
      </c>
      <c r="AQ43" s="103">
        <f>AM42*AQ$32</f>
        <v/>
      </c>
      <c r="AR43" s="103">
        <f>AM42*AR$32</f>
        <v/>
      </c>
    </row>
    <row r="44">
      <c r="A44" s="58" t="n">
        <v>11</v>
      </c>
      <c r="B44" s="102" t="n">
        <v>50000000</v>
      </c>
      <c r="C44" s="103">
        <f>D43/10</f>
        <v/>
      </c>
      <c r="D44" s="103">
        <f>H30*$F$1</f>
        <v/>
      </c>
      <c r="E44" s="103">
        <f>C43*E$32</f>
        <v/>
      </c>
      <c r="F44" s="103">
        <f>C43*F$32</f>
        <v/>
      </c>
      <c r="G44" s="103">
        <f>C43*G$32</f>
        <v/>
      </c>
      <c r="H44" s="103">
        <f>C43*H$32</f>
        <v/>
      </c>
      <c r="I44" s="103">
        <f>J43/10</f>
        <v/>
      </c>
      <c r="J44" s="103">
        <f>N30*$F$1</f>
        <v/>
      </c>
      <c r="K44" s="103">
        <f>I43*K$32</f>
        <v/>
      </c>
      <c r="L44" s="103">
        <f>I43*L$32</f>
        <v/>
      </c>
      <c r="M44" s="103">
        <f>I43*M$32</f>
        <v/>
      </c>
      <c r="N44" s="103">
        <f>I43*N$32</f>
        <v/>
      </c>
      <c r="O44" s="103">
        <f>P43/10</f>
        <v/>
      </c>
      <c r="P44" s="103">
        <f>T30*$F$1</f>
        <v/>
      </c>
      <c r="Q44" s="103">
        <f>O43*Q$32</f>
        <v/>
      </c>
      <c r="R44" s="103">
        <f>O43*R$32</f>
        <v/>
      </c>
      <c r="S44" s="103">
        <f>O43*S$32</f>
        <v/>
      </c>
      <c r="T44" s="103">
        <f>O43*T$32</f>
        <v/>
      </c>
      <c r="U44" s="103">
        <f>V43/10</f>
        <v/>
      </c>
      <c r="V44" s="103">
        <f>Z30*$F$1</f>
        <v/>
      </c>
      <c r="W44" s="103">
        <f>U43*W$32</f>
        <v/>
      </c>
      <c r="X44" s="103">
        <f>U43*X$32</f>
        <v/>
      </c>
      <c r="Y44" s="103">
        <f>U43*Y$32</f>
        <v/>
      </c>
      <c r="Z44" s="103">
        <f>U43*Z$32</f>
        <v/>
      </c>
      <c r="AA44" s="103">
        <f>AB43/10</f>
        <v/>
      </c>
      <c r="AB44" s="103">
        <f>AF30*$F$1</f>
        <v/>
      </c>
      <c r="AC44" s="103">
        <f>AA43*AC$32</f>
        <v/>
      </c>
      <c r="AD44" s="103">
        <f>AA43*AD$32</f>
        <v/>
      </c>
      <c r="AE44" s="103">
        <f>AA43*AE$32</f>
        <v/>
      </c>
      <c r="AF44" s="103">
        <f>AA43*AF$32</f>
        <v/>
      </c>
      <c r="AG44" s="103">
        <f>AH43/10</f>
        <v/>
      </c>
      <c r="AH44" s="103">
        <f>AL30*$F$1</f>
        <v/>
      </c>
      <c r="AI44" s="103">
        <f>AG43*AI$32</f>
        <v/>
      </c>
      <c r="AJ44" s="103">
        <f>AG43*AJ$32</f>
        <v/>
      </c>
      <c r="AK44" s="103">
        <f>AG43*AK$32</f>
        <v/>
      </c>
      <c r="AL44" s="103">
        <f>AG43*AL$32</f>
        <v/>
      </c>
      <c r="AM44" s="103">
        <f>AN43/10</f>
        <v/>
      </c>
      <c r="AN44" s="103">
        <f>AR30*$F$1</f>
        <v/>
      </c>
      <c r="AO44" s="103">
        <f>AM43*AO$32</f>
        <v/>
      </c>
      <c r="AP44" s="103">
        <f>AM43*AP$32</f>
        <v/>
      </c>
      <c r="AQ44" s="103">
        <f>AM43*AQ$32</f>
        <v/>
      </c>
      <c r="AR44" s="103">
        <f>AM43*AR$32</f>
        <v/>
      </c>
    </row>
    <row r="45">
      <c r="A45" s="58" t="n">
        <v>12</v>
      </c>
      <c r="B45" s="100" t="n">
        <v>100000000</v>
      </c>
      <c r="C45" s="103">
        <f>D44/10</f>
        <v/>
      </c>
      <c r="D45" s="103">
        <f>H31*$F$1</f>
        <v/>
      </c>
      <c r="E45" s="103">
        <f>C44*E$32</f>
        <v/>
      </c>
      <c r="F45" s="103">
        <f>C44*F$32</f>
        <v/>
      </c>
      <c r="G45" s="103">
        <f>C44*G$32</f>
        <v/>
      </c>
      <c r="H45" s="103">
        <f>C44*H$32</f>
        <v/>
      </c>
      <c r="I45" s="103">
        <f>J44/10</f>
        <v/>
      </c>
      <c r="J45" s="103">
        <f>N31*$F$1</f>
        <v/>
      </c>
      <c r="K45" s="103">
        <f>I44*K$32</f>
        <v/>
      </c>
      <c r="L45" s="103">
        <f>I44*L$32</f>
        <v/>
      </c>
      <c r="M45" s="103">
        <f>I44*M$32</f>
        <v/>
      </c>
      <c r="N45" s="103">
        <f>I44*N$32</f>
        <v/>
      </c>
      <c r="O45" s="103">
        <f>P44/10</f>
        <v/>
      </c>
      <c r="P45" s="103">
        <f>T31*$F$1</f>
        <v/>
      </c>
      <c r="Q45" s="103">
        <f>O44*Q$32</f>
        <v/>
      </c>
      <c r="R45" s="103">
        <f>O44*R$32</f>
        <v/>
      </c>
      <c r="S45" s="103">
        <f>O44*S$32</f>
        <v/>
      </c>
      <c r="T45" s="103">
        <f>O44*T$32</f>
        <v/>
      </c>
      <c r="U45" s="103">
        <f>V44/10</f>
        <v/>
      </c>
      <c r="V45" s="103">
        <f>Z31*$F$1</f>
        <v/>
      </c>
      <c r="W45" s="103">
        <f>U44*W$32</f>
        <v/>
      </c>
      <c r="X45" s="103">
        <f>U44*X$32</f>
        <v/>
      </c>
      <c r="Y45" s="103">
        <f>U44*Y$32</f>
        <v/>
      </c>
      <c r="Z45" s="103">
        <f>U44*Z$32</f>
        <v/>
      </c>
      <c r="AA45" s="103">
        <f>AB44/10</f>
        <v/>
      </c>
      <c r="AB45" s="103">
        <f>AF31*$F$1</f>
        <v/>
      </c>
      <c r="AC45" s="103">
        <f>AA44*AC$32</f>
        <v/>
      </c>
      <c r="AD45" s="103">
        <f>AA44*AD$32</f>
        <v/>
      </c>
      <c r="AE45" s="103">
        <f>AA44*AE$32</f>
        <v/>
      </c>
      <c r="AF45" s="103">
        <f>AA44*AF$32</f>
        <v/>
      </c>
      <c r="AG45" s="103">
        <f>AH44/10</f>
        <v/>
      </c>
      <c r="AH45" s="103">
        <f>AL31*$F$1</f>
        <v/>
      </c>
      <c r="AI45" s="103">
        <f>AG44*AI$32</f>
        <v/>
      </c>
      <c r="AJ45" s="103">
        <f>AG44*AJ$32</f>
        <v/>
      </c>
      <c r="AK45" s="103">
        <f>AG44*AK$32</f>
        <v/>
      </c>
      <c r="AL45" s="103">
        <f>AG44*AL$32</f>
        <v/>
      </c>
      <c r="AM45" s="103">
        <f>AN44/10</f>
        <v/>
      </c>
      <c r="AN45" s="103">
        <f>AR31*$F$1</f>
        <v/>
      </c>
      <c r="AO45" s="103">
        <f>AM44*AO$32</f>
        <v/>
      </c>
      <c r="AP45" s="103">
        <f>AM44*AP$32</f>
        <v/>
      </c>
      <c r="AQ45" s="103">
        <f>AM44*AQ$32</f>
        <v/>
      </c>
      <c r="AR45" s="103">
        <f>AM44*AR$32</f>
        <v/>
      </c>
    </row>
    <row r="46">
      <c r="C46" s="104" t="n"/>
      <c r="D46" s="104" t="n"/>
      <c r="E46" s="104" t="n"/>
      <c r="F46" s="104" t="n"/>
      <c r="G46" s="104" t="n"/>
      <c r="H46" s="104" t="n"/>
    </row>
    <row r="47">
      <c r="C47" s="104" t="n"/>
      <c r="D47" s="104" t="n"/>
      <c r="E47" s="104" t="n"/>
      <c r="F47" s="104" t="n"/>
      <c r="G47" s="104" t="n"/>
      <c r="H47" s="104" t="n"/>
    </row>
    <row r="48" ht="16.5" customHeight="1" s="86">
      <c r="A48" s="87" t="n"/>
      <c r="B48" s="87" t="n"/>
    </row>
    <row r="49" ht="16.5" customHeight="1" s="86">
      <c r="B49" s="87" t="n"/>
      <c r="C49" s="77" t="inlineStr">
        <is>
          <t>C1</t>
        </is>
      </c>
      <c r="D49" s="88" t="n"/>
      <c r="E49" s="88" t="n"/>
      <c r="F49" s="89" t="n"/>
      <c r="G49" s="88" t="n"/>
      <c r="H49" s="89" t="n"/>
      <c r="I49" s="77" t="inlineStr">
        <is>
          <t>C2</t>
        </is>
      </c>
      <c r="J49" s="88" t="n"/>
      <c r="K49" s="88" t="n"/>
      <c r="L49" s="89" t="n"/>
      <c r="M49" s="88" t="n"/>
      <c r="N49" s="89" t="n"/>
      <c r="O49" s="77" t="inlineStr">
        <is>
          <t>C3</t>
        </is>
      </c>
      <c r="P49" s="88" t="n"/>
      <c r="Q49" s="88" t="n"/>
      <c r="R49" s="89" t="n"/>
      <c r="S49" s="88" t="n"/>
      <c r="T49" s="89" t="n"/>
      <c r="U49" s="77" t="inlineStr">
        <is>
          <t>C4</t>
        </is>
      </c>
      <c r="V49" s="88" t="n"/>
      <c r="W49" s="88" t="n"/>
      <c r="X49" s="89" t="n"/>
      <c r="Y49" s="88" t="n"/>
      <c r="Z49" s="89" t="n"/>
      <c r="AA49" s="77" t="inlineStr">
        <is>
          <t>C5</t>
        </is>
      </c>
      <c r="AB49" s="88" t="n"/>
      <c r="AC49" s="88" t="n"/>
      <c r="AD49" s="89" t="n"/>
      <c r="AE49" s="88" t="n"/>
      <c r="AF49" s="89" t="n"/>
      <c r="AG49" s="77" t="inlineStr">
        <is>
          <t>C6</t>
        </is>
      </c>
      <c r="AH49" s="88" t="n"/>
      <c r="AI49" s="88" t="n"/>
      <c r="AJ49" s="89" t="n"/>
      <c r="AK49" s="88" t="n"/>
      <c r="AL49" s="89" t="n"/>
      <c r="AM49" s="77" t="inlineStr">
        <is>
          <t>C7</t>
        </is>
      </c>
      <c r="AN49" s="88" t="n"/>
      <c r="AO49" s="88" t="n"/>
      <c r="AP49" s="89" t="n"/>
      <c r="AQ49" s="88" t="n"/>
      <c r="AR49" s="89" t="n"/>
    </row>
    <row r="50">
      <c r="B50" s="87" t="n"/>
      <c r="C50" s="105" t="inlineStr">
        <is>
          <t>No.</t>
        </is>
      </c>
      <c r="D50" s="77" t="inlineStr">
        <is>
          <t>Collect</t>
        </is>
      </c>
      <c r="E50" s="89" t="n"/>
      <c r="F50" s="77" t="inlineStr">
        <is>
          <t>Bonus</t>
        </is>
      </c>
      <c r="G50" s="88" t="n"/>
      <c r="H50" s="89" t="n"/>
      <c r="I50" s="105" t="inlineStr">
        <is>
          <t>No.</t>
        </is>
      </c>
      <c r="J50" s="77" t="inlineStr">
        <is>
          <t>Collect</t>
        </is>
      </c>
      <c r="K50" s="89" t="n"/>
      <c r="L50" s="77" t="inlineStr">
        <is>
          <t>Bonus</t>
        </is>
      </c>
      <c r="M50" s="88" t="n"/>
      <c r="N50" s="89" t="n"/>
      <c r="O50" s="105" t="inlineStr">
        <is>
          <t>No.</t>
        </is>
      </c>
      <c r="P50" s="77" t="inlineStr">
        <is>
          <t>Collect</t>
        </is>
      </c>
      <c r="Q50" s="89" t="n"/>
      <c r="R50" s="77" t="inlineStr">
        <is>
          <t>Bonus</t>
        </is>
      </c>
      <c r="S50" s="88" t="n"/>
      <c r="T50" s="89" t="n"/>
      <c r="U50" s="105" t="inlineStr">
        <is>
          <t>No.</t>
        </is>
      </c>
      <c r="V50" s="77" t="inlineStr">
        <is>
          <t>Collect</t>
        </is>
      </c>
      <c r="W50" s="89" t="n"/>
      <c r="X50" s="77" t="inlineStr">
        <is>
          <t>Bonus</t>
        </is>
      </c>
      <c r="Y50" s="88" t="n"/>
      <c r="Z50" s="89" t="n"/>
      <c r="AA50" s="105" t="inlineStr">
        <is>
          <t>No.</t>
        </is>
      </c>
      <c r="AB50" s="77" t="inlineStr">
        <is>
          <t>Collect</t>
        </is>
      </c>
      <c r="AC50" s="89" t="n"/>
      <c r="AD50" s="77" t="inlineStr">
        <is>
          <t>Bonus</t>
        </is>
      </c>
      <c r="AE50" s="88" t="n"/>
      <c r="AF50" s="89" t="n"/>
      <c r="AG50" s="105" t="inlineStr">
        <is>
          <t>No.</t>
        </is>
      </c>
      <c r="AH50" s="77" t="inlineStr">
        <is>
          <t>Collect</t>
        </is>
      </c>
      <c r="AI50" s="89" t="n"/>
      <c r="AJ50" s="77" t="inlineStr">
        <is>
          <t>Bonus</t>
        </is>
      </c>
      <c r="AK50" s="88" t="n"/>
      <c r="AL50" s="89" t="n"/>
      <c r="AM50" s="105" t="inlineStr">
        <is>
          <t>No.</t>
        </is>
      </c>
      <c r="AN50" s="77" t="inlineStr">
        <is>
          <t>Collect</t>
        </is>
      </c>
      <c r="AO50" s="89" t="n"/>
      <c r="AP50" s="77" t="inlineStr">
        <is>
          <t>Bonus</t>
        </is>
      </c>
      <c r="AQ50" s="88" t="n"/>
      <c r="AR50" s="89" t="n"/>
    </row>
    <row r="51">
      <c r="B51" s="87" t="n"/>
      <c r="C51" s="60" t="n">
        <v>1</v>
      </c>
      <c r="D51" s="106" t="n">
        <v>100</v>
      </c>
      <c r="E51" s="89" t="n"/>
      <c r="F51" s="106" t="n">
        <v>1000000</v>
      </c>
      <c r="G51" s="88" t="n"/>
      <c r="H51" s="89" t="n"/>
      <c r="I51" s="60" t="n">
        <v>1</v>
      </c>
      <c r="J51" s="107">
        <f>$D50</f>
        <v/>
      </c>
      <c r="K51" s="89" t="n"/>
      <c r="L51" s="107">
        <f>F50*N$47</f>
        <v/>
      </c>
      <c r="M51" s="88" t="n"/>
      <c r="N51" s="89" t="n"/>
      <c r="O51" s="60" t="n">
        <v>1</v>
      </c>
      <c r="P51" s="107">
        <f>$D50</f>
        <v/>
      </c>
      <c r="Q51" s="89" t="n"/>
      <c r="R51" s="107">
        <f>L50*T$47</f>
        <v/>
      </c>
      <c r="S51" s="88" t="n"/>
      <c r="T51" s="89" t="n"/>
      <c r="U51" s="60" t="n">
        <v>1</v>
      </c>
      <c r="V51" s="107">
        <f>$D50</f>
        <v/>
      </c>
      <c r="W51" s="89" t="n"/>
      <c r="X51" s="107">
        <f>R50*Z$47</f>
        <v/>
      </c>
      <c r="Y51" s="88" t="n"/>
      <c r="Z51" s="89" t="n"/>
      <c r="AA51" s="60" t="n">
        <v>1</v>
      </c>
      <c r="AB51" s="107">
        <f>$D50</f>
        <v/>
      </c>
      <c r="AC51" s="89" t="n"/>
      <c r="AD51" s="107">
        <f>X50*AF$47</f>
        <v/>
      </c>
      <c r="AE51" s="88" t="n"/>
      <c r="AF51" s="89" t="n"/>
      <c r="AG51" s="60" t="n">
        <v>1</v>
      </c>
      <c r="AH51" s="107">
        <f>$D50</f>
        <v/>
      </c>
      <c r="AI51" s="89" t="n"/>
      <c r="AJ51" s="107">
        <f>AD50*AL$47</f>
        <v/>
      </c>
      <c r="AK51" s="88" t="n"/>
      <c r="AL51" s="89" t="n"/>
      <c r="AM51" s="60" t="n">
        <v>1</v>
      </c>
      <c r="AN51" s="107">
        <f>$D50</f>
        <v/>
      </c>
      <c r="AO51" s="89" t="n"/>
      <c r="AP51" s="107">
        <f>AJ50*AR$47</f>
        <v/>
      </c>
      <c r="AQ51" s="88" t="n"/>
      <c r="AR51" s="89" t="n"/>
    </row>
    <row r="52">
      <c r="B52" s="87" t="n"/>
      <c r="C52" s="61" t="n">
        <v>2</v>
      </c>
      <c r="D52" s="106" t="n">
        <v>120</v>
      </c>
      <c r="E52" s="89" t="n"/>
      <c r="F52" s="106" t="n">
        <v>1200000</v>
      </c>
      <c r="G52" s="88" t="n"/>
      <c r="H52" s="89" t="n"/>
      <c r="I52" s="61" t="n">
        <v>2</v>
      </c>
      <c r="J52" s="107">
        <f>$D51</f>
        <v/>
      </c>
      <c r="K52" s="89" t="n"/>
      <c r="L52" s="107">
        <f>F51*N$47</f>
        <v/>
      </c>
      <c r="M52" s="88" t="n"/>
      <c r="N52" s="89" t="n"/>
      <c r="O52" s="61" t="n">
        <v>2</v>
      </c>
      <c r="P52" s="107">
        <f>$D51</f>
        <v/>
      </c>
      <c r="Q52" s="89" t="n"/>
      <c r="R52" s="107">
        <f>L51*T$47</f>
        <v/>
      </c>
      <c r="S52" s="88" t="n"/>
      <c r="T52" s="89" t="n"/>
      <c r="U52" s="61" t="n">
        <v>2</v>
      </c>
      <c r="V52" s="107">
        <f>$D51</f>
        <v/>
      </c>
      <c r="W52" s="89" t="n"/>
      <c r="X52" s="107">
        <f>R51*Z$47</f>
        <v/>
      </c>
      <c r="Y52" s="88" t="n"/>
      <c r="Z52" s="89" t="n"/>
      <c r="AA52" s="61" t="n">
        <v>2</v>
      </c>
      <c r="AB52" s="107">
        <f>$D51</f>
        <v/>
      </c>
      <c r="AC52" s="89" t="n"/>
      <c r="AD52" s="107">
        <f>X51*AF$47</f>
        <v/>
      </c>
      <c r="AE52" s="88" t="n"/>
      <c r="AF52" s="89" t="n"/>
      <c r="AG52" s="61" t="n">
        <v>2</v>
      </c>
      <c r="AH52" s="107">
        <f>$D51</f>
        <v/>
      </c>
      <c r="AI52" s="89" t="n"/>
      <c r="AJ52" s="107">
        <f>AD51*AL$47</f>
        <v/>
      </c>
      <c r="AK52" s="88" t="n"/>
      <c r="AL52" s="89" t="n"/>
      <c r="AM52" s="61" t="n">
        <v>2</v>
      </c>
      <c r="AN52" s="107">
        <f>$D51</f>
        <v/>
      </c>
      <c r="AO52" s="89" t="n"/>
      <c r="AP52" s="107">
        <f>AJ51*AR$47</f>
        <v/>
      </c>
      <c r="AQ52" s="88" t="n"/>
      <c r="AR52" s="89" t="n"/>
    </row>
    <row r="53">
      <c r="B53" s="87" t="n"/>
      <c r="C53" s="60" t="n">
        <v>3</v>
      </c>
      <c r="D53" s="106" t="n">
        <v>150</v>
      </c>
      <c r="E53" s="89" t="n"/>
      <c r="F53" s="106" t="n">
        <v>1500000</v>
      </c>
      <c r="G53" s="88" t="n"/>
      <c r="H53" s="89" t="n"/>
      <c r="I53" s="60" t="n">
        <v>3</v>
      </c>
      <c r="J53" s="107">
        <f>$D52</f>
        <v/>
      </c>
      <c r="K53" s="89" t="n"/>
      <c r="L53" s="107">
        <f>F52*N$47</f>
        <v/>
      </c>
      <c r="M53" s="88" t="n"/>
      <c r="N53" s="89" t="n"/>
      <c r="O53" s="60" t="n">
        <v>3</v>
      </c>
      <c r="P53" s="107">
        <f>$D52</f>
        <v/>
      </c>
      <c r="Q53" s="89" t="n"/>
      <c r="R53" s="107">
        <f>L52*T$47</f>
        <v/>
      </c>
      <c r="S53" s="88" t="n"/>
      <c r="T53" s="89" t="n"/>
      <c r="U53" s="60" t="n">
        <v>3</v>
      </c>
      <c r="V53" s="107">
        <f>$D52</f>
        <v/>
      </c>
      <c r="W53" s="89" t="n"/>
      <c r="X53" s="107">
        <f>R52*Z$47</f>
        <v/>
      </c>
      <c r="Y53" s="88" t="n"/>
      <c r="Z53" s="89" t="n"/>
      <c r="AA53" s="60" t="n">
        <v>3</v>
      </c>
      <c r="AB53" s="107">
        <f>$D52</f>
        <v/>
      </c>
      <c r="AC53" s="89" t="n"/>
      <c r="AD53" s="107">
        <f>X52*AF$47</f>
        <v/>
      </c>
      <c r="AE53" s="88" t="n"/>
      <c r="AF53" s="89" t="n"/>
      <c r="AG53" s="60" t="n">
        <v>3</v>
      </c>
      <c r="AH53" s="107">
        <f>$D52</f>
        <v/>
      </c>
      <c r="AI53" s="89" t="n"/>
      <c r="AJ53" s="107">
        <f>AD52*AL$47</f>
        <v/>
      </c>
      <c r="AK53" s="88" t="n"/>
      <c r="AL53" s="89" t="n"/>
      <c r="AM53" s="60" t="n">
        <v>3</v>
      </c>
      <c r="AN53" s="107">
        <f>$D52</f>
        <v/>
      </c>
      <c r="AO53" s="89" t="n"/>
      <c r="AP53" s="107">
        <f>AJ52*AR$47</f>
        <v/>
      </c>
      <c r="AQ53" s="88" t="n"/>
      <c r="AR53" s="89" t="n"/>
    </row>
    <row r="54">
      <c r="B54" s="87" t="n"/>
      <c r="C54" s="60" t="n">
        <v>4</v>
      </c>
      <c r="D54" s="106" t="n">
        <v>200</v>
      </c>
      <c r="E54" s="89" t="n"/>
      <c r="F54" s="106" t="n">
        <v>2000000</v>
      </c>
      <c r="G54" s="88" t="n"/>
      <c r="H54" s="89" t="n"/>
      <c r="I54" s="60" t="n">
        <v>4</v>
      </c>
      <c r="J54" s="107">
        <f>$D53</f>
        <v/>
      </c>
      <c r="K54" s="89" t="n"/>
      <c r="L54" s="107">
        <f>F53*N$47</f>
        <v/>
      </c>
      <c r="M54" s="88" t="n"/>
      <c r="N54" s="89" t="n"/>
      <c r="O54" s="60" t="n">
        <v>4</v>
      </c>
      <c r="P54" s="107">
        <f>$D53</f>
        <v/>
      </c>
      <c r="Q54" s="89" t="n"/>
      <c r="R54" s="107">
        <f>L53*T$47</f>
        <v/>
      </c>
      <c r="S54" s="88" t="n"/>
      <c r="T54" s="89" t="n"/>
      <c r="U54" s="60" t="n">
        <v>4</v>
      </c>
      <c r="V54" s="107">
        <f>$D53</f>
        <v/>
      </c>
      <c r="W54" s="89" t="n"/>
      <c r="X54" s="107">
        <f>R53*Z$47</f>
        <v/>
      </c>
      <c r="Y54" s="88" t="n"/>
      <c r="Z54" s="89" t="n"/>
      <c r="AA54" s="60" t="n">
        <v>4</v>
      </c>
      <c r="AB54" s="107">
        <f>$D53</f>
        <v/>
      </c>
      <c r="AC54" s="89" t="n"/>
      <c r="AD54" s="107">
        <f>X53*AF$47</f>
        <v/>
      </c>
      <c r="AE54" s="88" t="n"/>
      <c r="AF54" s="89" t="n"/>
      <c r="AG54" s="60" t="n">
        <v>4</v>
      </c>
      <c r="AH54" s="107">
        <f>$D53</f>
        <v/>
      </c>
      <c r="AI54" s="89" t="n"/>
      <c r="AJ54" s="107">
        <f>AD53*AL$47</f>
        <v/>
      </c>
      <c r="AK54" s="88" t="n"/>
      <c r="AL54" s="89" t="n"/>
      <c r="AM54" s="60" t="n">
        <v>4</v>
      </c>
      <c r="AN54" s="107">
        <f>$D53</f>
        <v/>
      </c>
      <c r="AO54" s="89" t="n"/>
      <c r="AP54" s="107">
        <f>AJ53*AR$47</f>
        <v/>
      </c>
      <c r="AQ54" s="88" t="n"/>
      <c r="AR54" s="89" t="n"/>
    </row>
    <row r="55">
      <c r="B55" s="87" t="n"/>
      <c r="C55" s="61" t="n">
        <v>5</v>
      </c>
      <c r="D55" s="106" t="n">
        <v>300</v>
      </c>
      <c r="E55" s="89" t="n"/>
      <c r="F55" s="106" t="n">
        <v>3000000</v>
      </c>
      <c r="G55" s="88" t="n"/>
      <c r="H55" s="89" t="n"/>
      <c r="I55" s="61" t="n">
        <v>5</v>
      </c>
      <c r="J55" s="107">
        <f>$D54</f>
        <v/>
      </c>
      <c r="K55" s="89" t="n"/>
      <c r="L55" s="107">
        <f>F54*N$47</f>
        <v/>
      </c>
      <c r="M55" s="88" t="n"/>
      <c r="N55" s="89" t="n"/>
      <c r="O55" s="61" t="n">
        <v>5</v>
      </c>
      <c r="P55" s="107">
        <f>$D54</f>
        <v/>
      </c>
      <c r="Q55" s="89" t="n"/>
      <c r="R55" s="107">
        <f>L54*T$47</f>
        <v/>
      </c>
      <c r="S55" s="88" t="n"/>
      <c r="T55" s="89" t="n"/>
      <c r="U55" s="61" t="n">
        <v>5</v>
      </c>
      <c r="V55" s="107">
        <f>$D54</f>
        <v/>
      </c>
      <c r="W55" s="89" t="n"/>
      <c r="X55" s="107">
        <f>R54*Z$47</f>
        <v/>
      </c>
      <c r="Y55" s="88" t="n"/>
      <c r="Z55" s="89" t="n"/>
      <c r="AA55" s="61" t="n">
        <v>5</v>
      </c>
      <c r="AB55" s="107">
        <f>$D54</f>
        <v/>
      </c>
      <c r="AC55" s="89" t="n"/>
      <c r="AD55" s="107">
        <f>X54*AF$47</f>
        <v/>
      </c>
      <c r="AE55" s="88" t="n"/>
      <c r="AF55" s="89" t="n"/>
      <c r="AG55" s="61" t="n">
        <v>5</v>
      </c>
      <c r="AH55" s="107">
        <f>$D54</f>
        <v/>
      </c>
      <c r="AI55" s="89" t="n"/>
      <c r="AJ55" s="107">
        <f>AD54*AL$47</f>
        <v/>
      </c>
      <c r="AK55" s="88" t="n"/>
      <c r="AL55" s="89" t="n"/>
      <c r="AM55" s="61" t="n">
        <v>5</v>
      </c>
      <c r="AN55" s="107">
        <f>$D54</f>
        <v/>
      </c>
      <c r="AO55" s="89" t="n"/>
      <c r="AP55" s="107">
        <f>AJ54*AR$47</f>
        <v/>
      </c>
      <c r="AQ55" s="88" t="n"/>
      <c r="AR55" s="89" t="n"/>
    </row>
    <row r="56">
      <c r="B56" s="87" t="n"/>
      <c r="C56" s="60" t="n">
        <v>6</v>
      </c>
      <c r="D56" s="106" t="n">
        <v>400</v>
      </c>
      <c r="E56" s="89" t="n"/>
      <c r="F56" s="106" t="n">
        <v>4000000</v>
      </c>
      <c r="G56" s="88" t="n"/>
      <c r="H56" s="89" t="n"/>
      <c r="I56" s="60" t="n">
        <v>6</v>
      </c>
      <c r="J56" s="107">
        <f>$D55</f>
        <v/>
      </c>
      <c r="K56" s="89" t="n"/>
      <c r="L56" s="107">
        <f>F55*N$47</f>
        <v/>
      </c>
      <c r="M56" s="88" t="n"/>
      <c r="N56" s="89" t="n"/>
      <c r="O56" s="60" t="n">
        <v>6</v>
      </c>
      <c r="P56" s="107">
        <f>$D55</f>
        <v/>
      </c>
      <c r="Q56" s="89" t="n"/>
      <c r="R56" s="107">
        <f>L55*T$47</f>
        <v/>
      </c>
      <c r="S56" s="88" t="n"/>
      <c r="T56" s="89" t="n"/>
      <c r="U56" s="60" t="n">
        <v>6</v>
      </c>
      <c r="V56" s="107">
        <f>$D55</f>
        <v/>
      </c>
      <c r="W56" s="89" t="n"/>
      <c r="X56" s="107">
        <f>R55*Z$47</f>
        <v/>
      </c>
      <c r="Y56" s="88" t="n"/>
      <c r="Z56" s="89" t="n"/>
      <c r="AA56" s="60" t="n">
        <v>6</v>
      </c>
      <c r="AB56" s="107">
        <f>$D55</f>
        <v/>
      </c>
      <c r="AC56" s="89" t="n"/>
      <c r="AD56" s="107">
        <f>X55*AF$47</f>
        <v/>
      </c>
      <c r="AE56" s="88" t="n"/>
      <c r="AF56" s="89" t="n"/>
      <c r="AG56" s="60" t="n">
        <v>6</v>
      </c>
      <c r="AH56" s="107">
        <f>$D55</f>
        <v/>
      </c>
      <c r="AI56" s="89" t="n"/>
      <c r="AJ56" s="107">
        <f>AD55*AL$47</f>
        <v/>
      </c>
      <c r="AK56" s="88" t="n"/>
      <c r="AL56" s="89" t="n"/>
      <c r="AM56" s="60" t="n">
        <v>6</v>
      </c>
      <c r="AN56" s="107">
        <f>$D55</f>
        <v/>
      </c>
      <c r="AO56" s="89" t="n"/>
      <c r="AP56" s="107">
        <f>AJ55*AR$47</f>
        <v/>
      </c>
      <c r="AQ56" s="88" t="n"/>
      <c r="AR56" s="89" t="n"/>
    </row>
    <row r="57">
      <c r="B57" s="87" t="n"/>
      <c r="C57" s="60" t="n">
        <v>7</v>
      </c>
      <c r="D57" s="106" t="n">
        <v>500</v>
      </c>
      <c r="E57" s="89" t="n"/>
      <c r="F57" s="106" t="n">
        <v>5000000</v>
      </c>
      <c r="G57" s="88" t="n"/>
      <c r="H57" s="89" t="n"/>
      <c r="I57" s="60" t="n">
        <v>7</v>
      </c>
      <c r="J57" s="107">
        <f>$D56</f>
        <v/>
      </c>
      <c r="K57" s="89" t="n"/>
      <c r="L57" s="107">
        <f>F56*N$47</f>
        <v/>
      </c>
      <c r="M57" s="88" t="n"/>
      <c r="N57" s="89" t="n"/>
      <c r="O57" s="60" t="n">
        <v>7</v>
      </c>
      <c r="P57" s="107">
        <f>$D56</f>
        <v/>
      </c>
      <c r="Q57" s="89" t="n"/>
      <c r="R57" s="107">
        <f>L56*T$47</f>
        <v/>
      </c>
      <c r="S57" s="88" t="n"/>
      <c r="T57" s="89" t="n"/>
      <c r="U57" s="60" t="n">
        <v>7</v>
      </c>
      <c r="V57" s="107">
        <f>$D56</f>
        <v/>
      </c>
      <c r="W57" s="89" t="n"/>
      <c r="X57" s="107">
        <f>R56*Z$47</f>
        <v/>
      </c>
      <c r="Y57" s="88" t="n"/>
      <c r="Z57" s="89" t="n"/>
      <c r="AA57" s="60" t="n">
        <v>7</v>
      </c>
      <c r="AB57" s="107">
        <f>$D56</f>
        <v/>
      </c>
      <c r="AC57" s="89" t="n"/>
      <c r="AD57" s="107">
        <f>X56*AF$47</f>
        <v/>
      </c>
      <c r="AE57" s="88" t="n"/>
      <c r="AF57" s="89" t="n"/>
      <c r="AG57" s="60" t="n">
        <v>7</v>
      </c>
      <c r="AH57" s="107">
        <f>$D56</f>
        <v/>
      </c>
      <c r="AI57" s="89" t="n"/>
      <c r="AJ57" s="107">
        <f>AD56*AL$47</f>
        <v/>
      </c>
      <c r="AK57" s="88" t="n"/>
      <c r="AL57" s="89" t="n"/>
      <c r="AM57" s="60" t="n">
        <v>7</v>
      </c>
      <c r="AN57" s="107">
        <f>$D56</f>
        <v/>
      </c>
      <c r="AO57" s="89" t="n"/>
      <c r="AP57" s="107">
        <f>AJ56*AR$47</f>
        <v/>
      </c>
      <c r="AQ57" s="88" t="n"/>
      <c r="AR57" s="89" t="n"/>
    </row>
    <row r="58">
      <c r="B58" s="87" t="n"/>
      <c r="C58" s="61" t="n">
        <v>8</v>
      </c>
      <c r="D58" s="106" t="n">
        <v>600</v>
      </c>
      <c r="E58" s="89" t="n"/>
      <c r="F58" s="106" t="n">
        <v>6000000</v>
      </c>
      <c r="G58" s="88" t="n"/>
      <c r="H58" s="89" t="n"/>
      <c r="I58" s="61" t="n">
        <v>8</v>
      </c>
      <c r="J58" s="107">
        <f>$D57</f>
        <v/>
      </c>
      <c r="K58" s="89" t="n"/>
      <c r="L58" s="107">
        <f>F57*N$47</f>
        <v/>
      </c>
      <c r="M58" s="88" t="n"/>
      <c r="N58" s="89" t="n"/>
      <c r="O58" s="61" t="n">
        <v>8</v>
      </c>
      <c r="P58" s="107">
        <f>$D57</f>
        <v/>
      </c>
      <c r="Q58" s="89" t="n"/>
      <c r="R58" s="107">
        <f>L57*T$47</f>
        <v/>
      </c>
      <c r="S58" s="88" t="n"/>
      <c r="T58" s="89" t="n"/>
      <c r="U58" s="61" t="n">
        <v>8</v>
      </c>
      <c r="V58" s="107">
        <f>$D57</f>
        <v/>
      </c>
      <c r="W58" s="89" t="n"/>
      <c r="X58" s="107">
        <f>R57*Z$47</f>
        <v/>
      </c>
      <c r="Y58" s="88" t="n"/>
      <c r="Z58" s="89" t="n"/>
      <c r="AA58" s="61" t="n">
        <v>8</v>
      </c>
      <c r="AB58" s="107">
        <f>$D57</f>
        <v/>
      </c>
      <c r="AC58" s="89" t="n"/>
      <c r="AD58" s="107">
        <f>X57*AF$47</f>
        <v/>
      </c>
      <c r="AE58" s="88" t="n"/>
      <c r="AF58" s="89" t="n"/>
      <c r="AG58" s="61" t="n">
        <v>8</v>
      </c>
      <c r="AH58" s="107">
        <f>$D57</f>
        <v/>
      </c>
      <c r="AI58" s="89" t="n"/>
      <c r="AJ58" s="107">
        <f>AD57*AL$47</f>
        <v/>
      </c>
      <c r="AK58" s="88" t="n"/>
      <c r="AL58" s="89" t="n"/>
      <c r="AM58" s="61" t="n">
        <v>8</v>
      </c>
      <c r="AN58" s="107">
        <f>$D57</f>
        <v/>
      </c>
      <c r="AO58" s="89" t="n"/>
      <c r="AP58" s="107">
        <f>AJ57*AR$47</f>
        <v/>
      </c>
      <c r="AQ58" s="88" t="n"/>
      <c r="AR58" s="89" t="n"/>
    </row>
    <row r="59">
      <c r="B59" s="87" t="n"/>
      <c r="C59" s="61" t="inlineStr">
        <is>
          <t>ALL1</t>
        </is>
      </c>
      <c r="D59" s="108" t="inlineStr">
        <is>
          <t>-</t>
        </is>
      </c>
      <c r="E59" s="89" t="n"/>
      <c r="F59" s="107" t="n">
        <v>10000000</v>
      </c>
      <c r="G59" s="88" t="n"/>
      <c r="H59" s="89" t="n"/>
      <c r="I59" s="61" t="inlineStr">
        <is>
          <t>ALL1</t>
        </is>
      </c>
      <c r="J59" s="107">
        <f>$D58</f>
        <v/>
      </c>
      <c r="K59" s="89" t="n"/>
      <c r="L59" s="107">
        <f>F58*N$47</f>
        <v/>
      </c>
      <c r="M59" s="88" t="n"/>
      <c r="N59" s="89" t="n"/>
      <c r="O59" s="61" t="inlineStr">
        <is>
          <t>ALL1</t>
        </is>
      </c>
      <c r="P59" s="107">
        <f>$D58</f>
        <v/>
      </c>
      <c r="Q59" s="89" t="n"/>
      <c r="R59" s="107">
        <f>L58*T$47</f>
        <v/>
      </c>
      <c r="S59" s="88" t="n"/>
      <c r="T59" s="89" t="n"/>
      <c r="U59" s="61" t="inlineStr">
        <is>
          <t>ALL1</t>
        </is>
      </c>
      <c r="V59" s="107">
        <f>$D58</f>
        <v/>
      </c>
      <c r="W59" s="89" t="n"/>
      <c r="X59" s="107">
        <f>R58*Z$47</f>
        <v/>
      </c>
      <c r="Y59" s="88" t="n"/>
      <c r="Z59" s="89" t="n"/>
      <c r="AA59" s="61" t="inlineStr">
        <is>
          <t>ALL1</t>
        </is>
      </c>
      <c r="AB59" s="107">
        <f>$D58</f>
        <v/>
      </c>
      <c r="AC59" s="89" t="n"/>
      <c r="AD59" s="107">
        <f>X58*AF$47</f>
        <v/>
      </c>
      <c r="AE59" s="88" t="n"/>
      <c r="AF59" s="89" t="n"/>
      <c r="AG59" s="61" t="inlineStr">
        <is>
          <t>ALL1</t>
        </is>
      </c>
      <c r="AH59" s="107">
        <f>$D58</f>
        <v/>
      </c>
      <c r="AI59" s="89" t="n"/>
      <c r="AJ59" s="107">
        <f>AD58*AL$47</f>
        <v/>
      </c>
      <c r="AK59" s="88" t="n"/>
      <c r="AL59" s="89" t="n"/>
      <c r="AM59" s="61" t="inlineStr">
        <is>
          <t>ALL1</t>
        </is>
      </c>
      <c r="AN59" s="107">
        <f>$D58</f>
        <v/>
      </c>
      <c r="AO59" s="89" t="n"/>
      <c r="AP59" s="107">
        <f>AJ58*AR$47</f>
        <v/>
      </c>
      <c r="AQ59" s="88" t="n"/>
      <c r="AR59" s="89" t="n"/>
    </row>
    <row r="60">
      <c r="B60" s="87" t="n"/>
      <c r="C60" s="61" t="inlineStr">
        <is>
          <t>ALL2</t>
        </is>
      </c>
      <c r="D60" s="108" t="inlineStr">
        <is>
          <t>-</t>
        </is>
      </c>
      <c r="E60" s="89" t="n"/>
      <c r="F60" s="107" t="n">
        <v>12000000</v>
      </c>
      <c r="G60" s="88" t="n"/>
      <c r="H60" s="89" t="n"/>
      <c r="I60" s="61" t="inlineStr">
        <is>
          <t>ALL2</t>
        </is>
      </c>
      <c r="J60" s="107">
        <f>$D59</f>
        <v/>
      </c>
      <c r="K60" s="89" t="n"/>
      <c r="L60" s="107">
        <f>F59*N$47</f>
        <v/>
      </c>
      <c r="M60" s="88" t="n"/>
      <c r="N60" s="89" t="n"/>
      <c r="O60" s="61" t="inlineStr">
        <is>
          <t>ALL2</t>
        </is>
      </c>
      <c r="P60" s="107">
        <f>$D59</f>
        <v/>
      </c>
      <c r="Q60" s="89" t="n"/>
      <c r="R60" s="107">
        <f>L59*T$47</f>
        <v/>
      </c>
      <c r="S60" s="88" t="n"/>
      <c r="T60" s="89" t="n"/>
      <c r="U60" s="61" t="inlineStr">
        <is>
          <t>ALL2</t>
        </is>
      </c>
      <c r="V60" s="107">
        <f>$D59</f>
        <v/>
      </c>
      <c r="W60" s="89" t="n"/>
      <c r="X60" s="107">
        <f>R59*Z$47</f>
        <v/>
      </c>
      <c r="Y60" s="88" t="n"/>
      <c r="Z60" s="89" t="n"/>
      <c r="AA60" s="61" t="inlineStr">
        <is>
          <t>ALL2</t>
        </is>
      </c>
      <c r="AB60" s="107">
        <f>$D59</f>
        <v/>
      </c>
      <c r="AC60" s="89" t="n"/>
      <c r="AD60" s="107">
        <f>X59*AF$47</f>
        <v/>
      </c>
      <c r="AE60" s="88" t="n"/>
      <c r="AF60" s="89" t="n"/>
      <c r="AG60" s="61" t="inlineStr">
        <is>
          <t>ALL2</t>
        </is>
      </c>
      <c r="AH60" s="107">
        <f>$D59</f>
        <v/>
      </c>
      <c r="AI60" s="89" t="n"/>
      <c r="AJ60" s="107">
        <f>AD59*AL$47</f>
        <v/>
      </c>
      <c r="AK60" s="88" t="n"/>
      <c r="AL60" s="89" t="n"/>
      <c r="AM60" s="61" t="inlineStr">
        <is>
          <t>ALL2</t>
        </is>
      </c>
      <c r="AN60" s="107">
        <f>$D59</f>
        <v/>
      </c>
      <c r="AO60" s="89" t="n"/>
      <c r="AP60" s="107">
        <f>AJ59*AR$47</f>
        <v/>
      </c>
      <c r="AQ60" s="88" t="n"/>
      <c r="AR60" s="89" t="n"/>
    </row>
    <row r="61">
      <c r="B61" s="87" t="n"/>
      <c r="C61" s="61" t="inlineStr">
        <is>
          <t>ALL3</t>
        </is>
      </c>
      <c r="D61" s="108" t="inlineStr">
        <is>
          <t>-</t>
        </is>
      </c>
      <c r="E61" s="89" t="n"/>
      <c r="F61" s="107" t="n">
        <v>15000000</v>
      </c>
      <c r="G61" s="88" t="n"/>
      <c r="H61" s="89" t="n"/>
      <c r="I61" s="61" t="inlineStr">
        <is>
          <t>ALL3</t>
        </is>
      </c>
      <c r="J61" s="107">
        <f>$D60</f>
        <v/>
      </c>
      <c r="K61" s="89" t="n"/>
      <c r="L61" s="107">
        <f>F60*N$47</f>
        <v/>
      </c>
      <c r="M61" s="88" t="n"/>
      <c r="N61" s="89" t="n"/>
      <c r="O61" s="61" t="inlineStr">
        <is>
          <t>ALL3</t>
        </is>
      </c>
      <c r="P61" s="107">
        <f>$D60</f>
        <v/>
      </c>
      <c r="Q61" s="89" t="n"/>
      <c r="R61" s="107">
        <f>L60*T$47</f>
        <v/>
      </c>
      <c r="S61" s="88" t="n"/>
      <c r="T61" s="89" t="n"/>
      <c r="U61" s="61" t="inlineStr">
        <is>
          <t>ALL3</t>
        </is>
      </c>
      <c r="V61" s="107">
        <f>$D60</f>
        <v/>
      </c>
      <c r="W61" s="89" t="n"/>
      <c r="X61" s="107">
        <f>R60*Z$47</f>
        <v/>
      </c>
      <c r="Y61" s="88" t="n"/>
      <c r="Z61" s="89" t="n"/>
      <c r="AA61" s="61" t="inlineStr">
        <is>
          <t>ALL3</t>
        </is>
      </c>
      <c r="AB61" s="107">
        <f>$D60</f>
        <v/>
      </c>
      <c r="AC61" s="89" t="n"/>
      <c r="AD61" s="107">
        <f>X60*AF$47</f>
        <v/>
      </c>
      <c r="AE61" s="88" t="n"/>
      <c r="AF61" s="89" t="n"/>
      <c r="AG61" s="61" t="inlineStr">
        <is>
          <t>ALL3</t>
        </is>
      </c>
      <c r="AH61" s="107">
        <f>$D60</f>
        <v/>
      </c>
      <c r="AI61" s="89" t="n"/>
      <c r="AJ61" s="107">
        <f>AD60*AL$47</f>
        <v/>
      </c>
      <c r="AK61" s="88" t="n"/>
      <c r="AL61" s="89" t="n"/>
      <c r="AM61" s="61" t="inlineStr">
        <is>
          <t>ALL3</t>
        </is>
      </c>
      <c r="AN61" s="107">
        <f>$D60</f>
        <v/>
      </c>
      <c r="AO61" s="89" t="n"/>
      <c r="AP61" s="107">
        <f>AJ60*AR$47</f>
        <v/>
      </c>
      <c r="AQ61" s="88" t="n"/>
      <c r="AR61" s="89" t="n"/>
    </row>
    <row r="62"/>
    <row r="63">
      <c r="A63" s="76" t="inlineStr">
        <is>
          <t>by Zone Time Limit(H)</t>
        </is>
      </c>
      <c r="B63" s="87" t="n"/>
    </row>
    <row r="64">
      <c r="A64" s="57" t="n">
        <v>1</v>
      </c>
      <c r="B64" s="109" t="n">
        <v>8</v>
      </c>
    </row>
    <row r="65">
      <c r="A65" s="57" t="n">
        <v>2</v>
      </c>
      <c r="B65" s="110" t="n">
        <v>8</v>
      </c>
    </row>
    <row r="66">
      <c r="A66" s="57" t="n">
        <v>3</v>
      </c>
      <c r="B66" s="109" t="n">
        <v>12</v>
      </c>
    </row>
    <row r="67">
      <c r="A67" s="57" t="n">
        <v>4</v>
      </c>
      <c r="B67" s="109" t="n">
        <v>12</v>
      </c>
    </row>
    <row r="68">
      <c r="A68" s="57" t="n">
        <v>5</v>
      </c>
      <c r="B68" s="111" t="n">
        <v>24</v>
      </c>
    </row>
    <row r="69">
      <c r="A69" s="57" t="n">
        <v>6</v>
      </c>
      <c r="B69" s="111" t="n">
        <v>24</v>
      </c>
    </row>
    <row r="70">
      <c r="A70" s="57" t="n">
        <v>7</v>
      </c>
      <c r="B70" s="111" t="n">
        <v>24</v>
      </c>
    </row>
    <row r="71">
      <c r="A71" s="57" t="n">
        <v>8</v>
      </c>
      <c r="B71" s="111" t="n">
        <v>24</v>
      </c>
    </row>
  </sheetData>
  <mergeCells count="202">
    <mergeCell ref="D60:E60"/>
    <mergeCell ref="O5:T5"/>
    <mergeCell ref="AJ57:AL57"/>
    <mergeCell ref="AB58:AC58"/>
    <mergeCell ref="AP50:AR50"/>
    <mergeCell ref="V58:W58"/>
    <mergeCell ref="AM5:AR5"/>
    <mergeCell ref="V52:W52"/>
    <mergeCell ref="J59:K59"/>
    <mergeCell ref="AP60:AR60"/>
    <mergeCell ref="AN49:AO49"/>
    <mergeCell ref="L58:N58"/>
    <mergeCell ref="J60:K60"/>
    <mergeCell ref="AB60:AC60"/>
    <mergeCell ref="X58:Z58"/>
    <mergeCell ref="P59:Q59"/>
    <mergeCell ref="I5:N5"/>
    <mergeCell ref="AJ49:AL49"/>
    <mergeCell ref="J53:K53"/>
    <mergeCell ref="L60:N60"/>
    <mergeCell ref="I48:N48"/>
    <mergeCell ref="AB59:AC59"/>
    <mergeCell ref="A1:AR1"/>
    <mergeCell ref="X51:Z51"/>
    <mergeCell ref="AM4:AR4"/>
    <mergeCell ref="C48:H48"/>
    <mergeCell ref="X60:Z60"/>
    <mergeCell ref="AD53:AF53"/>
    <mergeCell ref="I4:N4"/>
    <mergeCell ref="L59:N59"/>
    <mergeCell ref="X59:Z59"/>
    <mergeCell ref="AH59:AI59"/>
    <mergeCell ref="AD55:AF55"/>
    <mergeCell ref="V51:W51"/>
    <mergeCell ref="D56:E56"/>
    <mergeCell ref="AJ59:AL59"/>
    <mergeCell ref="A62:B62"/>
    <mergeCell ref="O6:T6"/>
    <mergeCell ref="AJ51:AL51"/>
    <mergeCell ref="D51:E51"/>
    <mergeCell ref="AH54:AI54"/>
    <mergeCell ref="P58:Q58"/>
    <mergeCell ref="J58:K58"/>
    <mergeCell ref="R49:T49"/>
    <mergeCell ref="V56:W56"/>
    <mergeCell ref="AB49:AC49"/>
    <mergeCell ref="F51:H51"/>
    <mergeCell ref="AP51:AR51"/>
    <mergeCell ref="AH56:AI56"/>
    <mergeCell ref="AB51:AC51"/>
    <mergeCell ref="F50:H50"/>
    <mergeCell ref="X49:Z49"/>
    <mergeCell ref="P50:Q50"/>
    <mergeCell ref="J57:K57"/>
    <mergeCell ref="L51:N51"/>
    <mergeCell ref="AB50:AC50"/>
    <mergeCell ref="P60:Q60"/>
    <mergeCell ref="AD49:AF49"/>
    <mergeCell ref="P52:Q52"/>
    <mergeCell ref="AH53:AI53"/>
    <mergeCell ref="L50:N50"/>
    <mergeCell ref="AP49:AR49"/>
    <mergeCell ref="X50:Z50"/>
    <mergeCell ref="J49:K49"/>
    <mergeCell ref="R53:T53"/>
    <mergeCell ref="AH50:AI50"/>
    <mergeCell ref="AN60:AO60"/>
    <mergeCell ref="AH55:AI55"/>
    <mergeCell ref="L52:N52"/>
    <mergeCell ref="D53:E53"/>
    <mergeCell ref="L49:N49"/>
    <mergeCell ref="AD50:AF50"/>
    <mergeCell ref="AM6:AR6"/>
    <mergeCell ref="U5:Z5"/>
    <mergeCell ref="F49:H49"/>
    <mergeCell ref="AN59:AO59"/>
    <mergeCell ref="AG5:AL5"/>
    <mergeCell ref="R52:T52"/>
    <mergeCell ref="AH49:AI49"/>
    <mergeCell ref="AJ60:AL60"/>
    <mergeCell ref="AP53:AR53"/>
    <mergeCell ref="AB52:AC52"/>
    <mergeCell ref="U4:Z4"/>
    <mergeCell ref="AD52:AF52"/>
    <mergeCell ref="AN52:AO52"/>
    <mergeCell ref="I6:N6"/>
    <mergeCell ref="AG4:AL4"/>
    <mergeCell ref="AJ50:AL50"/>
    <mergeCell ref="V53:W53"/>
    <mergeCell ref="C6:H6"/>
    <mergeCell ref="U6:Z6"/>
    <mergeCell ref="V50:W50"/>
    <mergeCell ref="X52:Z52"/>
    <mergeCell ref="J51:K51"/>
    <mergeCell ref="AJ52:AL52"/>
    <mergeCell ref="C4:H4"/>
    <mergeCell ref="AP54:AR54"/>
    <mergeCell ref="F59:H59"/>
    <mergeCell ref="F55:H55"/>
    <mergeCell ref="U48:Z48"/>
    <mergeCell ref="AP55:AR55"/>
    <mergeCell ref="P55:Q55"/>
    <mergeCell ref="AA6:AF6"/>
    <mergeCell ref="AB55:AC55"/>
    <mergeCell ref="P51:Q51"/>
    <mergeCell ref="X53:Z53"/>
    <mergeCell ref="L55:N55"/>
    <mergeCell ref="A1:B1"/>
    <mergeCell ref="AB54:AC54"/>
    <mergeCell ref="R51:T51"/>
    <mergeCell ref="X55:Z55"/>
    <mergeCell ref="R54:T54"/>
    <mergeCell ref="AD57:AF57"/>
    <mergeCell ref="D52:E52"/>
    <mergeCell ref="P56:Q56"/>
    <mergeCell ref="L54:N54"/>
    <mergeCell ref="AD54:AF54"/>
    <mergeCell ref="R50:T50"/>
    <mergeCell ref="D49:E49"/>
    <mergeCell ref="F58:H58"/>
    <mergeCell ref="P49:Q49"/>
    <mergeCell ref="R56:T56"/>
    <mergeCell ref="F52:H52"/>
    <mergeCell ref="AN50:AO50"/>
    <mergeCell ref="L56:N56"/>
    <mergeCell ref="AN51:AO51"/>
    <mergeCell ref="AN56:AO56"/>
    <mergeCell ref="AJ54:AL54"/>
    <mergeCell ref="F60:H60"/>
    <mergeCell ref="F57:H57"/>
    <mergeCell ref="V49:W49"/>
    <mergeCell ref="AP57:AR57"/>
    <mergeCell ref="F53:H53"/>
    <mergeCell ref="AJ56:AL56"/>
    <mergeCell ref="AB57:AC57"/>
    <mergeCell ref="P53:Q53"/>
    <mergeCell ref="AB53:AC53"/>
    <mergeCell ref="D55:E55"/>
    <mergeCell ref="J50:K50"/>
    <mergeCell ref="L57:N57"/>
    <mergeCell ref="C5:H5"/>
    <mergeCell ref="R59:T59"/>
    <mergeCell ref="X57:Z57"/>
    <mergeCell ref="AP58:AR58"/>
    <mergeCell ref="L53:N53"/>
    <mergeCell ref="AP52:AR52"/>
    <mergeCell ref="AD59:AF59"/>
    <mergeCell ref="D54:E54"/>
    <mergeCell ref="A4:B6"/>
    <mergeCell ref="J52:K52"/>
    <mergeCell ref="AD60:AF60"/>
    <mergeCell ref="AA48:AF48"/>
    <mergeCell ref="P54:Q54"/>
    <mergeCell ref="V55:W55"/>
    <mergeCell ref="AG6:AL6"/>
    <mergeCell ref="AM48:AR48"/>
    <mergeCell ref="AA5:AF5"/>
    <mergeCell ref="AN53:AO53"/>
    <mergeCell ref="O4:T4"/>
    <mergeCell ref="AH52:AI52"/>
    <mergeCell ref="R55:T55"/>
    <mergeCell ref="AG48:AL48"/>
    <mergeCell ref="AA4:AF4"/>
    <mergeCell ref="AP59:AR59"/>
    <mergeCell ref="AN55:AO55"/>
    <mergeCell ref="AJ53:AL53"/>
    <mergeCell ref="D57:E57"/>
    <mergeCell ref="V59:W59"/>
    <mergeCell ref="F56:H56"/>
    <mergeCell ref="AN54:AO54"/>
    <mergeCell ref="O48:T48"/>
    <mergeCell ref="AJ55:AL55"/>
    <mergeCell ref="J55:K55"/>
    <mergeCell ref="AB56:AC56"/>
    <mergeCell ref="AH58:AI58"/>
    <mergeCell ref="X54:Z54"/>
    <mergeCell ref="A48:B60"/>
    <mergeCell ref="A2:B2"/>
    <mergeCell ref="V60:W60"/>
    <mergeCell ref="J54:K54"/>
    <mergeCell ref="R58:T58"/>
    <mergeCell ref="AD56:AF56"/>
    <mergeCell ref="AH51:AI51"/>
    <mergeCell ref="AH60:AI60"/>
    <mergeCell ref="V54:W54"/>
    <mergeCell ref="X56:Z56"/>
    <mergeCell ref="AD58:AF58"/>
    <mergeCell ref="D58:E58"/>
    <mergeCell ref="AP56:AR56"/>
    <mergeCell ref="AN58:AO58"/>
    <mergeCell ref="P57:Q57"/>
    <mergeCell ref="J56:K56"/>
    <mergeCell ref="R60:T60"/>
    <mergeCell ref="F54:H54"/>
    <mergeCell ref="AD51:AF51"/>
    <mergeCell ref="R57:T57"/>
    <mergeCell ref="AJ58:AL58"/>
    <mergeCell ref="V57:W57"/>
    <mergeCell ref="AN57:AO57"/>
    <mergeCell ref="D50:E50"/>
    <mergeCell ref="AH57:AI57"/>
    <mergeCell ref="D59:E59"/>
  </mergeCells>
  <conditionalFormatting sqref="H20:H26 H28:H31">
    <cfRule type="dataBar" priority="9">
      <dataBar>
        <cfvo type="min"/>
        <cfvo type="max"/>
        <color rgb="FF63C384"/>
      </dataBar>
    </cfRule>
  </conditionalFormatting>
  <conditionalFormatting sqref="N20:N26 N28:N31">
    <cfRule type="dataBar" priority="10">
      <dataBar>
        <cfvo type="min"/>
        <cfvo type="max"/>
        <color rgb="FF63C384"/>
      </dataBar>
    </cfRule>
  </conditionalFormatting>
  <conditionalFormatting sqref="T20:T26 T28:T31">
    <cfRule type="dataBar" priority="8">
      <dataBar>
        <cfvo type="min"/>
        <cfvo type="max"/>
        <color rgb="FF63C384"/>
      </dataBar>
    </cfRule>
  </conditionalFormatting>
  <conditionalFormatting sqref="Z20:Z26 Z28:Z31">
    <cfRule type="dataBar" priority="7">
      <dataBar>
        <cfvo type="min"/>
        <cfvo type="max"/>
        <color rgb="FF63C384"/>
      </dataBar>
    </cfRule>
  </conditionalFormatting>
  <conditionalFormatting sqref="AF20:AF26 AF28:AF31">
    <cfRule type="dataBar" priority="6">
      <dataBar>
        <cfvo type="min"/>
        <cfvo type="max"/>
        <color rgb="FF63C384"/>
      </dataBar>
    </cfRule>
  </conditionalFormatting>
  <conditionalFormatting sqref="AL20:AL26 AL28:AL31">
    <cfRule type="dataBar" priority="5">
      <dataBar>
        <cfvo type="min"/>
        <cfvo type="max"/>
        <color rgb="FF63C384"/>
      </dataBar>
    </cfRule>
  </conditionalFormatting>
  <conditionalFormatting sqref="AR20:AR26 AR28:AR31">
    <cfRule type="dataBar" priority="4">
      <dataBar>
        <cfvo type="min"/>
        <cfvo type="max"/>
        <color rgb="FF63C384"/>
      </dataBar>
    </cfRule>
  </conditionalFormatting>
  <conditionalFormatting sqref="H27">
    <cfRule type="dataBar" priority="3">
      <dataBar>
        <cfvo type="min"/>
        <cfvo type="max"/>
        <color rgb="FF63C384"/>
      </dataBar>
    </cfRule>
  </conditionalFormatting>
  <conditionalFormatting sqref="N27 T27 Z27 AF27 AL27 AR27">
    <cfRule type="dataBar" priority="2">
      <dataBar>
        <cfvo type="min"/>
        <cfvo type="max"/>
        <color rgb="FF63C384"/>
      </dataBar>
    </cfRule>
  </conditionalFormatting>
  <conditionalFormatting sqref="C33:AR44">
    <cfRule type="dataBar" priority="1">
      <dataBar>
        <cfvo type="min"/>
        <cfvo type="max"/>
        <color rgb="FFFFB628"/>
      </dataBar>
    </cfRule>
  </conditionalFormatting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00B050"/>
    <outlinePr summaryBelow="1" summaryRight="1"/>
    <pageSetUpPr/>
  </sheetPr>
  <dimension ref="A1:U33"/>
  <sheetViews>
    <sheetView zoomScale="85" zoomScaleNormal="85" workbookViewId="0">
      <pane xSplit="1" ySplit="3" topLeftCell="B4" activePane="bottomRight" state="frozen"/>
      <selection activeCell="V2" sqref="V2"/>
      <selection pane="topRight" activeCell="V2" sqref="V2"/>
      <selection pane="bottomLeft" activeCell="V2" sqref="V2"/>
      <selection pane="bottomRight" activeCell="A2" sqref="A2"/>
    </sheetView>
  </sheetViews>
  <sheetFormatPr baseColWidth="8" defaultColWidth="13.25" defaultRowHeight="12"/>
  <cols>
    <col width="13.25" customWidth="1" style="2" min="1" max="1"/>
    <col width="13.375" customWidth="1" style="2" min="2" max="18"/>
    <col width="13.375" bestFit="1" customWidth="1" style="2" min="19" max="19"/>
    <col width="13.625" bestFit="1" customWidth="1" style="2" min="20" max="21"/>
    <col width="13.25" customWidth="1" style="2" min="22" max="16384"/>
  </cols>
  <sheetData>
    <row r="1" ht="20" customHeight="1" s="86">
      <c r="A1" s="131" t="inlineStr">
        <is>
          <t>CONFIDENTIAL — Shared for portfolio review purposes only. All game content is the property of its respective studio.</t>
        </is>
      </c>
    </row>
    <row r="2" ht="13.5" customFormat="1" customHeight="1" s="5">
      <c r="A2" s="1" t="inlineStr">
        <is>
          <t>■ Bet Range</t>
        </is>
      </c>
      <c r="L2" s="112" t="n"/>
    </row>
    <row r="3">
      <c r="A3" s="4" t="n"/>
      <c r="B3" s="5" t="n">
        <v>1</v>
      </c>
      <c r="C3" s="5" t="n">
        <v>11</v>
      </c>
      <c r="E3" s="5" t="n">
        <v>2</v>
      </c>
      <c r="F3" s="5" t="n">
        <v>2</v>
      </c>
      <c r="G3" s="5" t="n">
        <v>23</v>
      </c>
      <c r="H3" s="5" t="n">
        <v>3</v>
      </c>
      <c r="I3" s="5" t="n">
        <v>14</v>
      </c>
      <c r="J3" s="5" t="n">
        <v>4</v>
      </c>
      <c r="K3" s="5" t="n">
        <v>1</v>
      </c>
      <c r="L3" s="113" t="n">
        <v>6</v>
      </c>
      <c r="M3" s="5" t="n">
        <v>14</v>
      </c>
      <c r="O3" s="5" t="n">
        <v>1</v>
      </c>
      <c r="Q3" s="5" t="n">
        <v>1</v>
      </c>
      <c r="R3" s="5" t="n">
        <v>6</v>
      </c>
      <c r="S3" s="5" t="n">
        <v>1</v>
      </c>
    </row>
    <row r="4">
      <c r="A4" s="7" t="inlineStr">
        <is>
          <t>Line Bet</t>
        </is>
      </c>
      <c r="B4" s="7" t="n">
        <v>1</v>
      </c>
      <c r="C4" s="7" t="n">
        <v>5</v>
      </c>
      <c r="D4" s="7" t="n">
        <v>9</v>
      </c>
      <c r="E4" s="7" t="n">
        <v>10</v>
      </c>
      <c r="F4" s="7" t="n">
        <v>20</v>
      </c>
      <c r="G4" s="8" t="n">
        <v>25</v>
      </c>
      <c r="H4" s="7" t="n">
        <v>27</v>
      </c>
      <c r="I4" s="7" t="n">
        <v>30</v>
      </c>
      <c r="J4" s="7" t="n">
        <v>32</v>
      </c>
      <c r="K4" s="7" t="n">
        <v>35</v>
      </c>
      <c r="L4" s="7" t="n">
        <v>40</v>
      </c>
      <c r="M4" s="7" t="n">
        <v>50</v>
      </c>
      <c r="N4" s="7" t="n">
        <v>54</v>
      </c>
      <c r="O4" s="7" t="n">
        <v>60</v>
      </c>
      <c r="P4" s="7" t="n">
        <v>70</v>
      </c>
      <c r="Q4" s="7" t="n">
        <v>80</v>
      </c>
      <c r="R4" s="7" t="n">
        <v>100</v>
      </c>
      <c r="S4" s="7" t="n">
        <v>243</v>
      </c>
      <c r="T4" s="7" t="n">
        <v>576</v>
      </c>
      <c r="U4" s="7" t="n">
        <v>720</v>
      </c>
    </row>
    <row r="5">
      <c r="A5" s="114" t="n">
        <v>10</v>
      </c>
      <c r="B5" s="115">
        <f>$A4*B$3</f>
        <v/>
      </c>
      <c r="C5" s="115">
        <f>$A4*C$3</f>
        <v/>
      </c>
      <c r="D5" s="115">
        <f>$A4*D$3</f>
        <v/>
      </c>
      <c r="E5" s="115">
        <f>$A4*E$3</f>
        <v/>
      </c>
      <c r="F5" s="115">
        <f>$A4*F$3</f>
        <v/>
      </c>
      <c r="G5" s="115">
        <f>$A4*G$3</f>
        <v/>
      </c>
      <c r="H5" s="115">
        <f>$A4*H$3</f>
        <v/>
      </c>
      <c r="I5" s="115">
        <f>$A4*I$3</f>
        <v/>
      </c>
      <c r="J5" s="115">
        <f>$A4*J$3</f>
        <v/>
      </c>
      <c r="K5" s="115">
        <f>$A4*K$3</f>
        <v/>
      </c>
      <c r="L5" s="115">
        <f>$A4*L$3</f>
        <v/>
      </c>
      <c r="M5" s="115">
        <f>$A4*M$3</f>
        <v/>
      </c>
      <c r="N5" s="115">
        <f>$A4*N$3</f>
        <v/>
      </c>
      <c r="O5" s="115">
        <f>$A4*O$3</f>
        <v/>
      </c>
      <c r="P5" s="115">
        <f>$A4*P$3</f>
        <v/>
      </c>
      <c r="Q5" s="115">
        <f>$A4*Q$3</f>
        <v/>
      </c>
      <c r="R5" s="115">
        <f>$A4*R$3</f>
        <v/>
      </c>
      <c r="S5" s="115">
        <f>$A4*S$3</f>
        <v/>
      </c>
      <c r="T5" s="116">
        <f>$A4*T$3</f>
        <v/>
      </c>
      <c r="U5" s="116">
        <f>$A4*U$3</f>
        <v/>
      </c>
    </row>
    <row r="6">
      <c r="A6" s="114" t="n">
        <v>20</v>
      </c>
      <c r="B6" s="115">
        <f>$A5*B$3</f>
        <v/>
      </c>
      <c r="C6" s="115">
        <f>$A5*C$3</f>
        <v/>
      </c>
      <c r="D6" s="115">
        <f>$A5*D$3</f>
        <v/>
      </c>
      <c r="E6" s="115">
        <f>$A5*E$3</f>
        <v/>
      </c>
      <c r="F6" s="115">
        <f>$A5*F$3</f>
        <v/>
      </c>
      <c r="G6" s="115">
        <f>$A5*G$3</f>
        <v/>
      </c>
      <c r="H6" s="115">
        <f>$A5*H$3</f>
        <v/>
      </c>
      <c r="I6" s="115">
        <f>$A5*I$3</f>
        <v/>
      </c>
      <c r="J6" s="115">
        <f>$A5*J$3</f>
        <v/>
      </c>
      <c r="K6" s="115">
        <f>$A5*K$3</f>
        <v/>
      </c>
      <c r="L6" s="115">
        <f>$A5*L$3</f>
        <v/>
      </c>
      <c r="M6" s="115">
        <f>$A5*M$3</f>
        <v/>
      </c>
      <c r="N6" s="115">
        <f>$A5*N$3</f>
        <v/>
      </c>
      <c r="O6" s="115">
        <f>$A5*O$3</f>
        <v/>
      </c>
      <c r="P6" s="115">
        <f>$A5*P$3</f>
        <v/>
      </c>
      <c r="Q6" s="115">
        <f>$A5*Q$3</f>
        <v/>
      </c>
      <c r="R6" s="115">
        <f>$A5*R$3</f>
        <v/>
      </c>
      <c r="S6" s="116">
        <f>$A5*S$3</f>
        <v/>
      </c>
      <c r="T6" s="116">
        <f>$A5*T$3</f>
        <v/>
      </c>
      <c r="U6" s="116">
        <f>$A5*U$3</f>
        <v/>
      </c>
    </row>
    <row r="7">
      <c r="A7" s="114" t="n">
        <v>50</v>
      </c>
      <c r="B7" s="115">
        <f>$A6*B$3</f>
        <v/>
      </c>
      <c r="C7" s="115">
        <f>$A6*C$3</f>
        <v/>
      </c>
      <c r="D7" s="115">
        <f>$A6*D$3</f>
        <v/>
      </c>
      <c r="E7" s="115">
        <f>$A6*E$3</f>
        <v/>
      </c>
      <c r="F7" s="115">
        <f>$A6*F$3</f>
        <v/>
      </c>
      <c r="G7" s="115">
        <f>$A6*G$3</f>
        <v/>
      </c>
      <c r="H7" s="115">
        <f>$A6*H$3</f>
        <v/>
      </c>
      <c r="I7" s="115">
        <f>$A6*I$3</f>
        <v/>
      </c>
      <c r="J7" s="115">
        <f>$A6*J$3</f>
        <v/>
      </c>
      <c r="K7" s="115">
        <f>$A6*K$3</f>
        <v/>
      </c>
      <c r="L7" s="115">
        <f>$A6*L$3</f>
        <v/>
      </c>
      <c r="M7" s="115">
        <f>$A6*M$3</f>
        <v/>
      </c>
      <c r="N7" s="115">
        <f>$A6*N$3</f>
        <v/>
      </c>
      <c r="O7" s="115">
        <f>$A6*O$3</f>
        <v/>
      </c>
      <c r="P7" s="115">
        <f>$A6*P$3</f>
        <v/>
      </c>
      <c r="Q7" s="116">
        <f>$A6*Q$3</f>
        <v/>
      </c>
      <c r="R7" s="116">
        <f>$A6*R$3</f>
        <v/>
      </c>
      <c r="S7" s="116">
        <f>$A6*S$3</f>
        <v/>
      </c>
      <c r="T7" s="117">
        <f>$A6*T$3</f>
        <v/>
      </c>
      <c r="U7" s="117">
        <f>$A6*U$3</f>
        <v/>
      </c>
    </row>
    <row r="8">
      <c r="A8" s="118" t="n">
        <v>100</v>
      </c>
      <c r="B8" s="115">
        <f>$A7*B$3</f>
        <v/>
      </c>
      <c r="C8" s="115">
        <f>$A7*C$3</f>
        <v/>
      </c>
      <c r="D8" s="115">
        <f>$A7*D$3</f>
        <v/>
      </c>
      <c r="E8" s="115">
        <f>$A7*E$3</f>
        <v/>
      </c>
      <c r="F8" s="115">
        <f>$A7*F$3</f>
        <v/>
      </c>
      <c r="G8" s="115">
        <f>$A7*G$3</f>
        <v/>
      </c>
      <c r="H8" s="115">
        <f>$A7*H$3</f>
        <v/>
      </c>
      <c r="I8" s="115">
        <f>$A7*I$3</f>
        <v/>
      </c>
      <c r="J8" s="115">
        <f>$A7*J$3</f>
        <v/>
      </c>
      <c r="K8" s="115">
        <f>$A7*K$3</f>
        <v/>
      </c>
      <c r="L8" s="116">
        <f>$A7*L$3</f>
        <v/>
      </c>
      <c r="M8" s="116">
        <f>$A7*M$3</f>
        <v/>
      </c>
      <c r="N8" s="116">
        <f>$A7*N$3</f>
        <v/>
      </c>
      <c r="O8" s="116">
        <f>$A7*O$3</f>
        <v/>
      </c>
      <c r="P8" s="116">
        <f>$A7*P$3</f>
        <v/>
      </c>
      <c r="Q8" s="115">
        <f>$A7*Q$3</f>
        <v/>
      </c>
      <c r="R8" s="116">
        <f>$A7*R$3</f>
        <v/>
      </c>
      <c r="S8" s="117">
        <f>$A7*S$3</f>
        <v/>
      </c>
      <c r="T8" s="116">
        <f>$A7*T$3</f>
        <v/>
      </c>
      <c r="U8" s="116">
        <f>$A7*U$3</f>
        <v/>
      </c>
    </row>
    <row r="9">
      <c r="A9" s="118" t="n">
        <v>200</v>
      </c>
      <c r="B9" s="115">
        <f>$A8*B$3</f>
        <v/>
      </c>
      <c r="C9" s="115">
        <f>$A8*C$3</f>
        <v/>
      </c>
      <c r="D9" s="115">
        <f>$A8*D$3</f>
        <v/>
      </c>
      <c r="E9" s="115">
        <f>$A8*E$3</f>
        <v/>
      </c>
      <c r="F9" s="116">
        <f>$A8*F$3</f>
        <v/>
      </c>
      <c r="G9" s="116">
        <f>$A8*G$3</f>
        <v/>
      </c>
      <c r="H9" s="116">
        <f>$A8*H$3</f>
        <v/>
      </c>
      <c r="I9" s="116">
        <f>$A8*I$3</f>
        <v/>
      </c>
      <c r="J9" s="116">
        <f>$A8*J$3</f>
        <v/>
      </c>
      <c r="K9" s="116">
        <f>$A8*K$3</f>
        <v/>
      </c>
      <c r="L9" s="116">
        <f>$A8*L$3</f>
        <v/>
      </c>
      <c r="M9" s="116">
        <f>$A8*M$3</f>
        <v/>
      </c>
      <c r="N9" s="116">
        <f>$A8*N$3</f>
        <v/>
      </c>
      <c r="O9" s="116">
        <f>$A8*O$3</f>
        <v/>
      </c>
      <c r="P9" s="116">
        <f>$A8*P$3</f>
        <v/>
      </c>
      <c r="Q9" s="116">
        <f>$A8*Q$3</f>
        <v/>
      </c>
      <c r="R9" s="117">
        <f>$A8*R$3</f>
        <v/>
      </c>
      <c r="S9" s="116">
        <f>$A8*S$3</f>
        <v/>
      </c>
      <c r="T9" s="116">
        <f>$A8*T$3</f>
        <v/>
      </c>
      <c r="U9" s="116">
        <f>$A8*U$3</f>
        <v/>
      </c>
    </row>
    <row r="10">
      <c r="A10" s="118" t="n">
        <v>500</v>
      </c>
      <c r="B10" s="115">
        <f>$A9*B$3</f>
        <v/>
      </c>
      <c r="C10" s="115">
        <f>$A9*C$3</f>
        <v/>
      </c>
      <c r="D10" s="116">
        <f>$A9*D$3</f>
        <v/>
      </c>
      <c r="E10" s="116">
        <f>$A9*E$3</f>
        <v/>
      </c>
      <c r="F10" s="116">
        <f>$A9*F$3</f>
        <v/>
      </c>
      <c r="G10" s="116">
        <f>$A9*G$3</f>
        <v/>
      </c>
      <c r="H10" s="116">
        <f>$A9*H$3</f>
        <v/>
      </c>
      <c r="I10" s="116">
        <f>$A9*I$3</f>
        <v/>
      </c>
      <c r="J10" s="116">
        <f>$A9*J$3</f>
        <v/>
      </c>
      <c r="K10" s="116">
        <f>$A9*K$3</f>
        <v/>
      </c>
      <c r="L10" s="117">
        <f>$A9*L$3</f>
        <v/>
      </c>
      <c r="M10" s="117">
        <f>$A9*M$3</f>
        <v/>
      </c>
      <c r="N10" s="117">
        <f>$A9*N$3</f>
        <v/>
      </c>
      <c r="O10" s="117">
        <f>$A9*O$3</f>
        <v/>
      </c>
      <c r="P10" s="117">
        <f>$A9*P$3</f>
        <v/>
      </c>
      <c r="Q10" s="117">
        <f>$A9*Q$3</f>
        <v/>
      </c>
      <c r="R10" s="116">
        <f>$A9*R$3</f>
        <v/>
      </c>
      <c r="S10" s="116">
        <f>$A9*S$3</f>
        <v/>
      </c>
      <c r="T10" s="115">
        <f>$A9*T$3</f>
        <v/>
      </c>
      <c r="U10" s="115">
        <f>$A9*U$3</f>
        <v/>
      </c>
    </row>
    <row r="11">
      <c r="A11" s="118" t="n">
        <v>1000</v>
      </c>
      <c r="B11" s="115">
        <f>$A10*B$3</f>
        <v/>
      </c>
      <c r="C11" s="116">
        <f>$A10*C$3</f>
        <v/>
      </c>
      <c r="D11" s="116">
        <f>$A10*D$3</f>
        <v/>
      </c>
      <c r="E11" s="116">
        <f>$A10*E$3</f>
        <v/>
      </c>
      <c r="F11" s="117">
        <f>$A10*F$3</f>
        <v/>
      </c>
      <c r="G11" s="117">
        <f>$A10*G$3</f>
        <v/>
      </c>
      <c r="H11" s="117">
        <f>$A10*H$3</f>
        <v/>
      </c>
      <c r="I11" s="117">
        <f>$A10*I$3</f>
        <v/>
      </c>
      <c r="J11" s="117">
        <f>$A10*J$3</f>
        <v/>
      </c>
      <c r="K11" s="117">
        <f>$A10*K$3</f>
        <v/>
      </c>
      <c r="L11" s="116">
        <f>$A10*L$3</f>
        <v/>
      </c>
      <c r="M11" s="116">
        <f>$A10*M$3</f>
        <v/>
      </c>
      <c r="N11" s="116">
        <f>$A10*N$3</f>
        <v/>
      </c>
      <c r="O11" s="116">
        <f>$A10*O$3</f>
        <v/>
      </c>
      <c r="P11" s="116">
        <f>$A10*P$3</f>
        <v/>
      </c>
      <c r="Q11" s="116">
        <f>$A10*Q$3</f>
        <v/>
      </c>
      <c r="R11" s="116">
        <f>$A10*R$3</f>
        <v/>
      </c>
      <c r="S11" s="115">
        <f>$A10*S$3</f>
        <v/>
      </c>
      <c r="T11" s="116">
        <f>$A10*T$3</f>
        <v/>
      </c>
      <c r="U11" s="116">
        <f>$A10*U$3</f>
        <v/>
      </c>
    </row>
    <row r="12">
      <c r="A12" s="114" t="n">
        <v>2000</v>
      </c>
      <c r="B12" s="115">
        <f>$A11*B$3</f>
        <v/>
      </c>
      <c r="C12" s="116">
        <f>$A11*C$3</f>
        <v/>
      </c>
      <c r="D12" s="117">
        <f>$A11*D$3</f>
        <v/>
      </c>
      <c r="E12" s="117">
        <f>$A11*E$3</f>
        <v/>
      </c>
      <c r="F12" s="116">
        <f>$A11*F$3</f>
        <v/>
      </c>
      <c r="G12" s="116">
        <f>$A11*G$3</f>
        <v/>
      </c>
      <c r="H12" s="116">
        <f>$A11*H$3</f>
        <v/>
      </c>
      <c r="I12" s="116">
        <f>$A11*I$3</f>
        <v/>
      </c>
      <c r="J12" s="116">
        <f>$A11*J$3</f>
        <v/>
      </c>
      <c r="K12" s="116">
        <f>$A11*K$3</f>
        <v/>
      </c>
      <c r="L12" s="116">
        <f>$A11*L$3</f>
        <v/>
      </c>
      <c r="M12" s="116">
        <f>$A11*M$3</f>
        <v/>
      </c>
      <c r="N12" s="116">
        <f>$A11*N$3</f>
        <v/>
      </c>
      <c r="O12" s="116">
        <f>$A11*O$3</f>
        <v/>
      </c>
      <c r="P12" s="116">
        <f>$A11*P$3</f>
        <v/>
      </c>
      <c r="Q12" s="116">
        <f>$A11*Q$3</f>
        <v/>
      </c>
      <c r="R12" s="115">
        <f>$A11*R$3</f>
        <v/>
      </c>
      <c r="S12" s="116">
        <f>$A11*S$3</f>
        <v/>
      </c>
      <c r="T12" s="115">
        <f>$A11*T$3</f>
        <v/>
      </c>
      <c r="U12" s="116">
        <f>$A11*U$3</f>
        <v/>
      </c>
    </row>
    <row r="13">
      <c r="A13" s="114" t="n">
        <v>5000</v>
      </c>
      <c r="B13" s="116">
        <f>$A12*B$3</f>
        <v/>
      </c>
      <c r="C13" s="117">
        <f>$A12*C$3</f>
        <v/>
      </c>
      <c r="D13" s="116">
        <f>$A12*D$3</f>
        <v/>
      </c>
      <c r="E13" s="116">
        <f>$A12*E$3</f>
        <v/>
      </c>
      <c r="F13" s="116">
        <f>$A12*F$3</f>
        <v/>
      </c>
      <c r="G13" s="116">
        <f>$A12*G$3</f>
        <v/>
      </c>
      <c r="H13" s="116">
        <f>$A12*H$3</f>
        <v/>
      </c>
      <c r="I13" s="116">
        <f>$A12*I$3</f>
        <v/>
      </c>
      <c r="J13" s="116">
        <f>$A12*J$3</f>
        <v/>
      </c>
      <c r="K13" s="116">
        <f>$A12*K$3</f>
        <v/>
      </c>
      <c r="L13" s="115">
        <f>$A12*L$3</f>
        <v/>
      </c>
      <c r="M13" s="115">
        <f>$A12*M$3</f>
        <v/>
      </c>
      <c r="N13" s="115">
        <f>$A12*N$3</f>
        <v/>
      </c>
      <c r="O13" s="115">
        <f>$A12*O$3</f>
        <v/>
      </c>
      <c r="P13" s="115">
        <f>$A12*P$3</f>
        <v/>
      </c>
      <c r="Q13" s="116">
        <f>$A12*Q$3</f>
        <v/>
      </c>
      <c r="R13" s="116">
        <f>$A12*R$3</f>
        <v/>
      </c>
      <c r="S13" s="115">
        <f>$A12*S$3</f>
        <v/>
      </c>
      <c r="T13" s="116">
        <f>$A12*T$3</f>
        <v/>
      </c>
      <c r="U13" s="115">
        <f>$A12*U$3</f>
        <v/>
      </c>
    </row>
    <row r="14">
      <c r="A14" s="114" t="n">
        <v>10000</v>
      </c>
      <c r="B14" s="116">
        <f>$A13*B$3</f>
        <v/>
      </c>
      <c r="C14" s="116">
        <f>$A13*C$3</f>
        <v/>
      </c>
      <c r="D14" s="116">
        <f>$A13*D$3</f>
        <v/>
      </c>
      <c r="E14" s="116">
        <f>$A13*E$3</f>
        <v/>
      </c>
      <c r="F14" s="119">
        <f>$A13*F$3</f>
        <v/>
      </c>
      <c r="G14" s="115">
        <f>$A13*G$3</f>
        <v/>
      </c>
      <c r="H14" s="115">
        <f>$A13*H$3</f>
        <v/>
      </c>
      <c r="I14" s="115">
        <f>$A13*I$3</f>
        <v/>
      </c>
      <c r="J14" s="115">
        <f>$A13*J$3</f>
        <v/>
      </c>
      <c r="K14" s="115">
        <f>$A13*K$3</f>
        <v/>
      </c>
      <c r="L14" s="116">
        <f>$A13*L$3</f>
        <v/>
      </c>
      <c r="M14" s="116">
        <f>$A13*M$3</f>
        <v/>
      </c>
      <c r="N14" s="116">
        <f>$A13*N$3</f>
        <v/>
      </c>
      <c r="O14" s="116">
        <f>$A13*O$3</f>
        <v/>
      </c>
      <c r="P14" s="116">
        <f>$A13*P$3</f>
        <v/>
      </c>
      <c r="Q14" s="115">
        <f>$A13*Q$3</f>
        <v/>
      </c>
      <c r="R14" s="115">
        <f>$A13*R$3</f>
        <v/>
      </c>
      <c r="S14" s="116">
        <f>$A13*S$3</f>
        <v/>
      </c>
      <c r="T14" s="116">
        <f>$A13*T$3</f>
        <v/>
      </c>
      <c r="U14" s="116">
        <f>$A13*U$3</f>
        <v/>
      </c>
    </row>
    <row r="15">
      <c r="A15" s="114" t="n">
        <v>20000</v>
      </c>
      <c r="B15" s="117">
        <f>$A14*B$3</f>
        <v/>
      </c>
      <c r="C15" s="116">
        <f>$A14*C$3</f>
        <v/>
      </c>
      <c r="D15" s="115">
        <f>$A14*D$3</f>
        <v/>
      </c>
      <c r="E15" s="115">
        <f>$A14*E$3</f>
        <v/>
      </c>
      <c r="F15" s="116">
        <f>$A14*F$3</f>
        <v/>
      </c>
      <c r="G15" s="116">
        <f>$A14*G$3</f>
        <v/>
      </c>
      <c r="H15" s="116">
        <f>$A14*H$3</f>
        <v/>
      </c>
      <c r="I15" s="116">
        <f>$A14*I$3</f>
        <v/>
      </c>
      <c r="J15" s="116">
        <f>$A14*J$3</f>
        <v/>
      </c>
      <c r="K15" s="116">
        <f>$A14*K$3</f>
        <v/>
      </c>
      <c r="L15" s="115">
        <f>$A14*L$3</f>
        <v/>
      </c>
      <c r="M15" s="115">
        <f>$A14*M$3</f>
        <v/>
      </c>
      <c r="N15" s="115">
        <f>$A14*N$3</f>
        <v/>
      </c>
      <c r="O15" s="116">
        <f>$A14*O$3</f>
        <v/>
      </c>
      <c r="P15" s="116">
        <f>$A14*P$3</f>
        <v/>
      </c>
      <c r="Q15" s="116">
        <f>$A14*Q$3</f>
        <v/>
      </c>
      <c r="R15" s="116">
        <f>$A14*R$3</f>
        <v/>
      </c>
      <c r="S15" s="116">
        <f>$A14*S$3</f>
        <v/>
      </c>
      <c r="T15" s="120">
        <f>$A14*T$3</f>
        <v/>
      </c>
      <c r="U15" s="120">
        <f>$A14*U$3</f>
        <v/>
      </c>
    </row>
    <row r="16">
      <c r="A16" s="114" t="n">
        <v>50000</v>
      </c>
      <c r="B16" s="116">
        <f>$A15*B$3</f>
        <v/>
      </c>
      <c r="C16" s="115">
        <f>$A15*C$3</f>
        <v/>
      </c>
      <c r="D16" s="116">
        <f>$A15*D$3</f>
        <v/>
      </c>
      <c r="E16" s="116">
        <f>$A15*E$3</f>
        <v/>
      </c>
      <c r="F16" s="115">
        <f>$A15*F$3</f>
        <v/>
      </c>
      <c r="G16" s="115">
        <f>$A15*G$3</f>
        <v/>
      </c>
      <c r="H16" s="115">
        <f>$A15*H$3</f>
        <v/>
      </c>
      <c r="I16" s="116">
        <f>$A15*I$3</f>
        <v/>
      </c>
      <c r="J16" s="116">
        <f>$A15*J$3</f>
        <v/>
      </c>
      <c r="K16" s="116">
        <f>$A15*K$3</f>
        <v/>
      </c>
      <c r="L16" s="116">
        <f>$A15*L$3</f>
        <v/>
      </c>
      <c r="M16" s="116">
        <f>$A15*M$3</f>
        <v/>
      </c>
      <c r="N16" s="116">
        <f>$A15*N$3</f>
        <v/>
      </c>
      <c r="O16" s="115">
        <f>$A15*O$3</f>
        <v/>
      </c>
      <c r="P16" s="115">
        <f>$A15*P$3</f>
        <v/>
      </c>
      <c r="Q16" s="115">
        <f>$A15*Q$3</f>
        <v/>
      </c>
      <c r="R16" s="116">
        <f>$A15*R$3</f>
        <v/>
      </c>
      <c r="S16" s="120">
        <f>$A15*S$3</f>
        <v/>
      </c>
      <c r="T16" s="120">
        <f>$A15*T$3</f>
        <v/>
      </c>
      <c r="U16" s="120">
        <f>$A15*U$3</f>
        <v/>
      </c>
    </row>
    <row r="17">
      <c r="A17" s="114" t="n">
        <v>100000</v>
      </c>
      <c r="B17" s="116">
        <f>$A16*B$3</f>
        <v/>
      </c>
      <c r="C17" s="116">
        <f>$A16*C$3</f>
        <v/>
      </c>
      <c r="D17" s="115">
        <f>$A16*D$3</f>
        <v/>
      </c>
      <c r="E17" s="115">
        <f>$A16*E$3</f>
        <v/>
      </c>
      <c r="F17" s="116">
        <f>$A16*F$3</f>
        <v/>
      </c>
      <c r="G17" s="116">
        <f>$A16*G$3</f>
        <v/>
      </c>
      <c r="H17" s="116">
        <f>$A16*H$3</f>
        <v/>
      </c>
      <c r="I17" s="115">
        <f>$A16*I$3</f>
        <v/>
      </c>
      <c r="J17" s="115">
        <f>$A16*J$3</f>
        <v/>
      </c>
      <c r="K17" s="115">
        <f>$A16*K$3</f>
        <v/>
      </c>
      <c r="L17" s="115">
        <f>$A16*L$3</f>
        <v/>
      </c>
      <c r="M17" s="116">
        <f>$A16*M$3</f>
        <v/>
      </c>
      <c r="N17" s="116">
        <f>$A16*N$3</f>
        <v/>
      </c>
      <c r="O17" s="116">
        <f>$A16*O$3</f>
        <v/>
      </c>
      <c r="P17" s="116">
        <f>$A16*P$3</f>
        <v/>
      </c>
      <c r="Q17" s="116">
        <f>$A16*Q$3</f>
        <v/>
      </c>
      <c r="R17" s="120">
        <f>$A16*R$3</f>
        <v/>
      </c>
      <c r="S17" s="120">
        <f>$A16*S$3</f>
        <v/>
      </c>
      <c r="T17" s="120">
        <f>$A16*T$3</f>
        <v/>
      </c>
      <c r="U17" s="120">
        <f>$A16*U$3</f>
        <v/>
      </c>
    </row>
    <row r="18">
      <c r="A18" s="114" t="n">
        <v>200000</v>
      </c>
      <c r="B18" s="115">
        <f>$A17*B$3</f>
        <v/>
      </c>
      <c r="C18" s="115">
        <f>$A17*C$3</f>
        <v/>
      </c>
      <c r="D18" s="116">
        <f>$A17*D$3</f>
        <v/>
      </c>
      <c r="E18" s="116">
        <f>$A17*E$3</f>
        <v/>
      </c>
      <c r="F18" s="115">
        <f>$A17*F$3</f>
        <v/>
      </c>
      <c r="G18" s="115">
        <f>$A17*G$3</f>
        <v/>
      </c>
      <c r="H18" s="116">
        <f>$A17*H$3</f>
        <v/>
      </c>
      <c r="I18" s="116">
        <f>$A17*I$3</f>
        <v/>
      </c>
      <c r="J18" s="116">
        <f>$A17*J$3</f>
        <v/>
      </c>
      <c r="K18" s="116">
        <f>$A17*K$3</f>
        <v/>
      </c>
      <c r="L18" s="116">
        <f>$A17*L$3</f>
        <v/>
      </c>
      <c r="M18" s="120">
        <f>$A17*M$3</f>
        <v/>
      </c>
      <c r="N18" s="121">
        <f>$A17*N$3</f>
        <v/>
      </c>
      <c r="O18" s="120">
        <f>$A17*O$3</f>
        <v/>
      </c>
      <c r="P18" s="121">
        <f>$A17*P$3</f>
        <v/>
      </c>
      <c r="Q18" s="120">
        <f>$A17*Q$3</f>
        <v/>
      </c>
      <c r="R18" s="120">
        <f>$A17*R$3</f>
        <v/>
      </c>
      <c r="S18" s="120">
        <f>$A17*S$3</f>
        <v/>
      </c>
      <c r="T18" s="120">
        <f>$A17*T$3</f>
        <v/>
      </c>
      <c r="U18" s="120">
        <f>$A17*U$3</f>
        <v/>
      </c>
    </row>
    <row r="19">
      <c r="A19" s="114" t="n">
        <v>300000</v>
      </c>
      <c r="B19" s="115">
        <f>$A18*B$3</f>
        <v/>
      </c>
      <c r="C19" s="115">
        <f>$A18*C$3</f>
        <v/>
      </c>
      <c r="D19" s="115">
        <f>$A18*D$3</f>
        <v/>
      </c>
      <c r="E19" s="115">
        <f>$A18*E$3</f>
        <v/>
      </c>
      <c r="F19" s="116">
        <f>$A18*F$3</f>
        <v/>
      </c>
      <c r="G19" s="116">
        <f>$A18*G$3</f>
        <v/>
      </c>
      <c r="H19" s="120">
        <f>$A18*H$3</f>
        <v/>
      </c>
      <c r="I19" s="120">
        <f>$A18*I$3</f>
        <v/>
      </c>
      <c r="J19" s="120">
        <f>$A18*J$3</f>
        <v/>
      </c>
      <c r="K19" s="120">
        <f>$A18*K$3</f>
        <v/>
      </c>
      <c r="L19" s="120">
        <f>$A18*L$3</f>
        <v/>
      </c>
      <c r="M19" s="120">
        <f>$A18*M$3</f>
        <v/>
      </c>
      <c r="N19" s="121">
        <f>$A18*N$3</f>
        <v/>
      </c>
      <c r="O19" s="120">
        <f>$A18*O$3</f>
        <v/>
      </c>
      <c r="P19" s="121">
        <f>$A18*P$3</f>
        <v/>
      </c>
      <c r="Q19" s="120">
        <f>$A18*Q$3</f>
        <v/>
      </c>
      <c r="R19" s="120">
        <f>$A18*R$3</f>
        <v/>
      </c>
      <c r="S19" s="120">
        <f>$A18*S$3</f>
        <v/>
      </c>
      <c r="T19" s="120">
        <f>$A18*T$3</f>
        <v/>
      </c>
      <c r="U19" s="120">
        <f>$A18*U$3</f>
        <v/>
      </c>
    </row>
    <row r="20">
      <c r="A20" s="114" t="n">
        <v>500000</v>
      </c>
      <c r="B20" s="116">
        <f>$A19*B$3</f>
        <v/>
      </c>
      <c r="C20" s="116">
        <f>$A19*C$3</f>
        <v/>
      </c>
      <c r="D20" s="116">
        <f>$A19*D$3</f>
        <v/>
      </c>
      <c r="E20" s="116">
        <f>$A19*E$3</f>
        <v/>
      </c>
      <c r="F20" s="122">
        <f>$A19*F$3</f>
        <v/>
      </c>
      <c r="G20" s="123">
        <f>$A19*G$3</f>
        <v/>
      </c>
      <c r="H20" s="120">
        <f>$A19*H$3</f>
        <v/>
      </c>
      <c r="I20" s="120">
        <f>$A19*I$3</f>
        <v/>
      </c>
      <c r="J20" s="120">
        <f>$A19*J$3</f>
        <v/>
      </c>
      <c r="K20" s="120">
        <f>$A19*K$3</f>
        <v/>
      </c>
      <c r="L20" s="120">
        <f>$A19*L$3</f>
        <v/>
      </c>
      <c r="M20" s="120">
        <f>$A19*M$3</f>
        <v/>
      </c>
      <c r="N20" s="121">
        <f>$A19*N$3</f>
        <v/>
      </c>
      <c r="O20" s="120">
        <f>$A19*O$3</f>
        <v/>
      </c>
      <c r="P20" s="121">
        <f>$A19*P$3</f>
        <v/>
      </c>
      <c r="Q20" s="120">
        <f>$A19*Q$3</f>
        <v/>
      </c>
      <c r="R20" s="120">
        <f>$A19*R$3</f>
        <v/>
      </c>
      <c r="S20" s="120">
        <f>$A19*S$3</f>
        <v/>
      </c>
      <c r="T20" s="120">
        <f>$A19*T$3</f>
        <v/>
      </c>
      <c r="U20" s="120">
        <f>$A19*U$3</f>
        <v/>
      </c>
    </row>
    <row r="21">
      <c r="A21" s="114" t="n">
        <v>1000000</v>
      </c>
      <c r="B21" s="115">
        <f>$A20*B$3</f>
        <v/>
      </c>
      <c r="C21" s="116">
        <f>$A20*C$3</f>
        <v/>
      </c>
      <c r="D21" s="120">
        <f>$A20*D$3</f>
        <v/>
      </c>
      <c r="E21" s="120">
        <f>$A20*E$3</f>
        <v/>
      </c>
      <c r="F21" s="122">
        <f>$A20*F$3</f>
        <v/>
      </c>
      <c r="G21" s="123">
        <f>$A20*G$3</f>
        <v/>
      </c>
      <c r="H21" s="120">
        <f>$A20*H$3</f>
        <v/>
      </c>
      <c r="I21" s="120">
        <f>$A20*I$3</f>
        <v/>
      </c>
      <c r="J21" s="120">
        <f>$A20*J$3</f>
        <v/>
      </c>
      <c r="K21" s="120">
        <f>$A20*K$3</f>
        <v/>
      </c>
      <c r="L21" s="120">
        <f>$A20*L$3</f>
        <v/>
      </c>
      <c r="M21" s="120">
        <f>$A20*M$3</f>
        <v/>
      </c>
      <c r="N21" s="121">
        <f>$A20*N$3</f>
        <v/>
      </c>
      <c r="O21" s="120">
        <f>$A20*O$3</f>
        <v/>
      </c>
      <c r="P21" s="121">
        <f>$A20*P$3</f>
        <v/>
      </c>
      <c r="Q21" s="120">
        <f>$A20*Q$3</f>
        <v/>
      </c>
      <c r="R21" s="120">
        <f>$A20*R$3</f>
        <v/>
      </c>
      <c r="S21" s="120">
        <f>$A20*S$3</f>
        <v/>
      </c>
      <c r="T21" s="120">
        <f>$A20*T$3</f>
        <v/>
      </c>
      <c r="U21" s="120">
        <f>$A20*U$3</f>
        <v/>
      </c>
    </row>
    <row r="22">
      <c r="A22" s="114" t="n">
        <v>2000000</v>
      </c>
      <c r="B22" s="116">
        <f>$A21*B$3</f>
        <v/>
      </c>
      <c r="C22" s="120">
        <f>$A21*C$3</f>
        <v/>
      </c>
      <c r="D22" s="120">
        <f>$A21*D$3</f>
        <v/>
      </c>
      <c r="E22" s="120">
        <f>$A21*E$3</f>
        <v/>
      </c>
      <c r="F22" s="122">
        <f>$A21*F$3</f>
        <v/>
      </c>
      <c r="G22" s="123">
        <f>$A21*G$3</f>
        <v/>
      </c>
      <c r="H22" s="120">
        <f>$A21*H$3</f>
        <v/>
      </c>
      <c r="I22" s="120">
        <f>$A21*I$3</f>
        <v/>
      </c>
      <c r="J22" s="120">
        <f>$A21*J$3</f>
        <v/>
      </c>
      <c r="K22" s="120">
        <f>$A21*K$3</f>
        <v/>
      </c>
      <c r="L22" s="120">
        <f>$A21*L$3</f>
        <v/>
      </c>
      <c r="M22" s="120">
        <f>$A21*M$3</f>
        <v/>
      </c>
      <c r="N22" s="121">
        <f>$A21*N$3</f>
        <v/>
      </c>
      <c r="O22" s="120">
        <f>$A21*O$3</f>
        <v/>
      </c>
      <c r="P22" s="121">
        <f>$A21*P$3</f>
        <v/>
      </c>
      <c r="Q22" s="120">
        <f>$A21*Q$3</f>
        <v/>
      </c>
      <c r="R22" s="120">
        <f>$A21*R$3</f>
        <v/>
      </c>
      <c r="S22" s="120">
        <f>$A21*S$3</f>
        <v/>
      </c>
      <c r="T22" s="120">
        <f>$A21*T$3</f>
        <v/>
      </c>
      <c r="U22" s="120">
        <f>$A21*U$3</f>
        <v/>
      </c>
    </row>
    <row r="23">
      <c r="A23" s="114" t="n">
        <v>3000000</v>
      </c>
      <c r="B23" s="115">
        <f>$A22*B$3</f>
        <v/>
      </c>
      <c r="C23" s="120">
        <f>$A22*C$3</f>
        <v/>
      </c>
      <c r="D23" s="120">
        <f>$A22*D$3</f>
        <v/>
      </c>
      <c r="E23" s="120">
        <f>$A22*E$3</f>
        <v/>
      </c>
      <c r="F23" s="120">
        <f>$A22*F$3</f>
        <v/>
      </c>
      <c r="G23" s="123">
        <f>$A22*G$3</f>
        <v/>
      </c>
      <c r="H23" s="120">
        <f>$A22*H$3</f>
        <v/>
      </c>
      <c r="I23" s="120">
        <f>$A22*I$3</f>
        <v/>
      </c>
      <c r="J23" s="120">
        <f>$A22*J$3</f>
        <v/>
      </c>
      <c r="K23" s="120">
        <f>$A22*K$3</f>
        <v/>
      </c>
      <c r="L23" s="120">
        <f>$A22*L$3</f>
        <v/>
      </c>
      <c r="M23" s="120">
        <f>$A22*M$3</f>
        <v/>
      </c>
      <c r="N23" s="121">
        <f>$A22*N$3</f>
        <v/>
      </c>
      <c r="O23" s="120">
        <f>$A22*O$3</f>
        <v/>
      </c>
      <c r="P23" s="121">
        <f>$A22*P$3</f>
        <v/>
      </c>
      <c r="Q23" s="120">
        <f>$A22*Q$3</f>
        <v/>
      </c>
      <c r="R23" s="120">
        <f>$A22*R$3</f>
        <v/>
      </c>
      <c r="S23" s="120">
        <f>$A22*S$3</f>
        <v/>
      </c>
      <c r="T23" s="120">
        <f>$A22*T$3</f>
        <v/>
      </c>
      <c r="U23" s="120">
        <f>$A22*U$3</f>
        <v/>
      </c>
    </row>
    <row r="24">
      <c r="A24" s="114" t="n">
        <v>5000000</v>
      </c>
      <c r="B24" s="116">
        <f>$A23*B$3</f>
        <v/>
      </c>
      <c r="C24" s="120">
        <f>$A23*C$3</f>
        <v/>
      </c>
      <c r="D24" s="120">
        <f>$A23*D$3</f>
        <v/>
      </c>
      <c r="E24" s="120">
        <f>$A23*E$3</f>
        <v/>
      </c>
      <c r="F24" s="120">
        <f>$A23*F$3</f>
        <v/>
      </c>
      <c r="G24" s="123">
        <f>$A23*G$3</f>
        <v/>
      </c>
      <c r="H24" s="120">
        <f>$A23*H$3</f>
        <v/>
      </c>
      <c r="I24" s="120">
        <f>$A23*I$3</f>
        <v/>
      </c>
      <c r="J24" s="120">
        <f>$A23*J$3</f>
        <v/>
      </c>
      <c r="K24" s="120">
        <f>$A23*K$3</f>
        <v/>
      </c>
      <c r="L24" s="120">
        <f>$A23*L$3</f>
        <v/>
      </c>
      <c r="M24" s="120">
        <f>$A23*M$3</f>
        <v/>
      </c>
      <c r="N24" s="121">
        <f>$A23*N$3</f>
        <v/>
      </c>
      <c r="O24" s="120">
        <f>$A23*O$3</f>
        <v/>
      </c>
      <c r="P24" s="121">
        <f>$A23*P$3</f>
        <v/>
      </c>
      <c r="Q24" s="120">
        <f>$A23*Q$3</f>
        <v/>
      </c>
      <c r="R24" s="120">
        <f>$A23*R$3</f>
        <v/>
      </c>
      <c r="S24" s="120">
        <f>$A23*S$3</f>
        <v/>
      </c>
      <c r="T24" s="120">
        <f>$A23*T$3</f>
        <v/>
      </c>
      <c r="U24" s="120">
        <f>$A23*U$3</f>
        <v/>
      </c>
    </row>
    <row r="25">
      <c r="A25" s="114" t="n">
        <v>10000000</v>
      </c>
      <c r="B25" s="120">
        <f>$A24*B$3</f>
        <v/>
      </c>
      <c r="C25" s="120">
        <f>$A24*C$3</f>
        <v/>
      </c>
      <c r="D25" s="120">
        <f>$A24*D$3</f>
        <v/>
      </c>
      <c r="E25" s="120">
        <f>$A24*E$3</f>
        <v/>
      </c>
      <c r="F25" s="120">
        <f>$A24*F$3</f>
        <v/>
      </c>
      <c r="G25" s="123">
        <f>$A24*G$3</f>
        <v/>
      </c>
      <c r="H25" s="120">
        <f>$A24*H$3</f>
        <v/>
      </c>
      <c r="I25" s="120">
        <f>$A24*I$3</f>
        <v/>
      </c>
      <c r="J25" s="120">
        <f>$A24*J$3</f>
        <v/>
      </c>
      <c r="K25" s="120">
        <f>$A24*K$3</f>
        <v/>
      </c>
      <c r="L25" s="120">
        <f>$A24*L$3</f>
        <v/>
      </c>
      <c r="M25" s="120">
        <f>$A24*M$3</f>
        <v/>
      </c>
      <c r="N25" s="121">
        <f>$A24*N$3</f>
        <v/>
      </c>
      <c r="O25" s="120">
        <f>$A24*O$3</f>
        <v/>
      </c>
      <c r="P25" s="121">
        <f>$A24*P$3</f>
        <v/>
      </c>
      <c r="Q25" s="120">
        <f>$A24*Q$3</f>
        <v/>
      </c>
      <c r="R25" s="120">
        <f>$A24*R$3</f>
        <v/>
      </c>
      <c r="S25" s="120">
        <f>$A24*S$3</f>
        <v/>
      </c>
      <c r="T25" s="120">
        <f>$A24*T$3</f>
        <v/>
      </c>
      <c r="U25" s="120">
        <f>$A24*U$3</f>
        <v/>
      </c>
    </row>
    <row r="26">
      <c r="A26" s="114" t="n">
        <v>20000000</v>
      </c>
      <c r="B26" s="124">
        <f>$A25*B$3</f>
        <v/>
      </c>
      <c r="C26" s="124">
        <f>$A25*C$3</f>
        <v/>
      </c>
      <c r="D26" s="124">
        <f>$A25*D$3</f>
        <v/>
      </c>
      <c r="E26" s="124">
        <f>$A25*E$3</f>
        <v/>
      </c>
      <c r="F26" s="124">
        <f>$A25*F$3</f>
        <v/>
      </c>
      <c r="G26" s="125">
        <f>$A25*G$3</f>
        <v/>
      </c>
      <c r="H26" s="124">
        <f>$A25*H$3</f>
        <v/>
      </c>
      <c r="I26" s="124">
        <f>$A25*I$3</f>
        <v/>
      </c>
      <c r="J26" s="124">
        <f>$A25*J$3</f>
        <v/>
      </c>
      <c r="K26" s="124">
        <f>$A25*K$3</f>
        <v/>
      </c>
      <c r="L26" s="124">
        <f>$A25*L$3</f>
        <v/>
      </c>
      <c r="M26" s="124">
        <f>$A25*M$3</f>
        <v/>
      </c>
      <c r="N26" s="126">
        <f>$A25*N$3</f>
        <v/>
      </c>
      <c r="O26" s="124">
        <f>$A25*O$3</f>
        <v/>
      </c>
      <c r="P26" s="126">
        <f>$A25*P$3</f>
        <v/>
      </c>
      <c r="Q26" s="124">
        <f>$A25*Q$3</f>
        <v/>
      </c>
      <c r="R26" s="124">
        <f>$A25*R$3</f>
        <v/>
      </c>
      <c r="S26" s="124">
        <f>$A25*S$3</f>
        <v/>
      </c>
      <c r="T26" s="124">
        <f>$A25*T$3</f>
        <v/>
      </c>
      <c r="U26" s="124">
        <f>$A25*U$3</f>
        <v/>
      </c>
    </row>
    <row r="28">
      <c r="C28" s="24" t="n">
        <v>250000</v>
      </c>
      <c r="D28" s="24" t="n">
        <v>450000</v>
      </c>
      <c r="F28" s="2" t="n">
        <v>400000</v>
      </c>
      <c r="G28" s="24" t="n">
        <v>250000</v>
      </c>
      <c r="H28" s="2" t="n">
        <v>270000</v>
      </c>
      <c r="I28" s="24" t="n">
        <v>300000</v>
      </c>
      <c r="J28" s="2" t="n">
        <v>320000</v>
      </c>
      <c r="K28" s="2" t="n">
        <v>350000</v>
      </c>
      <c r="L28" s="2" t="n">
        <v>400000</v>
      </c>
      <c r="M28" s="24" t="n">
        <v>250000</v>
      </c>
      <c r="N28" s="2" t="n">
        <v>270000</v>
      </c>
      <c r="O28" s="2" t="n">
        <v>300000</v>
      </c>
      <c r="P28" s="2" t="n">
        <v>350000</v>
      </c>
      <c r="Q28" s="2" t="n">
        <v>400000</v>
      </c>
      <c r="R28" s="24" t="n">
        <v>200000</v>
      </c>
      <c r="S28" s="2" t="n">
        <v>486000</v>
      </c>
    </row>
    <row r="29">
      <c r="A29" s="25" t="n">
        <v>0.12</v>
      </c>
      <c r="C29" s="127">
        <f>C$27*$A28</f>
        <v/>
      </c>
      <c r="D29" s="127">
        <f>D$27*$A28</f>
        <v/>
      </c>
      <c r="F29" s="112">
        <f>F$27*$A28</f>
        <v/>
      </c>
      <c r="G29" s="127">
        <f>G$27*$A28</f>
        <v/>
      </c>
      <c r="H29" s="112">
        <f>H$27*$A28</f>
        <v/>
      </c>
      <c r="I29" s="127">
        <f>I$27*$A28</f>
        <v/>
      </c>
      <c r="J29" s="112">
        <f>J$27*$A28</f>
        <v/>
      </c>
      <c r="K29" s="112">
        <f>K$27*$A28</f>
        <v/>
      </c>
      <c r="L29" s="128">
        <f>L$27*$A28</f>
        <v/>
      </c>
      <c r="M29" s="127">
        <f>M$27*$A28</f>
        <v/>
      </c>
      <c r="N29" s="112">
        <f>N$27*$A28</f>
        <v/>
      </c>
      <c r="O29" s="112">
        <f>O$27*$A28</f>
        <v/>
      </c>
      <c r="P29" s="112">
        <f>P$27*$A28</f>
        <v/>
      </c>
      <c r="Q29" s="112">
        <f>Q$27*$A28</f>
        <v/>
      </c>
      <c r="R29" s="127">
        <f>R$27*$A28</f>
        <v/>
      </c>
      <c r="S29" s="112">
        <f>S$27*$A28</f>
        <v/>
      </c>
    </row>
    <row r="30">
      <c r="A30" s="28">
        <f>A28/1.25</f>
        <v/>
      </c>
      <c r="C30" s="127">
        <f>C$27*$A29</f>
        <v/>
      </c>
      <c r="D30" s="127">
        <f>D$27*$A29</f>
        <v/>
      </c>
      <c r="F30" s="112">
        <f>F$27*$A29</f>
        <v/>
      </c>
      <c r="G30" s="127">
        <f>G$27*$A29</f>
        <v/>
      </c>
      <c r="H30" s="112">
        <f>H$27*$A29</f>
        <v/>
      </c>
      <c r="I30" s="127">
        <f>I$27*$A29</f>
        <v/>
      </c>
      <c r="J30" s="112">
        <f>J$27*$A29</f>
        <v/>
      </c>
      <c r="K30" s="112">
        <f>K$27*$A29</f>
        <v/>
      </c>
      <c r="L30" s="112">
        <f>L$27*$A29</f>
        <v/>
      </c>
      <c r="M30" s="127">
        <f>M$27*$A29</f>
        <v/>
      </c>
      <c r="N30" s="112">
        <f>N$27*$A29</f>
        <v/>
      </c>
      <c r="O30" s="112">
        <f>O$27*$A29</f>
        <v/>
      </c>
      <c r="P30" s="112">
        <f>P$27*$A29</f>
        <v/>
      </c>
      <c r="Q30" s="112">
        <f>Q$27*$A29</f>
        <v/>
      </c>
      <c r="R30" s="127">
        <f>R$27*$A29</f>
        <v/>
      </c>
      <c r="S30" s="112">
        <f>S$27*$A29</f>
        <v/>
      </c>
    </row>
    <row r="31">
      <c r="A31" s="28">
        <f>A28/1.5</f>
        <v/>
      </c>
      <c r="C31" s="127">
        <f>C$27*$A30</f>
        <v/>
      </c>
      <c r="D31" s="127">
        <f>D$27*$A30</f>
        <v/>
      </c>
      <c r="F31" s="112">
        <f>F$27*$A30</f>
        <v/>
      </c>
      <c r="G31" s="127">
        <f>G$27*$A30</f>
        <v/>
      </c>
      <c r="H31" s="112">
        <f>H$27*$A30</f>
        <v/>
      </c>
      <c r="I31" s="127">
        <f>I$27*$A30</f>
        <v/>
      </c>
      <c r="J31" s="112">
        <f>J$27*$A30</f>
        <v/>
      </c>
      <c r="K31" s="112">
        <f>K$27*$A30</f>
        <v/>
      </c>
      <c r="L31" s="112">
        <f>L$27*$A30</f>
        <v/>
      </c>
      <c r="M31" s="127">
        <f>M$27*$A30</f>
        <v/>
      </c>
      <c r="N31" s="112">
        <f>N$27*$A30</f>
        <v/>
      </c>
      <c r="O31" s="112">
        <f>O$27*$A30</f>
        <v/>
      </c>
      <c r="P31" s="112">
        <f>P$27*$A30</f>
        <v/>
      </c>
      <c r="Q31" s="112">
        <f>Q$27*$A30</f>
        <v/>
      </c>
      <c r="R31" s="127">
        <f>R$27*$A30</f>
        <v/>
      </c>
      <c r="S31" s="112">
        <f>S$27*$A30</f>
        <v/>
      </c>
    </row>
    <row r="32">
      <c r="A32" s="28">
        <f>A28/2</f>
        <v/>
      </c>
      <c r="C32" s="127">
        <f>C$27*$A31</f>
        <v/>
      </c>
      <c r="D32" s="127">
        <f>D$27*$A31</f>
        <v/>
      </c>
      <c r="F32" s="112">
        <f>F$27*$A31</f>
        <v/>
      </c>
      <c r="G32" s="127">
        <f>G$27*$A31</f>
        <v/>
      </c>
      <c r="H32" s="112">
        <f>H$27*$A31</f>
        <v/>
      </c>
      <c r="I32" s="127">
        <f>I$27*$A31</f>
        <v/>
      </c>
      <c r="J32" s="112">
        <f>J$27*$A31</f>
        <v/>
      </c>
      <c r="K32" s="112">
        <f>K$27*$A31</f>
        <v/>
      </c>
      <c r="L32" s="112">
        <f>L$27*$A31</f>
        <v/>
      </c>
      <c r="M32" s="127">
        <f>M$27*$A31</f>
        <v/>
      </c>
      <c r="N32" s="112">
        <f>N$27*$A31</f>
        <v/>
      </c>
      <c r="O32" s="112">
        <f>O$27*$A31</f>
        <v/>
      </c>
      <c r="P32" s="112">
        <f>P$27*$A31</f>
        <v/>
      </c>
      <c r="Q32" s="112">
        <f>Q$27*$A31</f>
        <v/>
      </c>
      <c r="R32" s="127">
        <f>R$27*$A31</f>
        <v/>
      </c>
      <c r="S32" s="112">
        <f>S$27*$A31</f>
        <v/>
      </c>
    </row>
    <row r="33">
      <c r="A33" s="28">
        <f>A28/3</f>
        <v/>
      </c>
      <c r="C33" s="127">
        <f>C$27*$A32</f>
        <v/>
      </c>
      <c r="D33" s="127">
        <f>D$27*$A32</f>
        <v/>
      </c>
      <c r="F33" s="112">
        <f>F$27*$A32</f>
        <v/>
      </c>
      <c r="G33" s="127">
        <f>G$27*$A32</f>
        <v/>
      </c>
      <c r="H33" s="112">
        <f>H$27*$A32</f>
        <v/>
      </c>
      <c r="I33" s="127">
        <f>I$27*$A32</f>
        <v/>
      </c>
      <c r="J33" s="112">
        <f>J$27*$A32</f>
        <v/>
      </c>
      <c r="K33" s="112">
        <f>K$27*$A32</f>
        <v/>
      </c>
      <c r="L33" s="112">
        <f>L$27*$A32</f>
        <v/>
      </c>
      <c r="M33" s="127">
        <f>M$27*$A32</f>
        <v/>
      </c>
      <c r="N33" s="112">
        <f>N$27*$A32</f>
        <v/>
      </c>
      <c r="O33" s="112">
        <f>O$27*$A32</f>
        <v/>
      </c>
      <c r="P33" s="112">
        <f>P$27*$A32</f>
        <v/>
      </c>
      <c r="Q33" s="112">
        <f>Q$27*$A32</f>
        <v/>
      </c>
      <c r="R33" s="127">
        <f>R$27*$A32</f>
        <v/>
      </c>
      <c r="S33" s="112">
        <f>S$27*$A32</f>
        <v/>
      </c>
    </row>
  </sheetData>
  <mergeCells count="1">
    <mergeCell ref="A1:U1"/>
  </mergeCells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6.5"/>
  <cols>
    <col width="11.125" bestFit="1" customWidth="1" style="86" min="1" max="1"/>
    <col width="14.625" bestFit="1" customWidth="1" style="129" min="3" max="4"/>
    <col width="15.625" bestFit="1" customWidth="1" style="129" min="5" max="6"/>
    <col width="14.625" bestFit="1" customWidth="1" style="129" min="7" max="9"/>
    <col width="12.375" customWidth="1" style="32" min="10" max="16"/>
    <col width="9" customWidth="1" style="32" min="17" max="18"/>
  </cols>
  <sheetData>
    <row r="1" ht="20" customHeight="1" s="86">
      <c r="A1" s="131" t="inlineStr">
        <is>
          <t>CONFIDENTIAL — Shared for portfolio review purposes only. All game content is the property of its respective studio.</t>
        </is>
      </c>
    </row>
    <row r="2">
      <c r="A2" s="29" t="n">
        <v>44097</v>
      </c>
      <c r="C2" s="129" t="n">
        <v>1303251700</v>
      </c>
      <c r="D2" s="129" t="n">
        <v>2235024950</v>
      </c>
      <c r="E2" s="129" t="n">
        <v>3994586600</v>
      </c>
      <c r="F2" s="129" t="n">
        <v>4722321000</v>
      </c>
      <c r="G2" s="129" t="n">
        <v>3187012900</v>
      </c>
      <c r="H2" s="129" t="n">
        <v>1056798900</v>
      </c>
      <c r="I2" s="129" t="n">
        <v>589493600</v>
      </c>
      <c r="J2" s="130">
        <f>C1/S1</f>
        <v/>
      </c>
      <c r="K2" s="130">
        <f>D1/T1</f>
        <v/>
      </c>
      <c r="L2" s="130">
        <f>E1/U1</f>
        <v/>
      </c>
      <c r="M2" s="130">
        <f>F1/V1</f>
        <v/>
      </c>
      <c r="N2" s="130">
        <f>G1/W1</f>
        <v/>
      </c>
      <c r="O2" s="130">
        <f>H1/X1</f>
        <v/>
      </c>
      <c r="P2" s="130">
        <f>I1/Y1</f>
        <v/>
      </c>
      <c r="Q2" s="130" t="n"/>
      <c r="R2" s="130" t="n"/>
      <c r="S2" s="0" t="n">
        <v>5122</v>
      </c>
      <c r="T2" s="0" t="n">
        <v>9924</v>
      </c>
      <c r="U2" s="0" t="n">
        <v>15244</v>
      </c>
      <c r="V2" s="0" t="n">
        <v>12785</v>
      </c>
      <c r="W2" s="0" t="n">
        <v>6446</v>
      </c>
      <c r="X2" s="0" t="n">
        <v>1887</v>
      </c>
      <c r="Y2" s="0" t="n">
        <v>919</v>
      </c>
    </row>
    <row r="3">
      <c r="A3" s="29" t="n">
        <v>44096</v>
      </c>
      <c r="C3" s="129" t="n">
        <v>864970900</v>
      </c>
      <c r="D3" s="129" t="n">
        <v>1691557700</v>
      </c>
      <c r="E3" s="129" t="n">
        <v>2959466300</v>
      </c>
      <c r="F3" s="129" t="n">
        <v>3263211000</v>
      </c>
      <c r="G3" s="129" t="n">
        <v>1979209800</v>
      </c>
      <c r="H3" s="129" t="n">
        <v>690243100</v>
      </c>
      <c r="I3" s="129" t="n">
        <v>439904000</v>
      </c>
      <c r="J3" s="130">
        <f>C2/S2</f>
        <v/>
      </c>
      <c r="K3" s="130">
        <f>D2/T2</f>
        <v/>
      </c>
      <c r="L3" s="130">
        <f>E2/U2</f>
        <v/>
      </c>
      <c r="M3" s="130">
        <f>F2/V2</f>
        <v/>
      </c>
      <c r="N3" s="130">
        <f>G2/W2</f>
        <v/>
      </c>
      <c r="O3" s="130">
        <f>H2/X2</f>
        <v/>
      </c>
      <c r="P3" s="130">
        <f>I2/Y2</f>
        <v/>
      </c>
      <c r="S3" s="0" t="n">
        <v>3661</v>
      </c>
      <c r="T3" s="0" t="n">
        <v>7896</v>
      </c>
      <c r="U3" s="0" t="n">
        <v>12119</v>
      </c>
      <c r="V3" s="0" t="n">
        <v>10438</v>
      </c>
      <c r="W3" s="0" t="n">
        <v>5416</v>
      </c>
      <c r="X3" s="0" t="n">
        <v>1596</v>
      </c>
      <c r="Y3" s="0" t="n">
        <v>829</v>
      </c>
    </row>
    <row r="4">
      <c r="A4" s="29" t="n">
        <v>44095</v>
      </c>
      <c r="C4" s="129" t="n">
        <v>7845499900</v>
      </c>
      <c r="D4" s="129" t="n">
        <v>7558465550</v>
      </c>
      <c r="E4" s="129" t="n">
        <v>8263039800</v>
      </c>
      <c r="F4" s="129" t="n">
        <v>5400110700</v>
      </c>
      <c r="G4" s="129" t="n">
        <v>2542829500</v>
      </c>
      <c r="H4" s="129" t="n">
        <v>774445200</v>
      </c>
      <c r="I4" s="129" t="n">
        <v>507859900</v>
      </c>
      <c r="J4" s="130">
        <f>C3/S3</f>
        <v/>
      </c>
      <c r="K4" s="130">
        <f>D3/T3</f>
        <v/>
      </c>
      <c r="L4" s="130">
        <f>E3/U3</f>
        <v/>
      </c>
      <c r="M4" s="130">
        <f>F3/V3</f>
        <v/>
      </c>
      <c r="N4" s="130">
        <f>G3/W3</f>
        <v/>
      </c>
      <c r="O4" s="130">
        <f>H3/X3</f>
        <v/>
      </c>
      <c r="P4" s="130">
        <f>I3/Y3</f>
        <v/>
      </c>
      <c r="S4" s="0" t="n">
        <v>5708</v>
      </c>
      <c r="T4" s="0" t="n">
        <v>9966</v>
      </c>
      <c r="U4" s="0" t="n">
        <v>14036</v>
      </c>
      <c r="V4" s="0" t="n">
        <v>11215</v>
      </c>
      <c r="W4" s="0" t="n">
        <v>5561</v>
      </c>
      <c r="X4" s="0" t="n">
        <v>1540</v>
      </c>
      <c r="Y4" s="0" t="n">
        <v>797</v>
      </c>
    </row>
    <row r="5">
      <c r="A5" s="29" t="n">
        <v>44094</v>
      </c>
      <c r="C5" s="129" t="n">
        <v>861855300</v>
      </c>
      <c r="D5" s="129" t="n">
        <v>1420308100</v>
      </c>
      <c r="E5" s="129" t="n">
        <v>2512417900</v>
      </c>
      <c r="F5" s="129" t="n">
        <v>2647510600</v>
      </c>
      <c r="G5" s="129" t="n">
        <v>1713937700</v>
      </c>
      <c r="H5" s="129" t="n">
        <v>631963300</v>
      </c>
      <c r="I5" s="129" t="n">
        <v>322695400</v>
      </c>
      <c r="J5" s="130">
        <f>C4/S4</f>
        <v/>
      </c>
      <c r="K5" s="130">
        <f>D4/T4</f>
        <v/>
      </c>
      <c r="L5" s="130">
        <f>E4/U4</f>
        <v/>
      </c>
      <c r="M5" s="130">
        <f>F4/V4</f>
        <v/>
      </c>
      <c r="N5" s="130">
        <f>G4/W4</f>
        <v/>
      </c>
      <c r="O5" s="130">
        <f>H4/X4</f>
        <v/>
      </c>
      <c r="P5" s="130">
        <f>I4/Y4</f>
        <v/>
      </c>
      <c r="S5" s="0" t="n">
        <v>3313</v>
      </c>
      <c r="T5" s="0" t="n">
        <v>6663</v>
      </c>
      <c r="U5" s="0" t="n">
        <v>10496</v>
      </c>
      <c r="V5" s="0" t="n">
        <v>8858</v>
      </c>
      <c r="W5" s="0" t="n">
        <v>4475</v>
      </c>
      <c r="X5" s="0" t="n">
        <v>1377</v>
      </c>
      <c r="Y5" s="0" t="n">
        <v>653</v>
      </c>
    </row>
    <row r="6">
      <c r="A6" s="29" t="n">
        <v>44093</v>
      </c>
      <c r="C6" s="129" t="n">
        <v>809325800</v>
      </c>
      <c r="D6" s="129" t="n">
        <v>1487167800</v>
      </c>
      <c r="E6" s="129" t="n">
        <v>2468816550</v>
      </c>
      <c r="F6" s="129" t="n">
        <v>2624062900</v>
      </c>
      <c r="G6" s="129" t="n">
        <v>1603657700</v>
      </c>
      <c r="H6" s="129" t="n">
        <v>547569000</v>
      </c>
      <c r="I6" s="129" t="n">
        <v>324967700</v>
      </c>
      <c r="J6" s="130">
        <f>C5/S5</f>
        <v/>
      </c>
      <c r="K6" s="130">
        <f>D5/T5</f>
        <v/>
      </c>
      <c r="L6" s="130">
        <f>E5/U5</f>
        <v/>
      </c>
      <c r="M6" s="130">
        <f>F5/V5</f>
        <v/>
      </c>
      <c r="N6" s="130">
        <f>G5/W5</f>
        <v/>
      </c>
      <c r="O6" s="130">
        <f>H5/X5</f>
        <v/>
      </c>
      <c r="P6" s="130">
        <f>I5/Y5</f>
        <v/>
      </c>
      <c r="S6" s="0" t="n">
        <v>3013</v>
      </c>
      <c r="T6" s="0" t="n">
        <v>6815</v>
      </c>
      <c r="U6" s="0" t="n">
        <v>10370</v>
      </c>
      <c r="V6" s="0" t="n">
        <v>8561</v>
      </c>
      <c r="W6" s="0" t="n">
        <v>4425</v>
      </c>
      <c r="X6" s="0" t="n">
        <v>1320</v>
      </c>
      <c r="Y6" s="0" t="n">
        <v>662</v>
      </c>
    </row>
    <row r="7">
      <c r="A7" s="29" t="n">
        <v>44092</v>
      </c>
      <c r="C7" s="129" t="n">
        <v>908791000</v>
      </c>
      <c r="D7" s="129" t="n">
        <v>1409270400</v>
      </c>
      <c r="E7" s="129" t="n">
        <v>2546729950</v>
      </c>
      <c r="F7" s="129" t="n">
        <v>2750073100</v>
      </c>
      <c r="G7" s="129" t="n">
        <v>1619404500</v>
      </c>
      <c r="H7" s="129" t="n">
        <v>545255200</v>
      </c>
      <c r="I7" s="129" t="n">
        <v>341127300</v>
      </c>
      <c r="J7" s="130">
        <f>C6/S6</f>
        <v/>
      </c>
      <c r="K7" s="130">
        <f>D6/T6</f>
        <v/>
      </c>
      <c r="L7" s="130">
        <f>E6/U6</f>
        <v/>
      </c>
      <c r="M7" s="130">
        <f>F6/V6</f>
        <v/>
      </c>
      <c r="N7" s="130">
        <f>G6/W6</f>
        <v/>
      </c>
      <c r="O7" s="130">
        <f>H6/X6</f>
        <v/>
      </c>
      <c r="P7" s="130">
        <f>I6/Y6</f>
        <v/>
      </c>
      <c r="S7" s="0" t="n">
        <v>3242</v>
      </c>
      <c r="T7" s="0" t="n">
        <v>6564</v>
      </c>
      <c r="U7" s="0" t="n">
        <v>10583</v>
      </c>
      <c r="V7" s="0" t="n">
        <v>8803</v>
      </c>
      <c r="W7" s="0" t="n">
        <v>4525</v>
      </c>
      <c r="X7" s="0" t="n">
        <v>1324</v>
      </c>
      <c r="Y7" s="0" t="n">
        <v>682</v>
      </c>
    </row>
    <row r="8">
      <c r="A8" s="29" t="n">
        <v>44091</v>
      </c>
      <c r="C8" s="129" t="n">
        <v>1241215000</v>
      </c>
      <c r="D8" s="129" t="n">
        <v>3653908100</v>
      </c>
      <c r="E8" s="129" t="n">
        <v>2794890100</v>
      </c>
      <c r="F8" s="129" t="n">
        <v>2925074500</v>
      </c>
      <c r="G8" s="129" t="n">
        <v>1816686600</v>
      </c>
      <c r="H8" s="129" t="n">
        <v>596009800</v>
      </c>
      <c r="I8" s="129" t="n">
        <v>361024300</v>
      </c>
      <c r="J8" s="130">
        <f>C7/S7</f>
        <v/>
      </c>
      <c r="K8" s="130">
        <f>D7/T7</f>
        <v/>
      </c>
      <c r="L8" s="130">
        <f>E7/U7</f>
        <v/>
      </c>
      <c r="M8" s="130">
        <f>F7/V7</f>
        <v/>
      </c>
      <c r="N8" s="130">
        <f>G7/W7</f>
        <v/>
      </c>
      <c r="O8" s="130">
        <f>H7/X7</f>
        <v/>
      </c>
      <c r="P8" s="130">
        <f>I7/Y7</f>
        <v/>
      </c>
      <c r="S8" s="0" t="n">
        <v>3547</v>
      </c>
      <c r="T8" s="0" t="n">
        <v>7155</v>
      </c>
      <c r="U8" s="0" t="n">
        <v>11280</v>
      </c>
      <c r="V8" s="0" t="n">
        <v>9520</v>
      </c>
      <c r="W8" s="0" t="n">
        <v>4845</v>
      </c>
      <c r="X8" s="0" t="n">
        <v>1405</v>
      </c>
      <c r="Y8" s="0" t="n">
        <v>754</v>
      </c>
    </row>
    <row r="9">
      <c r="A9" s="29" t="n">
        <v>44090</v>
      </c>
      <c r="C9" s="129" t="n">
        <v>729554500</v>
      </c>
      <c r="D9" s="129" t="n">
        <v>3771744450</v>
      </c>
      <c r="E9" s="129" t="n">
        <v>3058631950</v>
      </c>
      <c r="F9" s="129" t="n">
        <v>3163922900</v>
      </c>
      <c r="G9" s="129" t="n">
        <v>1880276800</v>
      </c>
      <c r="H9" s="129" t="n">
        <v>620388700</v>
      </c>
      <c r="I9" s="129" t="n">
        <v>415287000</v>
      </c>
      <c r="J9" s="130">
        <f>C8/S8</f>
        <v/>
      </c>
      <c r="K9" s="130">
        <f>D8/T8</f>
        <v/>
      </c>
      <c r="L9" s="130">
        <f>E8/U8</f>
        <v/>
      </c>
      <c r="M9" s="130">
        <f>F8/V8</f>
        <v/>
      </c>
      <c r="N9" s="130">
        <f>G8/W8</f>
        <v/>
      </c>
      <c r="O9" s="130">
        <f>H8/X8</f>
        <v/>
      </c>
      <c r="P9" s="130">
        <f>I8/Y8</f>
        <v/>
      </c>
      <c r="S9" s="0" t="n">
        <v>2950</v>
      </c>
      <c r="T9" s="0" t="n">
        <v>8704</v>
      </c>
      <c r="U9" s="0" t="n">
        <v>13567</v>
      </c>
      <c r="V9" s="0" t="n">
        <v>11544</v>
      </c>
      <c r="W9" s="0" t="n">
        <v>5691</v>
      </c>
      <c r="X9" s="0" t="n">
        <v>1686</v>
      </c>
      <c r="Y9" s="0" t="n">
        <v>887</v>
      </c>
    </row>
    <row r="10">
      <c r="A10" s="29" t="n">
        <v>44089</v>
      </c>
      <c r="C10" s="129" t="n">
        <v>2184132000</v>
      </c>
      <c r="D10" s="129" t="n">
        <v>4632605850</v>
      </c>
      <c r="E10" s="129" t="n">
        <v>8205918150</v>
      </c>
      <c r="F10" s="129" t="n">
        <v>8046879200</v>
      </c>
      <c r="G10" s="129" t="n">
        <v>4360231400</v>
      </c>
      <c r="H10" s="129" t="n">
        <v>1288501800</v>
      </c>
      <c r="I10" s="129" t="n">
        <v>886469600</v>
      </c>
      <c r="J10" s="130">
        <f>C9/S9</f>
        <v/>
      </c>
      <c r="K10" s="130">
        <f>D9/T9</f>
        <v/>
      </c>
      <c r="L10" s="130">
        <f>E9/U9</f>
        <v/>
      </c>
      <c r="M10" s="130">
        <f>F9/V9</f>
        <v/>
      </c>
      <c r="N10" s="130">
        <f>G9/W9</f>
        <v/>
      </c>
      <c r="O10" s="130">
        <f>H9/X9</f>
        <v/>
      </c>
      <c r="P10" s="130">
        <f>I9/Y9</f>
        <v/>
      </c>
      <c r="S10" s="0" t="n">
        <v>3821</v>
      </c>
      <c r="T10" s="0" t="n">
        <v>9941</v>
      </c>
      <c r="U10" s="0" t="n">
        <v>15448</v>
      </c>
      <c r="V10" s="0" t="n">
        <v>12869</v>
      </c>
      <c r="W10" s="0" t="n">
        <v>6400</v>
      </c>
      <c r="X10" s="0" t="n">
        <v>1743</v>
      </c>
      <c r="Y10" s="0" t="n">
        <v>939</v>
      </c>
    </row>
    <row r="11">
      <c r="A11" s="29" t="n">
        <v>44088</v>
      </c>
      <c r="C11" s="129" t="n">
        <v>4537352100</v>
      </c>
      <c r="D11" s="129" t="n">
        <v>5143715700</v>
      </c>
      <c r="E11" s="129" t="n">
        <v>6547100850</v>
      </c>
      <c r="F11" s="129" t="n">
        <v>5017512900</v>
      </c>
      <c r="G11" s="129" t="n">
        <v>2438788100</v>
      </c>
      <c r="H11" s="129" t="n">
        <v>690783900</v>
      </c>
      <c r="I11" s="129" t="n">
        <v>975982900</v>
      </c>
      <c r="J11" s="130">
        <f>C10/S10</f>
        <v/>
      </c>
      <c r="K11" s="130">
        <f>D10/T10</f>
        <v/>
      </c>
      <c r="L11" s="130">
        <f>E10/U10</f>
        <v/>
      </c>
      <c r="M11" s="130">
        <f>F10/V10</f>
        <v/>
      </c>
      <c r="N11" s="130">
        <f>G10/W10</f>
        <v/>
      </c>
      <c r="O11" s="130">
        <f>H10/X10</f>
        <v/>
      </c>
      <c r="P11" s="130">
        <f>I10/Y10</f>
        <v/>
      </c>
      <c r="S11" s="0" t="n">
        <v>4365</v>
      </c>
      <c r="T11" s="0" t="n">
        <v>9474</v>
      </c>
      <c r="U11" s="0" t="n">
        <v>14340</v>
      </c>
      <c r="V11" s="0" t="n">
        <v>11781</v>
      </c>
      <c r="W11" s="0" t="n">
        <v>5682</v>
      </c>
      <c r="X11" s="0" t="n">
        <v>1546</v>
      </c>
      <c r="Y11" s="0" t="n">
        <v>821</v>
      </c>
    </row>
    <row r="12">
      <c r="A12" s="29" t="n">
        <v>44087</v>
      </c>
      <c r="C12" s="129" t="n">
        <v>572503400</v>
      </c>
      <c r="D12" s="129" t="n">
        <v>1499657350</v>
      </c>
      <c r="E12" s="129" t="n">
        <v>2615324800</v>
      </c>
      <c r="F12" s="129" t="n">
        <v>2705866000</v>
      </c>
      <c r="G12" s="129" t="n">
        <v>1491349400</v>
      </c>
      <c r="H12" s="129" t="n">
        <v>464614600</v>
      </c>
      <c r="I12" s="129" t="n">
        <v>316367400</v>
      </c>
      <c r="J12" s="130">
        <f>C11/S11</f>
        <v/>
      </c>
      <c r="K12" s="130">
        <f>D11/T11</f>
        <v/>
      </c>
      <c r="L12" s="130">
        <f>E11/U11</f>
        <v/>
      </c>
      <c r="M12" s="130">
        <f>F11/V11</f>
        <v/>
      </c>
      <c r="N12" s="130">
        <f>G11/W11</f>
        <v/>
      </c>
      <c r="O12" s="130">
        <f>H11/X11</f>
        <v/>
      </c>
      <c r="P12" s="130">
        <f>I11/Y11</f>
        <v/>
      </c>
      <c r="S12" s="0" t="n">
        <v>2173</v>
      </c>
      <c r="T12" s="0" t="n">
        <v>6457</v>
      </c>
      <c r="U12" s="0" t="n">
        <v>9891</v>
      </c>
      <c r="V12" s="0" t="n">
        <v>8454</v>
      </c>
      <c r="W12" s="0" t="n">
        <v>4028</v>
      </c>
      <c r="X12" s="0" t="n">
        <v>1108</v>
      </c>
      <c r="Y12" s="0" t="n">
        <v>666</v>
      </c>
    </row>
    <row r="13">
      <c r="A13" s="29" t="n">
        <v>44086</v>
      </c>
      <c r="C13" s="129" t="n">
        <v>666135300</v>
      </c>
      <c r="D13" s="129" t="n">
        <v>1582422450</v>
      </c>
      <c r="E13" s="129" t="n">
        <v>2694348350</v>
      </c>
      <c r="F13" s="129" t="n">
        <v>2736672800</v>
      </c>
      <c r="G13" s="129" t="n">
        <v>1608391000</v>
      </c>
      <c r="H13" s="129" t="n">
        <v>490810000</v>
      </c>
      <c r="I13" s="129" t="n">
        <v>316095500</v>
      </c>
      <c r="J13" s="130">
        <f>C12/S12</f>
        <v/>
      </c>
      <c r="K13" s="130">
        <f>D12/T12</f>
        <v/>
      </c>
      <c r="L13" s="130">
        <f>E12/U12</f>
        <v/>
      </c>
      <c r="M13" s="130">
        <f>F12/V12</f>
        <v/>
      </c>
      <c r="N13" s="130">
        <f>G12/W12</f>
        <v/>
      </c>
      <c r="O13" s="130">
        <f>H12/X12</f>
        <v/>
      </c>
      <c r="P13" s="130">
        <f>I12/Y12</f>
        <v/>
      </c>
      <c r="S13" s="0" t="n">
        <v>2424</v>
      </c>
      <c r="T13" s="0" t="n">
        <v>6472</v>
      </c>
      <c r="U13" s="0" t="n">
        <v>10114</v>
      </c>
      <c r="V13" s="0" t="n">
        <v>8301</v>
      </c>
      <c r="W13" s="0" t="n">
        <v>4100</v>
      </c>
      <c r="X13" s="0" t="n">
        <v>1195</v>
      </c>
      <c r="Y13" s="0" t="n">
        <v>625</v>
      </c>
    </row>
    <row r="14">
      <c r="A14" s="29" t="n">
        <v>44085</v>
      </c>
      <c r="C14" s="129" t="n">
        <v>1769241500</v>
      </c>
      <c r="D14" s="129" t="n">
        <v>2370832650</v>
      </c>
      <c r="E14" s="129" t="n">
        <v>4062144150</v>
      </c>
      <c r="F14" s="129" t="n">
        <v>3912603300</v>
      </c>
      <c r="G14" s="129" t="n">
        <v>2105252300</v>
      </c>
      <c r="H14" s="129" t="n">
        <v>619793000</v>
      </c>
      <c r="I14" s="129" t="n">
        <v>451313300</v>
      </c>
      <c r="J14" s="130">
        <f>C13/S13</f>
        <v/>
      </c>
      <c r="K14" s="130">
        <f>D13/T13</f>
        <v/>
      </c>
      <c r="L14" s="130">
        <f>E13/U13</f>
        <v/>
      </c>
      <c r="M14" s="130">
        <f>F13/V13</f>
        <v/>
      </c>
      <c r="N14" s="130">
        <f>G13/W13</f>
        <v/>
      </c>
      <c r="O14" s="130">
        <f>H13/X13</f>
        <v/>
      </c>
      <c r="P14" s="130">
        <f>I13/Y13</f>
        <v/>
      </c>
      <c r="S14" s="0" t="n">
        <v>4507</v>
      </c>
      <c r="T14" s="0" t="n">
        <v>9695</v>
      </c>
      <c r="U14" s="0" t="n">
        <v>15021</v>
      </c>
      <c r="V14" s="0" t="n">
        <v>12220</v>
      </c>
      <c r="W14" s="0" t="n">
        <v>5899</v>
      </c>
      <c r="X14" s="0" t="n">
        <v>1651</v>
      </c>
      <c r="Y14" s="0" t="n">
        <v>890</v>
      </c>
    </row>
    <row r="15">
      <c r="A15" s="29" t="n">
        <v>44084</v>
      </c>
      <c r="C15" s="129" t="n">
        <v>3829556300</v>
      </c>
      <c r="D15" s="129" t="n">
        <v>4373020000</v>
      </c>
      <c r="E15" s="129" t="n">
        <v>6333475500</v>
      </c>
      <c r="F15" s="129" t="n">
        <v>4887501400</v>
      </c>
      <c r="G15" s="129" t="n">
        <v>2235585600</v>
      </c>
      <c r="H15" s="129" t="n">
        <v>728997200</v>
      </c>
      <c r="I15" s="129" t="n">
        <v>431072800</v>
      </c>
      <c r="J15" s="130">
        <f>C14/S14</f>
        <v/>
      </c>
      <c r="K15" s="130">
        <f>D14/T14</f>
        <v/>
      </c>
      <c r="L15" s="130">
        <f>E14/U14</f>
        <v/>
      </c>
      <c r="M15" s="130">
        <f>F14/V14</f>
        <v/>
      </c>
      <c r="N15" s="130">
        <f>G14/W14</f>
        <v/>
      </c>
      <c r="O15" s="130">
        <f>H14/X14</f>
        <v/>
      </c>
      <c r="P15" s="130">
        <f>I14/Y14</f>
        <v/>
      </c>
      <c r="S15" s="0" t="n">
        <v>3684</v>
      </c>
      <c r="T15" s="0" t="n">
        <v>8461</v>
      </c>
      <c r="U15" s="0" t="n">
        <v>13270</v>
      </c>
      <c r="V15" s="0" t="n">
        <v>10703</v>
      </c>
      <c r="W15" s="0" t="n">
        <v>5120</v>
      </c>
      <c r="X15" s="0" t="n">
        <v>1489</v>
      </c>
      <c r="Y15" s="0" t="n">
        <v>790</v>
      </c>
    </row>
    <row r="16">
      <c r="A16" s="29" t="n">
        <v>44083</v>
      </c>
      <c r="C16" s="129" t="n">
        <v>849987800</v>
      </c>
      <c r="D16" s="129" t="n">
        <v>2638652850</v>
      </c>
      <c r="E16" s="129" t="n">
        <v>4420733250</v>
      </c>
      <c r="F16" s="129" t="n">
        <v>4395289400</v>
      </c>
      <c r="G16" s="129" t="n">
        <v>2421776700</v>
      </c>
      <c r="H16" s="129" t="n">
        <v>750069500</v>
      </c>
      <c r="I16" s="129" t="n">
        <v>478892000</v>
      </c>
      <c r="J16" s="130">
        <f>C15/S15</f>
        <v/>
      </c>
      <c r="K16" s="130">
        <f>D15/T15</f>
        <v/>
      </c>
      <c r="L16" s="130">
        <f>E15/U15</f>
        <v/>
      </c>
      <c r="M16" s="130">
        <f>F15/V15</f>
        <v/>
      </c>
      <c r="N16" s="130">
        <f>G15/W15</f>
        <v/>
      </c>
      <c r="O16" s="130">
        <f>H15/X15</f>
        <v/>
      </c>
      <c r="P16" s="130">
        <f>I15/Y15</f>
        <v/>
      </c>
      <c r="S16" s="0" t="n">
        <v>2951</v>
      </c>
      <c r="T16" s="0" t="n">
        <v>8705</v>
      </c>
      <c r="U16" s="0" t="n">
        <v>13560</v>
      </c>
      <c r="V16" s="0" t="n">
        <v>11419</v>
      </c>
      <c r="W16" s="0" t="n">
        <v>5546</v>
      </c>
      <c r="X16" s="0" t="n">
        <v>1605</v>
      </c>
      <c r="Y16" s="0" t="n">
        <v>822</v>
      </c>
    </row>
    <row r="17">
      <c r="A17" s="29" t="n">
        <v>44082</v>
      </c>
      <c r="C17" s="129" t="n">
        <v>941457700</v>
      </c>
      <c r="D17" s="129" t="n">
        <v>1865617600</v>
      </c>
      <c r="E17" s="129" t="n">
        <v>3613739450</v>
      </c>
      <c r="F17" s="129" t="n">
        <v>3649711800</v>
      </c>
      <c r="G17" s="129" t="n">
        <v>2064213700</v>
      </c>
      <c r="H17" s="129" t="n">
        <v>658443300</v>
      </c>
      <c r="I17" s="129" t="n">
        <v>387594900</v>
      </c>
      <c r="J17" s="130">
        <f>C16/S16</f>
        <v/>
      </c>
      <c r="K17" s="130">
        <f>D16/T16</f>
        <v/>
      </c>
      <c r="L17" s="130">
        <f>E16/U16</f>
        <v/>
      </c>
      <c r="M17" s="130">
        <f>F16/V16</f>
        <v/>
      </c>
      <c r="N17" s="130">
        <f>G16/W16</f>
        <v/>
      </c>
      <c r="O17" s="130">
        <f>H16/X16</f>
        <v/>
      </c>
      <c r="P17" s="130">
        <f>I16/Y16</f>
        <v/>
      </c>
      <c r="S17" s="0" t="n">
        <v>3390</v>
      </c>
      <c r="T17" s="0" t="n">
        <v>7911</v>
      </c>
      <c r="U17" s="0" t="n">
        <v>13299</v>
      </c>
      <c r="V17" s="0" t="n">
        <v>11222</v>
      </c>
      <c r="W17" s="0" t="n">
        <v>5455</v>
      </c>
      <c r="X17" s="0" t="n">
        <v>1519</v>
      </c>
      <c r="Y17" s="0" t="n">
        <v>810</v>
      </c>
    </row>
    <row r="18">
      <c r="A18" s="29" t="n">
        <v>44081</v>
      </c>
      <c r="C18" s="129" t="n">
        <v>1057119400</v>
      </c>
      <c r="D18" s="129" t="n">
        <v>1649761400</v>
      </c>
      <c r="E18" s="129" t="n">
        <v>2870983400</v>
      </c>
      <c r="F18" s="129" t="n">
        <v>3141723600</v>
      </c>
      <c r="G18" s="129" t="n">
        <v>1956770000</v>
      </c>
      <c r="H18" s="129" t="n">
        <v>544858700</v>
      </c>
      <c r="I18" s="129" t="n">
        <v>411602500</v>
      </c>
      <c r="J18" s="130">
        <f>C17/S17</f>
        <v/>
      </c>
      <c r="K18" s="130">
        <f>D17/T17</f>
        <v/>
      </c>
      <c r="L18" s="130">
        <f>E17/U17</f>
        <v/>
      </c>
      <c r="M18" s="130">
        <f>F17/V17</f>
        <v/>
      </c>
      <c r="N18" s="130">
        <f>G17/W17</f>
        <v/>
      </c>
      <c r="O18" s="130">
        <f>H17/X17</f>
        <v/>
      </c>
      <c r="P18" s="130">
        <f>I17/Y17</f>
        <v/>
      </c>
      <c r="S18" s="0" t="n">
        <v>3944</v>
      </c>
      <c r="T18" s="0" t="n">
        <v>8229</v>
      </c>
      <c r="U18" s="0" t="n">
        <v>13274</v>
      </c>
      <c r="V18" s="0" t="n">
        <v>11591</v>
      </c>
      <c r="W18" s="0" t="n">
        <v>5668</v>
      </c>
      <c r="X18" s="0" t="n">
        <v>1548</v>
      </c>
      <c r="Y18" s="0" t="n">
        <v>888</v>
      </c>
    </row>
    <row r="19">
      <c r="A19" s="29" t="n">
        <v>44080</v>
      </c>
      <c r="C19" s="129" t="n">
        <v>1122127000</v>
      </c>
      <c r="D19" s="129" t="n">
        <v>1391233100</v>
      </c>
      <c r="E19" s="129" t="n">
        <v>2293456450</v>
      </c>
      <c r="F19" s="129" t="n">
        <v>2562111600</v>
      </c>
      <c r="G19" s="129" t="n">
        <v>1386296900</v>
      </c>
      <c r="H19" s="129" t="n">
        <v>422324600</v>
      </c>
      <c r="I19" s="129" t="n">
        <v>262261300</v>
      </c>
      <c r="J19" s="130">
        <f>C18/S18</f>
        <v/>
      </c>
      <c r="K19" s="130">
        <f>D18/T18</f>
        <v/>
      </c>
      <c r="L19" s="130">
        <f>E18/U18</f>
        <v/>
      </c>
      <c r="M19" s="130">
        <f>F18/V18</f>
        <v/>
      </c>
      <c r="N19" s="130">
        <f>G18/W18</f>
        <v/>
      </c>
      <c r="O19" s="130">
        <f>H18/X18</f>
        <v/>
      </c>
      <c r="P19" s="130">
        <f>I18/Y18</f>
        <v/>
      </c>
      <c r="S19" s="0" t="n">
        <v>3398</v>
      </c>
      <c r="T19" s="0" t="n">
        <v>5894</v>
      </c>
      <c r="U19" s="0" t="n">
        <v>9655</v>
      </c>
      <c r="V19" s="0" t="n">
        <v>8550</v>
      </c>
      <c r="W19" s="0" t="n">
        <v>4079</v>
      </c>
      <c r="X19" s="0" t="n">
        <v>1228</v>
      </c>
      <c r="Y19" s="0" t="n">
        <v>629</v>
      </c>
    </row>
    <row r="20">
      <c r="A20" s="29" t="n">
        <v>44079</v>
      </c>
      <c r="C20" s="129" t="n">
        <v>1024593700</v>
      </c>
      <c r="D20" s="129" t="n">
        <v>1347665550</v>
      </c>
      <c r="E20" s="129" t="n">
        <v>2498513750</v>
      </c>
      <c r="F20" s="129" t="n">
        <v>2582654600</v>
      </c>
      <c r="G20" s="129" t="n">
        <v>1435204400</v>
      </c>
      <c r="H20" s="129" t="n">
        <v>430782300</v>
      </c>
      <c r="I20" s="129" t="n">
        <v>269633600</v>
      </c>
      <c r="J20" s="130">
        <f>C19/S19</f>
        <v/>
      </c>
      <c r="K20" s="130">
        <f>D19/T19</f>
        <v/>
      </c>
      <c r="L20" s="130">
        <f>E19/U19</f>
        <v/>
      </c>
      <c r="M20" s="130">
        <f>F19/V19</f>
        <v/>
      </c>
      <c r="N20" s="130">
        <f>G19/W19</f>
        <v/>
      </c>
      <c r="O20" s="130">
        <f>H19/X19</f>
        <v/>
      </c>
      <c r="P20" s="130">
        <f>I19/Y19</f>
        <v/>
      </c>
      <c r="S20" s="0" t="n">
        <v>3158</v>
      </c>
      <c r="T20" s="0" t="n">
        <v>5749</v>
      </c>
      <c r="U20" s="0" t="n">
        <v>9823</v>
      </c>
      <c r="V20" s="0" t="n">
        <v>8492</v>
      </c>
      <c r="W20" s="0" t="n">
        <v>4024</v>
      </c>
      <c r="X20" s="0" t="n">
        <v>1143</v>
      </c>
      <c r="Y20" s="0" t="n">
        <v>647</v>
      </c>
    </row>
    <row r="21">
      <c r="A21" s="29" t="n">
        <v>44078</v>
      </c>
      <c r="C21" s="129" t="n">
        <v>1182227000</v>
      </c>
      <c r="D21" s="129" t="n">
        <v>1556720850</v>
      </c>
      <c r="E21" s="129" t="n">
        <v>2789256400</v>
      </c>
      <c r="F21" s="129" t="n">
        <v>3102944500</v>
      </c>
      <c r="G21" s="129" t="n">
        <v>1694468200</v>
      </c>
      <c r="H21" s="129" t="n">
        <v>505001400</v>
      </c>
      <c r="I21" s="129" t="n">
        <v>390823900</v>
      </c>
      <c r="J21" s="130">
        <f>C20/S20</f>
        <v/>
      </c>
      <c r="K21" s="130">
        <f>D20/T20</f>
        <v/>
      </c>
      <c r="L21" s="130">
        <f>E20/U20</f>
        <v/>
      </c>
      <c r="M21" s="130">
        <f>F20/V20</f>
        <v/>
      </c>
      <c r="N21" s="130">
        <f>G20/W20</f>
        <v/>
      </c>
      <c r="O21" s="130">
        <f>H20/X20</f>
        <v/>
      </c>
      <c r="P21" s="130">
        <f>I20/Y20</f>
        <v/>
      </c>
      <c r="S21" s="0" t="n">
        <v>3560</v>
      </c>
      <c r="T21" s="0" t="n">
        <v>6726</v>
      </c>
      <c r="U21" s="0" t="n">
        <v>10952</v>
      </c>
      <c r="V21" s="0" t="n">
        <v>10134</v>
      </c>
      <c r="W21" s="0" t="n">
        <v>4898</v>
      </c>
      <c r="X21" s="0" t="n">
        <v>1377</v>
      </c>
      <c r="Y21" s="0" t="n">
        <v>777</v>
      </c>
    </row>
    <row r="22">
      <c r="A22" s="29" t="n">
        <v>44077</v>
      </c>
      <c r="C22" s="129" t="n">
        <v>1954597800</v>
      </c>
      <c r="D22" s="129" t="n">
        <v>3382763700</v>
      </c>
      <c r="E22" s="129" t="n">
        <v>6321959700</v>
      </c>
      <c r="F22" s="129" t="n">
        <v>5964716400</v>
      </c>
      <c r="G22" s="129" t="n">
        <v>3218763900</v>
      </c>
      <c r="H22" s="129" t="n">
        <v>960466300</v>
      </c>
      <c r="I22" s="129" t="n">
        <v>542088200</v>
      </c>
      <c r="J22" s="130">
        <f>C21/S21</f>
        <v/>
      </c>
      <c r="K22" s="130">
        <f>D21/T21</f>
        <v/>
      </c>
      <c r="L22" s="130">
        <f>E21/U21</f>
        <v/>
      </c>
      <c r="M22" s="130">
        <f>F21/V21</f>
        <v/>
      </c>
      <c r="N22" s="130">
        <f>G21/W21</f>
        <v/>
      </c>
      <c r="O22" s="130">
        <f>H21/X21</f>
        <v/>
      </c>
      <c r="P22" s="130">
        <f>I21/Y21</f>
        <v/>
      </c>
      <c r="S22" s="0" t="n">
        <v>4303</v>
      </c>
      <c r="T22" s="0" t="n">
        <v>8492</v>
      </c>
      <c r="U22" s="0" t="n">
        <v>14753</v>
      </c>
      <c r="V22" s="0" t="n">
        <v>12610</v>
      </c>
      <c r="W22" s="0" t="n">
        <v>6173</v>
      </c>
      <c r="X22" s="0" t="n">
        <v>1695</v>
      </c>
      <c r="Y22" s="0" t="n">
        <v>908</v>
      </c>
    </row>
    <row r="23">
      <c r="A23" s="29" t="n">
        <v>44076</v>
      </c>
      <c r="C23" s="129" t="n">
        <v>1560582200</v>
      </c>
      <c r="D23" s="129" t="n">
        <v>2191170200</v>
      </c>
      <c r="E23" s="129" t="n">
        <v>3912458400</v>
      </c>
      <c r="F23" s="129" t="n">
        <v>3885907500</v>
      </c>
      <c r="G23" s="129" t="n">
        <v>2034888500</v>
      </c>
      <c r="H23" s="129" t="n">
        <v>555283400</v>
      </c>
      <c r="I23" s="129" t="n">
        <v>409455200</v>
      </c>
      <c r="J23" s="130">
        <f>C22/S22</f>
        <v/>
      </c>
      <c r="K23" s="130">
        <f>D22/T22</f>
        <v/>
      </c>
      <c r="L23" s="130">
        <f>E22/U22</f>
        <v/>
      </c>
      <c r="M23" s="130">
        <f>F22/V22</f>
        <v/>
      </c>
      <c r="N23" s="130">
        <f>G22/W22</f>
        <v/>
      </c>
      <c r="O23" s="130">
        <f>H22/X22</f>
        <v/>
      </c>
      <c r="P23" s="130">
        <f>I22/Y22</f>
        <v/>
      </c>
      <c r="S23" s="0" t="n">
        <v>3724</v>
      </c>
      <c r="T23" s="0" t="n">
        <v>7314</v>
      </c>
      <c r="U23" s="0" t="n">
        <v>12294</v>
      </c>
      <c r="V23" s="0" t="n">
        <v>10949</v>
      </c>
      <c r="W23" s="0" t="n">
        <v>5154</v>
      </c>
      <c r="X23" s="0" t="n">
        <v>1484</v>
      </c>
      <c r="Y23" s="0" t="n">
        <v>821</v>
      </c>
    </row>
    <row r="24">
      <c r="A24" s="29" t="n">
        <v>44075</v>
      </c>
      <c r="C24" s="129" t="n">
        <v>3904332677</v>
      </c>
      <c r="D24" s="129" t="n">
        <v>5794369300</v>
      </c>
      <c r="E24" s="129" t="n">
        <v>10547508377</v>
      </c>
      <c r="F24" s="129" t="n">
        <v>10363771000</v>
      </c>
      <c r="G24" s="129" t="n">
        <v>5722613577</v>
      </c>
      <c r="H24" s="129" t="n">
        <v>1991228900</v>
      </c>
      <c r="I24" s="129" t="n">
        <v>1361566300</v>
      </c>
      <c r="J24" s="130">
        <f>C23/S23</f>
        <v/>
      </c>
      <c r="K24" s="130">
        <f>D23/T23</f>
        <v/>
      </c>
      <c r="L24" s="130">
        <f>E23/U23</f>
        <v/>
      </c>
      <c r="M24" s="130">
        <f>F23/V23</f>
        <v/>
      </c>
      <c r="N24" s="130">
        <f>G23/W23</f>
        <v/>
      </c>
      <c r="O24" s="130">
        <f>H23/X23</f>
        <v/>
      </c>
      <c r="P24" s="130">
        <f>I23/Y23</f>
        <v/>
      </c>
      <c r="S24" s="0" t="n">
        <v>5151</v>
      </c>
      <c r="T24" s="0" t="n">
        <v>9295</v>
      </c>
      <c r="U24" s="0" t="n">
        <v>15748</v>
      </c>
      <c r="V24" s="0" t="n">
        <v>14135</v>
      </c>
      <c r="W24" s="0" t="n">
        <v>6714</v>
      </c>
      <c r="X24" s="0" t="n">
        <v>1916</v>
      </c>
      <c r="Y24" s="0" t="n">
        <v>1036</v>
      </c>
    </row>
    <row r="25">
      <c r="J25" s="130">
        <f>AVERAGE(J1:J23)</f>
        <v/>
      </c>
      <c r="K25" s="130">
        <f>AVERAGE(K1:K23)</f>
        <v/>
      </c>
      <c r="L25" s="130">
        <f>AVERAGE(L1:L23)</f>
        <v/>
      </c>
      <c r="M25" s="130">
        <f>AVERAGE(M1:M23)</f>
        <v/>
      </c>
      <c r="N25" s="130">
        <f>AVERAGE(N1:N23)</f>
        <v/>
      </c>
      <c r="O25" s="130">
        <f>AVERAGE(O1:O23)</f>
        <v/>
      </c>
      <c r="P25" s="130">
        <f>AVERAGE(P1:P23)</f>
        <v/>
      </c>
      <c r="S25" s="130">
        <f>AVERAGE(S1:S23)</f>
        <v/>
      </c>
      <c r="T25" s="130">
        <f>AVERAGE(T1:T23)</f>
        <v/>
      </c>
      <c r="U25" s="130">
        <f>AVERAGE(U1:U23)</f>
        <v/>
      </c>
      <c r="V25" s="130">
        <f>AVERAGE(V1:V23)</f>
        <v/>
      </c>
      <c r="W25" s="130">
        <f>AVERAGE(W1:W23)</f>
        <v/>
      </c>
      <c r="X25" s="130">
        <f>AVERAGE(X1:X23)</f>
        <v/>
      </c>
      <c r="Y25" s="130">
        <f>AVERAGE(Y1:Y23)</f>
        <v/>
      </c>
    </row>
  </sheetData>
  <mergeCells count="1"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crown_mobile</dc:creator>
  <dcterms:created xmlns:dcterms="http://purl.org/dc/terms/" xmlns:xsi="http://www.w3.org/2001/XMLSchema-instance" xsi:type="dcterms:W3CDTF">2020-09-25T01:59:23Z</dcterms:created>
  <dcterms:modified xmlns:dcterms="http://purl.org/dc/terms/" xmlns:xsi="http://www.w3.org/2001/XMLSchema-instance" xsi:type="dcterms:W3CDTF">2026-03-13T23:03:36Z</dcterms:modified>
  <cp:lastModifiedBy>Juwon Lee</cp:lastModifiedBy>
</cp:coreProperties>
</file>