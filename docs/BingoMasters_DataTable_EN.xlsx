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Control Panel" sheetId="2" state="visible" r:id="rId2"/>
    <sheet xmlns:r="http://schemas.openxmlformats.org/officeDocument/2006/relationships" name="Simulator" sheetId="3" state="visible" r:id="rId3"/>
    <sheet xmlns:r="http://schemas.openxmlformats.org/officeDocument/2006/relationships" name="Diamond Exchange" sheetId="4" state="visible" r:id="rId4"/>
    <sheet xmlns:r="http://schemas.openxmlformats.org/officeDocument/2006/relationships" name="Live Server" sheetId="5" state="visible" r:id="rId5"/>
    <sheet xmlns:r="http://schemas.openxmlformats.org/officeDocument/2006/relationships" name="Bet5" sheetId="6" state="visible" r:id="rId6"/>
    <sheet xmlns:r="http://schemas.openxmlformats.org/officeDocument/2006/relationships" name="Bet4" sheetId="7" state="visible" r:id="rId7"/>
    <sheet xmlns:r="http://schemas.openxmlformats.org/officeDocument/2006/relationships" name="Bet3" sheetId="8" state="visible" r:id="rId8"/>
    <sheet xmlns:r="http://schemas.openxmlformats.org/officeDocument/2006/relationships" name="Bet2" sheetId="9" state="visible" r:id="rId9"/>
    <sheet xmlns:r="http://schemas.openxmlformats.org/officeDocument/2006/relationships" name="Bet1" sheetId="10" state="visible" r:id="rId10"/>
    <sheet xmlns:r="http://schemas.openxmlformats.org/officeDocument/2006/relationships" name="1range, 6,7,8 X" sheetId="11" state="hidden" r:id="rId11"/>
    <sheet xmlns:r="http://schemas.openxmlformats.org/officeDocument/2006/relationships" name="2range, Linear" sheetId="12" state="hidden" r:id="rId12"/>
    <sheet xmlns:r="http://schemas.openxmlformats.org/officeDocument/2006/relationships" name="3range, half-some" sheetId="13" state="hidden" r:id="rId13"/>
    <sheet xmlns:r="http://schemas.openxmlformats.org/officeDocument/2006/relationships" name="4range, 5,6,7" sheetId="14" state="hidden" r:id="rId14"/>
    <sheet xmlns:r="http://schemas.openxmlformats.org/officeDocument/2006/relationships" name="5range, 1,2,3 X" sheetId="15" state="hidden" r:id="rId15"/>
    <sheet xmlns:r="http://schemas.openxmlformats.org/officeDocument/2006/relationships" name="Bingo Prize Amount" sheetId="16" state="visible" r:id="rId16"/>
    <sheet xmlns:r="http://schemas.openxmlformats.org/officeDocument/2006/relationships" name="Threshold Values" sheetId="17" state="visible" r:id="rId17"/>
    <sheet xmlns:r="http://schemas.openxmlformats.org/officeDocument/2006/relationships" name="BACK" sheetId="18" state="visible" r:id="rId18"/>
    <sheet xmlns:r="http://schemas.openxmlformats.org/officeDocument/2006/relationships" name="Multiplier Progression" sheetId="19" state="visible" r:id="rId19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_);[Red]\(0\)"/>
    <numFmt numFmtId="166" formatCode="#,##0.0"/>
    <numFmt numFmtId="167" formatCode="0.0"/>
    <numFmt numFmtId="168" formatCode="_-* #,##0_-;\-* #,##0_-;_-* &quot;-&quot;_-;_-@_-"/>
    <numFmt numFmtId="169" formatCode="0.0%"/>
    <numFmt numFmtId="170" formatCode="_-[$$-409]* #,##0.00_ ;_-[$$-409]* \-#,##0.00\ ;_-[$$-409]* &quot;-&quot;??_ ;_-@_ "/>
    <numFmt numFmtId="171" formatCode="_-* #,##0.00_-;\-* #,##0.00_-;_-* &quot;-&quot;??_-;_-@_-"/>
  </numFmts>
  <fonts count="3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b val="1"/>
      <color theme="1"/>
      <sz val="10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Times New Roman"/>
      <family val="1"/>
      <color rgb="FF000000"/>
      <sz val="14"/>
    </font>
    <font>
      <name val="맑은 고딕"/>
      <charset val="129"/>
      <family val="3"/>
      <color theme="1" tint="0.499984740745262"/>
      <sz val="11"/>
      <scheme val="minor"/>
    </font>
    <font>
      <name val="맑은 고딕"/>
      <charset val="129"/>
      <family val="2"/>
      <color theme="1" tint="0.499984740745262"/>
      <sz val="11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2"/>
      <color rgb="FFFF0000"/>
      <sz val="10"/>
      <scheme val="minor"/>
    </font>
    <font>
      <name val="Times New Roman"/>
      <family val="1"/>
      <color rgb="FF000000"/>
      <sz val="10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theme="0"/>
      <sz val="11"/>
      <scheme val="minor"/>
    </font>
    <font>
      <name val="Malgun Gothic"/>
      <charset val="129"/>
      <family val="3"/>
      <color rgb="FF000000"/>
      <sz val="14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7030A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9C0006"/>
      <sz val="10"/>
      <scheme val="minor"/>
    </font>
    <font>
      <name val="맑은 고딕"/>
      <charset val="129"/>
      <family val="3"/>
      <color rgb="FF9C5700"/>
      <sz val="10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color rgb="FFFF0000"/>
      <sz val="9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b val="1"/>
      <color rgb="FF00B050"/>
      <sz val="10"/>
      <scheme val="minor"/>
    </font>
    <font>
      <name val="Arial"/>
      <family val="2"/>
      <color rgb="FF3D3C40"/>
      <sz val="11"/>
    </font>
    <font>
      <name val="맑은 고딕"/>
      <charset val="129"/>
      <family val="2"/>
      <color rgb="FF006100"/>
      <sz val="11"/>
      <scheme val="minor"/>
    </font>
    <font>
      <b val="1"/>
      <color rgb="00CC0000"/>
      <sz val="9"/>
    </font>
  </fonts>
  <fills count="29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rgb="FFC6EFCE"/>
      </patternFill>
    </fill>
    <fill>
      <patternFill patternType="solid">
        <fgColor rgb="00FFF2F2"/>
        <bgColor rgb="00FFF2F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2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" fillId="3" borderId="0" applyAlignment="1">
      <alignment vertical="center"/>
    </xf>
    <xf numFmtId="41" fontId="10" fillId="0" borderId="0" applyAlignment="1">
      <alignment vertical="center"/>
    </xf>
    <xf numFmtId="9" fontId="1" fillId="0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1" fillId="20" borderId="0" applyAlignment="1">
      <alignment vertical="center"/>
    </xf>
    <xf numFmtId="0" fontId="1" fillId="25" borderId="0" applyAlignment="1">
      <alignment vertical="center"/>
    </xf>
    <xf numFmtId="0" fontId="1" fillId="26" borderId="0" applyAlignment="1">
      <alignment vertical="center"/>
    </xf>
    <xf numFmtId="0" fontId="33" fillId="27" borderId="0" applyAlignment="1">
      <alignment vertical="center"/>
    </xf>
  </cellStyleXfs>
  <cellXfs count="20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3" fontId="0" fillId="0" borderId="1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3" fillId="13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4" fillId="15" borderId="1" applyAlignment="1" pivotButton="0" quotePrefix="0" xfId="0">
      <alignment vertical="center"/>
    </xf>
    <xf numFmtId="0" fontId="16" fillId="17" borderId="0" applyAlignment="1" pivotButton="0" quotePrefix="0" xfId="0">
      <alignment vertical="center"/>
    </xf>
    <xf numFmtId="0" fontId="4" fillId="17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0" fontId="17" fillId="16" borderId="0" applyAlignment="1" pivotButton="0" quotePrefix="0" xfId="0">
      <alignment vertical="center"/>
    </xf>
    <xf numFmtId="3" fontId="18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5" fillId="13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" fontId="15" fillId="0" borderId="1" applyAlignment="1" pivotButton="0" quotePrefix="0" xfId="0">
      <alignment vertical="center"/>
    </xf>
    <xf numFmtId="3" fontId="19" fillId="18" borderId="1" applyAlignment="1" pivotButton="0" quotePrefix="0" xfId="6">
      <alignment vertical="center"/>
    </xf>
    <xf numFmtId="0" fontId="21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19" fillId="18" borderId="1" applyAlignment="1" pivotButton="0" quotePrefix="0" xfId="6">
      <alignment vertical="center"/>
    </xf>
    <xf numFmtId="0" fontId="2" fillId="2" borderId="1" applyAlignment="1" pivotButton="0" quotePrefix="0" xfId="2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3" fontId="20" fillId="19" borderId="1" applyAlignment="1" pivotButton="0" quotePrefix="0" xfId="7">
      <alignment vertical="center"/>
    </xf>
    <xf numFmtId="0" fontId="19" fillId="18" borderId="1" applyAlignment="1" pivotButton="0" quotePrefix="1" xfId="6">
      <alignment vertical="center"/>
    </xf>
    <xf numFmtId="0" fontId="16" fillId="4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2" fillId="14" borderId="1" applyAlignment="1" pivotButton="0" quotePrefix="0" xfId="0">
      <alignment vertical="center"/>
    </xf>
    <xf numFmtId="165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8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168" fontId="4" fillId="0" borderId="7" applyAlignment="1" pivotButton="0" quotePrefix="0" xfId="1">
      <alignment vertical="center"/>
    </xf>
    <xf numFmtId="168" fontId="4" fillId="0" borderId="6" applyAlignment="1" pivotButton="0" quotePrefix="0" xfId="1">
      <alignment vertical="center"/>
    </xf>
    <xf numFmtId="0" fontId="4" fillId="0" borderId="1" applyAlignment="1" pivotButton="0" quotePrefix="0" xfId="0">
      <alignment vertical="center"/>
    </xf>
    <xf numFmtId="9" fontId="4" fillId="0" borderId="1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164" fontId="22" fillId="6" borderId="8" applyAlignment="1" pivotButton="0" quotePrefix="0" xfId="0">
      <alignment vertical="center"/>
    </xf>
    <xf numFmtId="0" fontId="22" fillId="14" borderId="1" applyAlignment="1" pivotButton="0" quotePrefix="0" xfId="0">
      <alignment horizontal="center" vertical="center"/>
    </xf>
    <xf numFmtId="3" fontId="24" fillId="14" borderId="1" applyAlignment="1" pivotButton="0" quotePrefix="0" xfId="0">
      <alignment horizontal="center" vertical="center"/>
    </xf>
    <xf numFmtId="0" fontId="23" fillId="14" borderId="1" applyAlignment="1" pivotButton="0" quotePrefix="0" xfId="0">
      <alignment horizontal="center" vertical="center"/>
    </xf>
    <xf numFmtId="3" fontId="23" fillId="14" borderId="1" applyAlignment="1" pivotButton="0" quotePrefix="0" xfId="0">
      <alignment horizontal="center" vertical="center"/>
    </xf>
    <xf numFmtId="3" fontId="25" fillId="14" borderId="1" applyAlignment="1" pivotButton="0" quotePrefix="0" xfId="0">
      <alignment horizontal="center" vertical="center"/>
    </xf>
    <xf numFmtId="3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165" fontId="4" fillId="0" borderId="4" applyAlignment="1" pivotButton="0" quotePrefix="0" xfId="0">
      <alignment vertical="center"/>
    </xf>
    <xf numFmtId="165" fontId="8" fillId="7" borderId="1" applyAlignment="1" pivotButton="0" quotePrefix="0" xfId="0">
      <alignment horizontal="center" vertical="center"/>
    </xf>
    <xf numFmtId="4" fontId="23" fillId="16" borderId="1" applyAlignment="1" pivotButton="0" quotePrefix="0" xfId="0">
      <alignment horizontal="center" vertical="center"/>
    </xf>
    <xf numFmtId="165" fontId="8" fillId="8" borderId="1" applyAlignment="1" pivotButton="0" quotePrefix="0" xfId="0">
      <alignment horizontal="center" vertical="center"/>
    </xf>
    <xf numFmtId="165" fontId="8" fillId="9" borderId="1" applyAlignment="1" pivotButton="0" quotePrefix="0" xfId="0">
      <alignment horizontal="center" vertical="center"/>
    </xf>
    <xf numFmtId="165" fontId="8" fillId="10" borderId="1" applyAlignment="1" pivotButton="0" quotePrefix="0" xfId="0">
      <alignment horizontal="center" vertical="center"/>
    </xf>
    <xf numFmtId="165" fontId="8" fillId="11" borderId="1" applyAlignment="1" pivotButton="0" quotePrefix="0" xfId="0">
      <alignment horizontal="center" vertical="center"/>
    </xf>
    <xf numFmtId="165" fontId="8" fillId="12" borderId="1" applyAlignment="1" pivotButton="0" quotePrefix="0" xfId="0">
      <alignment horizontal="center" vertical="center"/>
    </xf>
    <xf numFmtId="169" fontId="4" fillId="0" borderId="0" applyAlignment="1" pivotButton="0" quotePrefix="0" xfId="0">
      <alignment vertical="center"/>
    </xf>
    <xf numFmtId="3" fontId="8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vertical="center" wrapText="1"/>
    </xf>
    <xf numFmtId="1" fontId="4" fillId="0" borderId="0" applyAlignment="1" pivotButton="0" quotePrefix="0" xfId="0">
      <alignment vertical="center"/>
    </xf>
    <xf numFmtId="4" fontId="4" fillId="0" borderId="0" applyAlignment="1" pivotButton="0" quotePrefix="0" xfId="0">
      <alignment vertical="center"/>
    </xf>
    <xf numFmtId="9" fontId="4" fillId="0" borderId="1" applyAlignment="1" pivotButton="0" quotePrefix="0" xfId="5">
      <alignment vertical="center"/>
    </xf>
    <xf numFmtId="0" fontId="18" fillId="0" borderId="0" applyAlignment="1" pivotButton="0" quotePrefix="0" xfId="0">
      <alignment vertical="center"/>
    </xf>
    <xf numFmtId="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3" fontId="8" fillId="0" borderId="0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27" fillId="18" borderId="1" applyAlignment="1" pivotButton="0" quotePrefix="0" xfId="6">
      <alignment vertical="center"/>
    </xf>
    <xf numFmtId="3" fontId="8" fillId="0" borderId="1" applyAlignment="1" pivotButton="0" quotePrefix="0" xfId="0">
      <alignment vertical="center"/>
    </xf>
    <xf numFmtId="0" fontId="26" fillId="2" borderId="1" applyAlignment="1" pivotButton="0" quotePrefix="0" xfId="2">
      <alignment vertical="center"/>
    </xf>
    <xf numFmtId="170" fontId="8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8" fontId="7" fillId="13" borderId="1" applyAlignment="1" pivotButton="0" quotePrefix="0" xfId="1">
      <alignment vertical="center"/>
    </xf>
    <xf numFmtId="168" fontId="22" fillId="0" borderId="2" applyAlignment="1" pivotButton="0" quotePrefix="0" xfId="0">
      <alignment vertical="center"/>
    </xf>
    <xf numFmtId="168" fontId="22" fillId="0" borderId="1" applyAlignment="1" pivotButton="0" quotePrefix="0" xfId="0">
      <alignment vertical="center"/>
    </xf>
    <xf numFmtId="164" fontId="22" fillId="5" borderId="1" applyAlignment="1" pivotButton="0" quotePrefix="0" xfId="0">
      <alignment horizontal="center" vertical="center"/>
    </xf>
    <xf numFmtId="0" fontId="4" fillId="13" borderId="1" applyAlignment="1" pivotButton="0" quotePrefix="0" xfId="0">
      <alignment vertical="center"/>
    </xf>
    <xf numFmtId="168" fontId="4" fillId="0" borderId="1" applyAlignment="1" pivotButton="0" quotePrefix="0" xfId="1">
      <alignment vertical="center"/>
    </xf>
    <xf numFmtId="168" fontId="30" fillId="13" borderId="1" applyAlignment="1" pivotButton="0" quotePrefix="0" xfId="1">
      <alignment vertical="center"/>
    </xf>
    <xf numFmtId="168" fontId="8" fillId="0" borderId="1" applyAlignment="1" pivotButton="0" quotePrefix="0" xfId="1">
      <alignment vertical="center"/>
    </xf>
    <xf numFmtId="168" fontId="4" fillId="0" borderId="0" applyAlignment="1" pivotButton="0" quotePrefix="0" xfId="0">
      <alignment vertical="center"/>
    </xf>
    <xf numFmtId="0" fontId="23" fillId="13" borderId="1" applyAlignment="1" pivotButton="0" quotePrefix="0" xfId="0">
      <alignment horizontal="center" vertical="center"/>
    </xf>
    <xf numFmtId="0" fontId="18" fillId="21" borderId="1" applyAlignment="1" pivotButton="0" quotePrefix="0" xfId="0">
      <alignment vertical="center"/>
    </xf>
    <xf numFmtId="9" fontId="4" fillId="21" borderId="1" applyAlignment="1" pivotButton="0" quotePrefix="0" xfId="0">
      <alignment vertical="center"/>
    </xf>
    <xf numFmtId="168" fontId="30" fillId="21" borderId="1" applyAlignment="1" pivotButton="0" quotePrefix="0" xfId="1">
      <alignment vertical="center"/>
    </xf>
    <xf numFmtId="9" fontId="23" fillId="0" borderId="1" applyAlignment="1" pivotButton="0" quotePrefix="0" xfId="0">
      <alignment vertical="center"/>
    </xf>
    <xf numFmtId="168" fontId="17" fillId="22" borderId="1" applyAlignment="1" pivotButton="0" quotePrefix="0" xfId="0">
      <alignment vertical="center"/>
    </xf>
    <xf numFmtId="0" fontId="29" fillId="13" borderId="1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165" fontId="29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28" fillId="0" borderId="1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9" fillId="3" borderId="0" applyAlignment="1" pivotButton="0" quotePrefix="0" xfId="3">
      <alignment vertical="center"/>
    </xf>
    <xf numFmtId="0" fontId="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8" fontId="9" fillId="13" borderId="1" applyAlignment="1" pivotButton="0" quotePrefix="0" xfId="0">
      <alignment vertical="center"/>
    </xf>
    <xf numFmtId="168" fontId="9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22" borderId="1" applyAlignment="1" pivotButton="0" quotePrefix="0" xfId="0">
      <alignment vertical="center"/>
    </xf>
    <xf numFmtId="3" fontId="4" fillId="22" borderId="1" applyAlignment="1" pivotButton="0" quotePrefix="0" xfId="0">
      <alignment vertical="center"/>
    </xf>
    <xf numFmtId="0" fontId="22" fillId="0" borderId="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171" fontId="23" fillId="13" borderId="1" applyAlignment="1" pivotButton="0" quotePrefix="0" xfId="0">
      <alignment vertical="center"/>
    </xf>
    <xf numFmtId="3" fontId="22" fillId="13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vertical="center"/>
    </xf>
    <xf numFmtId="9" fontId="4" fillId="0" borderId="0" applyAlignment="1" pivotButton="0" quotePrefix="0" xfId="0">
      <alignment vertical="center"/>
    </xf>
    <xf numFmtId="0" fontId="22" fillId="21" borderId="1" applyAlignment="1" pivotButton="0" quotePrefix="0" xfId="0">
      <alignment horizontal="center" vertical="center"/>
    </xf>
    <xf numFmtId="168" fontId="22" fillId="0" borderId="1" applyAlignment="1" pivotButton="0" quotePrefix="0" xfId="1">
      <alignment vertical="center"/>
    </xf>
    <xf numFmtId="10" fontId="4" fillId="0" borderId="1" applyAlignment="1" pivotButton="0" quotePrefix="0" xfId="0">
      <alignment horizontal="left" vertical="center"/>
    </xf>
    <xf numFmtId="168" fontId="23" fillId="16" borderId="1" applyAlignment="1" pivotButton="0" quotePrefix="0" xfId="0">
      <alignment vertical="center"/>
    </xf>
    <xf numFmtId="9" fontId="16" fillId="15" borderId="1" applyAlignment="1" pivotButton="0" quotePrefix="0" xfId="0">
      <alignment vertical="center"/>
    </xf>
    <xf numFmtId="168" fontId="4" fillId="23" borderId="1" applyAlignment="1" pivotButton="0" quotePrefix="0" xfId="1">
      <alignment vertical="center"/>
    </xf>
    <xf numFmtId="168" fontId="31" fillId="23" borderId="1" applyAlignment="1" pivotButton="0" quotePrefix="0" xfId="1">
      <alignment vertical="center"/>
    </xf>
    <xf numFmtId="168" fontId="17" fillId="16" borderId="6" applyAlignment="1" pivotButton="0" quotePrefix="0" xfId="1">
      <alignment vertical="center"/>
    </xf>
    <xf numFmtId="168" fontId="4" fillId="24" borderId="1" applyAlignment="1" pivotButton="0" quotePrefix="0" xfId="1">
      <alignment vertical="center"/>
    </xf>
    <xf numFmtId="0" fontId="23" fillId="14" borderId="1" applyAlignment="1" pivotButton="0" quotePrefix="0" xfId="0">
      <alignment vertical="center"/>
    </xf>
    <xf numFmtId="0" fontId="16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8" fontId="8" fillId="0" borderId="1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3" fontId="1" fillId="20" borderId="1" applyAlignment="1" pivotButton="0" quotePrefix="0" xfId="8">
      <alignment horizontal="center" vertical="center"/>
    </xf>
    <xf numFmtId="0" fontId="1" fillId="25" borderId="1" applyAlignment="1" pivotButton="0" quotePrefix="0" xfId="9">
      <alignment vertical="center"/>
    </xf>
    <xf numFmtId="0" fontId="1" fillId="26" borderId="1" applyAlignment="1" pivotButton="0" quotePrefix="0" xfId="10">
      <alignment vertical="center"/>
    </xf>
    <xf numFmtId="9" fontId="30" fillId="13" borderId="1" applyAlignment="1" pivotButton="0" quotePrefix="0" xfId="1">
      <alignment vertical="center"/>
    </xf>
    <xf numFmtId="9" fontId="8" fillId="0" borderId="1" applyAlignment="1" pivotButton="0" quotePrefix="0" xfId="1">
      <alignment vertical="center"/>
    </xf>
    <xf numFmtId="0" fontId="32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3" fontId="22" fillId="5" borderId="1" applyAlignment="1" pivotButton="0" quotePrefix="0" xfId="0">
      <alignment horizontal="left" vertical="center"/>
    </xf>
    <xf numFmtId="3" fontId="0" fillId="0" borderId="1" applyAlignment="1" pivotButton="0" quotePrefix="0" xfId="0">
      <alignment vertical="center"/>
    </xf>
    <xf numFmtId="0" fontId="33" fillId="27" borderId="1" applyAlignment="1" pivotButton="0" quotePrefix="0" xfId="11">
      <alignment vertical="center"/>
    </xf>
    <xf numFmtId="0" fontId="4" fillId="0" borderId="0" applyAlignment="1" pivotButton="0" quotePrefix="0" xfId="0">
      <alignment horizontal="right" vertical="center"/>
    </xf>
    <xf numFmtId="3" fontId="33" fillId="27" borderId="1" applyAlignment="1" pivotButton="0" quotePrefix="0" xfId="11">
      <alignment vertical="center"/>
    </xf>
    <xf numFmtId="0" fontId="33" fillId="27" borderId="1" applyAlignment="1" pivotButton="0" quotePrefix="0" xfId="11">
      <alignment horizontal="center" vertical="center"/>
    </xf>
    <xf numFmtId="3" fontId="33" fillId="27" borderId="3" applyAlignment="1" pivotButton="0" quotePrefix="0" xfId="11">
      <alignment vertical="center"/>
    </xf>
    <xf numFmtId="4" fontId="33" fillId="27" borderId="1" applyAlignment="1" pivotButton="0" quotePrefix="0" xfId="11">
      <alignment horizontal="center" vertical="center"/>
    </xf>
    <xf numFmtId="0" fontId="0" fillId="0" borderId="0" pivotButton="0" quotePrefix="0" xfId="0"/>
    <xf numFmtId="170" fontId="8" fillId="0" borderId="1" applyAlignment="1" pivotButton="0" quotePrefix="0" xfId="0">
      <alignment vertical="center"/>
    </xf>
    <xf numFmtId="168" fontId="8" fillId="0" borderId="1" applyAlignment="1" pivotButton="0" quotePrefix="0" xfId="0">
      <alignment vertical="center"/>
    </xf>
    <xf numFmtId="168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horizontal="center" vertical="center"/>
    </xf>
    <xf numFmtId="165" fontId="29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8" fontId="22" fillId="0" borderId="2" applyAlignment="1" pivotButton="0" quotePrefix="0" xfId="0">
      <alignment vertical="center"/>
    </xf>
    <xf numFmtId="168" fontId="22" fillId="0" borderId="1" applyAlignment="1" pivotButton="0" quotePrefix="0" xfId="0">
      <alignment vertical="center"/>
    </xf>
    <xf numFmtId="168" fontId="4" fillId="0" borderId="7" applyAlignment="1" pivotButton="0" quotePrefix="0" xfId="1">
      <alignment vertical="center"/>
    </xf>
    <xf numFmtId="168" fontId="4" fillId="0" borderId="6" applyAlignment="1" pivotButton="0" quotePrefix="0" xfId="1">
      <alignment vertical="center"/>
    </xf>
    <xf numFmtId="164" fontId="6" fillId="5" borderId="1" applyAlignment="1" pivotButton="0" quotePrefix="0" xfId="0">
      <alignment horizontal="center" vertical="center"/>
    </xf>
    <xf numFmtId="164" fontId="22" fillId="5" borderId="1" applyAlignment="1" pivotButton="0" quotePrefix="0" xfId="0">
      <alignment horizontal="center" vertical="center"/>
    </xf>
    <xf numFmtId="164" fontId="22" fillId="6" borderId="8" applyAlignment="1" pivotButton="0" quotePrefix="0" xfId="0">
      <alignment vertical="center"/>
    </xf>
    <xf numFmtId="165" fontId="4" fillId="0" borderId="4" applyAlignment="1" pivotButton="0" quotePrefix="0" xfId="0">
      <alignment vertical="center"/>
    </xf>
    <xf numFmtId="165" fontId="8" fillId="7" borderId="1" applyAlignment="1" pivotButton="0" quotePrefix="0" xfId="0">
      <alignment horizontal="center" vertical="center"/>
    </xf>
    <xf numFmtId="165" fontId="8" fillId="8" borderId="1" applyAlignment="1" pivotButton="0" quotePrefix="0" xfId="0">
      <alignment horizontal="center" vertical="center"/>
    </xf>
    <xf numFmtId="165" fontId="8" fillId="9" borderId="1" applyAlignment="1" pivotButton="0" quotePrefix="0" xfId="0">
      <alignment horizontal="center" vertical="center"/>
    </xf>
    <xf numFmtId="165" fontId="8" fillId="10" borderId="1" applyAlignment="1" pivotButton="0" quotePrefix="0" xfId="0">
      <alignment horizontal="center" vertical="center"/>
    </xf>
    <xf numFmtId="165" fontId="8" fillId="11" borderId="1" applyAlignment="1" pivotButton="0" quotePrefix="0" xfId="0">
      <alignment horizontal="center" vertical="center"/>
    </xf>
    <xf numFmtId="165" fontId="7" fillId="0" borderId="0" applyAlignment="1" pivotButton="0" quotePrefix="0" xfId="0">
      <alignment vertical="center"/>
    </xf>
    <xf numFmtId="165" fontId="8" fillId="12" borderId="1" applyAlignment="1" pivotButton="0" quotePrefix="0" xfId="0">
      <alignment horizontal="center" vertical="center"/>
    </xf>
    <xf numFmtId="168" fontId="9" fillId="13" borderId="1" applyAlignment="1" pivotButton="0" quotePrefix="0" xfId="0">
      <alignment vertical="center"/>
    </xf>
    <xf numFmtId="168" fontId="9" fillId="0" borderId="1" applyAlignment="1" pivotButton="0" quotePrefix="0" xfId="0">
      <alignment vertical="center"/>
    </xf>
    <xf numFmtId="169" fontId="4" fillId="0" borderId="0" applyAlignment="1" pivotButton="0" quotePrefix="0" xfId="0">
      <alignment vertical="center"/>
    </xf>
    <xf numFmtId="169" fontId="4" fillId="0" borderId="0" applyAlignment="1" pivotButton="0" quotePrefix="0" xfId="0">
      <alignment vertical="center" wrapText="1"/>
    </xf>
    <xf numFmtId="168" fontId="4" fillId="0" borderId="1" applyAlignment="1" pivotButton="0" quotePrefix="0" xfId="0">
      <alignment vertical="center"/>
    </xf>
    <xf numFmtId="171" fontId="23" fillId="13" borderId="1" applyAlignment="1" pivotButton="0" quotePrefix="0" xfId="0">
      <alignment vertical="center"/>
    </xf>
    <xf numFmtId="168" fontId="30" fillId="13" borderId="1" applyAlignment="1" pivotButton="0" quotePrefix="0" xfId="1">
      <alignment vertical="center"/>
    </xf>
    <xf numFmtId="168" fontId="8" fillId="0" borderId="1" applyAlignment="1" pivotButton="0" quotePrefix="0" xfId="1">
      <alignment vertical="center"/>
    </xf>
    <xf numFmtId="168" fontId="7" fillId="13" borderId="1" applyAlignment="1" pivotButton="0" quotePrefix="0" xfId="1">
      <alignment vertical="center"/>
    </xf>
    <xf numFmtId="168" fontId="30" fillId="21" borderId="1" applyAlignment="1" pivotButton="0" quotePrefix="0" xfId="1">
      <alignment vertical="center"/>
    </xf>
    <xf numFmtId="168" fontId="22" fillId="0" borderId="1" applyAlignment="1" pivotButton="0" quotePrefix="0" xfId="1">
      <alignment vertical="center"/>
    </xf>
    <xf numFmtId="168" fontId="4" fillId="0" borderId="1" applyAlignment="1" pivotButton="0" quotePrefix="0" xfId="1">
      <alignment vertical="center"/>
    </xf>
    <xf numFmtId="168" fontId="17" fillId="22" borderId="1" applyAlignment="1" pivotButton="0" quotePrefix="0" xfId="0">
      <alignment vertical="center"/>
    </xf>
    <xf numFmtId="168" fontId="23" fillId="16" borderId="1" applyAlignment="1" pivotButton="0" quotePrefix="0" xfId="0">
      <alignment vertical="center"/>
    </xf>
    <xf numFmtId="168" fontId="17" fillId="16" borderId="6" applyAlignment="1" pivotButton="0" quotePrefix="0" xfId="1">
      <alignment vertical="center"/>
    </xf>
    <xf numFmtId="168" fontId="4" fillId="23" borderId="1" applyAlignment="1" pivotButton="0" quotePrefix="0" xfId="1">
      <alignment vertical="center"/>
    </xf>
    <xf numFmtId="168" fontId="31" fillId="23" borderId="1" applyAlignment="1" pivotButton="0" quotePrefix="0" xfId="1">
      <alignment vertical="center"/>
    </xf>
    <xf numFmtId="168" fontId="4" fillId="24" borderId="1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0" fontId="34" fillId="28" borderId="0" applyAlignment="1" pivotButton="0" quotePrefix="0" xfId="0">
      <alignment horizontal="center" vertical="center"/>
    </xf>
  </cellXfs>
  <cellStyles count="12">
    <cellStyle name="표준" xfId="0" builtinId="0"/>
    <cellStyle name="쉼표 [0]" xfId="1" builtinId="6"/>
    <cellStyle name="나쁨" xfId="2" builtinId="27"/>
    <cellStyle name="40% - 강조색5" xfId="3" builtinId="47"/>
    <cellStyle name="쉼표 [0] 2" xfId="4"/>
    <cellStyle name="백분율" xfId="5" builtinId="5"/>
    <cellStyle name="보통" xfId="6" builtinId="28"/>
    <cellStyle name="강조색2" xfId="7" builtinId="33"/>
    <cellStyle name="40% - 강조색3" xfId="8" builtinId="39"/>
    <cellStyle name="60% - 강조색2" xfId="9" builtinId="36"/>
    <cellStyle name="60% - 강조색3" xfId="10" builtinId="40"/>
    <cellStyle name="좋음" xfId="11" builtinId="2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00FF"/>
    <outlinePr summaryBelow="1" summaryRight="1"/>
    <pageSetUpPr/>
  </sheetPr>
  <dimension ref="A1:AC58"/>
  <sheetViews>
    <sheetView workbookViewId="0">
      <selection activeCell="M12" sqref="M12"/>
    </sheetView>
  </sheetViews>
  <sheetFormatPr baseColWidth="8" defaultRowHeight="13.5"/>
  <cols>
    <col width="14" customWidth="1" style="143" min="1" max="1"/>
    <col width="12.75" customWidth="1" style="143" min="2" max="2"/>
    <col width="10.25" bestFit="1" customWidth="1" style="143" min="3" max="3"/>
    <col width="9" customWidth="1" style="143" min="4" max="6"/>
    <col width="10.25" bestFit="1" customWidth="1" style="143" min="7" max="7"/>
    <col width="8.375" bestFit="1" customWidth="1" style="143" min="8" max="11"/>
    <col width="14.625" bestFit="1" customWidth="1" style="143" min="12" max="12"/>
    <col width="11.25" bestFit="1" customWidth="1" style="143" min="13" max="17"/>
    <col width="9" customWidth="1" style="143" min="18" max="16384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A2" s="156" t="inlineStr">
        <is>
          <t>A.</t>
        </is>
      </c>
      <c r="B2" s="143" t="inlineStr">
        <is>
          <t>This bingo table was created with values derived from running the bingo simulator with assistance from the development team.</t>
        </is>
      </c>
    </row>
    <row r="3">
      <c r="A3" s="156" t="inlineStr">
        <is>
          <t>B.</t>
        </is>
      </c>
      <c r="B3" s="143" t="inlineStr">
        <is>
          <t>The Live Server sheet contains data to be delivered to the server development team.</t>
        </is>
      </c>
    </row>
    <row r="4">
      <c r="A4" s="156" t="inlineStr">
        <is>
          <t>C.</t>
        </is>
      </c>
      <c r="B4" s="143" t="inlineStr">
        <is>
          <t>The Control Panel sheet is used by the design team to adjust various expected values.</t>
        </is>
      </c>
    </row>
    <row r="5">
      <c r="A5" s="156" t="inlineStr">
        <is>
          <t>D.</t>
        </is>
      </c>
      <c r="B5" s="143" t="inlineStr">
        <is>
          <t>The Diamond Exchange sheet shows expected values for diamond conversion in the bingo event.</t>
        </is>
      </c>
    </row>
    <row r="6">
      <c r="A6" s="156" t="inlineStr">
        <is>
          <t>E.</t>
        </is>
      </c>
      <c r="B6" s="143" t="inlineStr">
        <is>
          <t>The Simulator sheet is auto-populated with values needed to run the simulator provided by the dev team.</t>
        </is>
      </c>
    </row>
    <row r="7">
      <c r="A7" s="156" t="inlineStr">
        <is>
          <t>F.</t>
        </is>
      </c>
      <c r="B7" s="143" t="inlineStr">
        <is>
          <t>Subsequent sheets are for reference.</t>
        </is>
      </c>
    </row>
    <row r="8">
      <c r="A8" s="156" t="inlineStr">
        <is>
          <t>G.</t>
        </is>
      </c>
      <c r="B8" s="143" t="inlineStr">
        <is>
          <t>Below are aggregated result values.</t>
        </is>
      </c>
    </row>
    <row r="9">
      <c r="A9" s="156" t="n"/>
    </row>
    <row r="10">
      <c r="A10" s="156" t="n"/>
    </row>
    <row r="11">
      <c r="A11" s="143" t="inlineStr">
        <is>
          <t>Daily Expected Value by Bet Range (Based on 3,000 Spins)</t>
        </is>
      </c>
    </row>
    <row r="12">
      <c r="A12" s="84" t="n">
        <v>1</v>
      </c>
      <c r="B12" s="85">
        <f>'Control Panel'!M90</f>
        <v/>
      </c>
    </row>
    <row r="13">
      <c r="A13" s="84" t="n">
        <v>2</v>
      </c>
      <c r="B13" s="85">
        <f>'Control Panel'!N90</f>
        <v/>
      </c>
    </row>
    <row r="14">
      <c r="A14" s="84" t="n">
        <v>3</v>
      </c>
      <c r="B14" s="85">
        <f>'Control Panel'!O90</f>
        <v/>
      </c>
    </row>
    <row r="15">
      <c r="A15" s="84" t="n">
        <v>4</v>
      </c>
      <c r="B15" s="85">
        <f>'Control Panel'!P90</f>
        <v/>
      </c>
    </row>
    <row r="16" ht="16.5" customHeight="1" s="161">
      <c r="A16" s="84" t="n">
        <v>5</v>
      </c>
      <c r="B16" s="85">
        <f>'Control Panel'!Q90</f>
        <v/>
      </c>
    </row>
    <row r="17" ht="16.5" customHeight="1" s="161">
      <c r="F17" s="0" t="n"/>
      <c r="G17" s="0">
        <f>_!O12</f>
        <v/>
      </c>
      <c r="H17" s="0" t="n"/>
      <c r="I17" s="0" t="n"/>
      <c r="J17" s="0" t="n"/>
      <c r="K17" s="0" t="n"/>
    </row>
    <row r="18" ht="16.5" customHeight="1" s="161">
      <c r="A18" s="86" t="inlineStr">
        <is>
          <t>Based on 3000 Spins</t>
        </is>
      </c>
      <c r="C18" s="143" t="n">
        <v>13</v>
      </c>
      <c r="D18" s="56" t="inlineStr">
        <is>
          <t>Diamondmond</t>
        </is>
      </c>
      <c r="F18" s="31">
        <f>_!N13</f>
        <v/>
      </c>
      <c r="G18" s="38">
        <f>_!O13</f>
        <v/>
      </c>
      <c r="H18" s="38">
        <f>_!P13</f>
        <v/>
      </c>
      <c r="I18" s="38">
        <f>_!Q13</f>
        <v/>
      </c>
      <c r="J18" s="38">
        <f>_!R13</f>
        <v/>
      </c>
      <c r="K18" s="38">
        <f>_!S13</f>
        <v/>
      </c>
    </row>
    <row r="19" ht="16.5" customHeight="1" s="161">
      <c r="A19" s="86" t="inlineStr">
        <is>
          <t>Bingo Level</t>
        </is>
      </c>
      <c r="B19" s="86" t="inlineStr">
        <is>
          <t>Avg Bingo Prize</t>
        </is>
      </c>
      <c r="C19" s="145" t="inlineStr">
        <is>
          <t>Amount per Symbol</t>
        </is>
      </c>
      <c r="D19" s="86" t="inlineStr">
        <is>
          <t>Clear Reward</t>
        </is>
      </c>
      <c r="F19" s="43">
        <f>_!N14</f>
        <v/>
      </c>
      <c r="G19" s="31">
        <f>_!O14</f>
        <v/>
      </c>
      <c r="H19" s="31">
        <f>_!P14</f>
        <v/>
      </c>
      <c r="I19" s="31">
        <f>_!Q14</f>
        <v/>
      </c>
      <c r="J19" s="31">
        <f>_!R14</f>
        <v/>
      </c>
      <c r="K19" s="31">
        <f>_!S14</f>
        <v/>
      </c>
    </row>
    <row r="20" ht="16.5" customHeight="1" s="161">
      <c r="A20" s="87" t="n">
        <v>1</v>
      </c>
      <c r="B20" s="130" t="n">
        <v>435515.2243589744</v>
      </c>
      <c r="C20" s="88">
        <f>B19/$C$17</f>
        <v/>
      </c>
      <c r="D20" s="86" t="n">
        <v>20</v>
      </c>
      <c r="F20" s="37">
        <f>_!N15</f>
        <v/>
      </c>
      <c r="G20" s="31">
        <f>_!O15</f>
        <v/>
      </c>
      <c r="H20" s="31">
        <f>_!P15</f>
        <v/>
      </c>
      <c r="I20" s="31">
        <f>_!Q15</f>
        <v/>
      </c>
      <c r="J20" s="31">
        <f>_!R15</f>
        <v/>
      </c>
      <c r="K20" s="31">
        <f>_!S15</f>
        <v/>
      </c>
    </row>
    <row r="21" ht="16.5" customHeight="1" s="161">
      <c r="A21" s="87" t="n">
        <v>2</v>
      </c>
      <c r="B21" s="88" t="n">
        <v>871030.4487179487</v>
      </c>
      <c r="C21" s="88">
        <f>B20/$C$17</f>
        <v/>
      </c>
      <c r="D21" s="86" t="n">
        <v>30</v>
      </c>
      <c r="F21" s="37">
        <f>_!N16</f>
        <v/>
      </c>
      <c r="G21" s="31">
        <f>_!O16</f>
        <v/>
      </c>
      <c r="H21" s="31">
        <f>_!P16</f>
        <v/>
      </c>
      <c r="I21" s="31">
        <f>_!Q16</f>
        <v/>
      </c>
      <c r="J21" s="31">
        <f>_!R16</f>
        <v/>
      </c>
      <c r="K21" s="31">
        <f>_!S16</f>
        <v/>
      </c>
    </row>
    <row r="22" ht="16.5" customHeight="1" s="161">
      <c r="A22" s="87" t="n">
        <v>3</v>
      </c>
      <c r="B22" s="88" t="n">
        <v>1306545.673076923</v>
      </c>
      <c r="C22" s="88">
        <f>B21/$C$17</f>
        <v/>
      </c>
      <c r="D22" s="86" t="n">
        <v>40</v>
      </c>
      <c r="F22" s="37">
        <f>_!N17</f>
        <v/>
      </c>
      <c r="G22" s="31">
        <f>_!O17</f>
        <v/>
      </c>
      <c r="H22" s="31">
        <f>_!P17</f>
        <v/>
      </c>
      <c r="I22" s="31">
        <f>_!Q17</f>
        <v/>
      </c>
      <c r="J22" s="31">
        <f>_!R17</f>
        <v/>
      </c>
      <c r="K22" s="31">
        <f>_!S17</f>
        <v/>
      </c>
    </row>
    <row r="23" ht="16.5" customHeight="1" s="161">
      <c r="A23" s="87" t="n">
        <v>4</v>
      </c>
      <c r="B23" s="88" t="n">
        <v>2177576.121794872</v>
      </c>
      <c r="C23" s="88">
        <f>B22/$C$17</f>
        <v/>
      </c>
      <c r="D23" s="86" t="n">
        <v>60</v>
      </c>
      <c r="F23" s="37">
        <f>_!N18</f>
        <v/>
      </c>
      <c r="G23" s="31">
        <f>_!O18</f>
        <v/>
      </c>
      <c r="H23" s="31">
        <f>_!P18</f>
        <v/>
      </c>
      <c r="I23" s="31">
        <f>_!Q18</f>
        <v/>
      </c>
      <c r="J23" s="31">
        <f>_!R18</f>
        <v/>
      </c>
      <c r="K23" s="31">
        <f>_!S18</f>
        <v/>
      </c>
    </row>
    <row r="24" ht="16.5" customHeight="1" s="161">
      <c r="A24" s="87" t="n">
        <v>5</v>
      </c>
      <c r="B24" s="88" t="n">
        <v>2613091.346153846</v>
      </c>
      <c r="C24" s="88">
        <f>B23/$C$17</f>
        <v/>
      </c>
      <c r="D24" s="86" t="n">
        <v>70</v>
      </c>
      <c r="F24" s="37">
        <f>_!N19</f>
        <v/>
      </c>
      <c r="G24" s="31">
        <f>_!O19</f>
        <v/>
      </c>
      <c r="H24" s="31">
        <f>_!P19</f>
        <v/>
      </c>
      <c r="I24" s="31">
        <f>_!Q19</f>
        <v/>
      </c>
      <c r="J24" s="31">
        <f>_!R19</f>
        <v/>
      </c>
      <c r="K24" s="31">
        <f>_!S19</f>
        <v/>
      </c>
    </row>
    <row r="25" ht="16.5" customHeight="1" s="161">
      <c r="A25" s="87" t="n">
        <v>6</v>
      </c>
      <c r="B25" s="88" t="n">
        <v>3048606.570512821</v>
      </c>
      <c r="C25" s="88">
        <f>B24/$C$17</f>
        <v/>
      </c>
      <c r="D25" s="86" t="n">
        <v>100</v>
      </c>
      <c r="F25" s="37">
        <f>_!N20</f>
        <v/>
      </c>
      <c r="G25" s="31">
        <f>_!O20</f>
        <v/>
      </c>
      <c r="H25" s="31">
        <f>_!P20</f>
        <v/>
      </c>
      <c r="I25" s="31">
        <f>_!Q20</f>
        <v/>
      </c>
      <c r="J25" s="31">
        <f>_!R20</f>
        <v/>
      </c>
      <c r="K25" s="31">
        <f>_!S20</f>
        <v/>
      </c>
    </row>
    <row r="26" ht="16.5" customHeight="1" s="161">
      <c r="A26" s="87" t="n">
        <v>7</v>
      </c>
      <c r="B26" s="88" t="n">
        <v>3484121.794871795</v>
      </c>
      <c r="C26" s="88">
        <f>B25/$C$17</f>
        <v/>
      </c>
      <c r="D26" s="86" t="n">
        <v>150</v>
      </c>
      <c r="F26" s="37">
        <f>_!N21</f>
        <v/>
      </c>
      <c r="G26" s="31">
        <f>_!O21</f>
        <v/>
      </c>
      <c r="H26" s="31">
        <f>_!P21</f>
        <v/>
      </c>
      <c r="I26" s="31">
        <f>_!Q21</f>
        <v/>
      </c>
      <c r="J26" s="31">
        <f>_!R21</f>
        <v/>
      </c>
      <c r="K26" s="31">
        <f>_!S21</f>
        <v/>
      </c>
    </row>
    <row r="27">
      <c r="A27" s="87" t="n">
        <v>8</v>
      </c>
      <c r="B27" s="88" t="n">
        <v>4355152.243589744</v>
      </c>
      <c r="C27" s="88">
        <f>B26/$C$17</f>
        <v/>
      </c>
      <c r="D27" s="86" t="n">
        <v>200</v>
      </c>
      <c r="F27" s="56">
        <f>_!N22</f>
        <v/>
      </c>
      <c r="G27" s="155">
        <f>_!O22</f>
        <v/>
      </c>
      <c r="H27" s="155">
        <f>_!P22</f>
        <v/>
      </c>
      <c r="I27" s="155">
        <f>_!Q22</f>
        <v/>
      </c>
      <c r="J27" s="155">
        <f>_!R22</f>
        <v/>
      </c>
      <c r="K27" s="155">
        <f>_!S22</f>
        <v/>
      </c>
    </row>
    <row r="28">
      <c r="F28" s="131">
        <f>_!G19</f>
        <v/>
      </c>
      <c r="G28" s="52">
        <f>_!H19</f>
        <v/>
      </c>
      <c r="H28" s="52">
        <f>_!I19</f>
        <v/>
      </c>
      <c r="I28" s="52">
        <f>_!J19</f>
        <v/>
      </c>
      <c r="J28" s="52">
        <f>_!K19</f>
        <v/>
      </c>
      <c r="K28" s="52">
        <f>_!L19</f>
        <v/>
      </c>
      <c r="L28" s="143" t="inlineStr">
        <is>
          <t>Base Coin</t>
        </is>
      </c>
    </row>
    <row r="29">
      <c r="F29" s="131" t="n"/>
      <c r="G29" s="52">
        <f>_!H20</f>
        <v/>
      </c>
      <c r="H29" s="52">
        <f>_!I20</f>
        <v/>
      </c>
      <c r="I29" s="52">
        <f>_!J20</f>
        <v/>
      </c>
      <c r="J29" s="52">
        <f>_!K20</f>
        <v/>
      </c>
      <c r="K29" s="52">
        <f>_!L20</f>
        <v/>
      </c>
      <c r="L29" s="143" t="inlineStr">
        <is>
          <t>Bingo Coin Expected Value</t>
        </is>
      </c>
    </row>
    <row r="30">
      <c r="F30" s="131" t="n"/>
      <c r="G30" s="52">
        <f>_!H21</f>
        <v/>
      </c>
      <c r="H30" s="52">
        <f>_!I21</f>
        <v/>
      </c>
      <c r="I30" s="52">
        <f>_!J21</f>
        <v/>
      </c>
      <c r="J30" s="52">
        <f>_!K21</f>
        <v/>
      </c>
      <c r="K30" s="52">
        <f>_!L21</f>
        <v/>
      </c>
      <c r="L30" s="143" t="inlineStr">
        <is>
          <t>Total</t>
        </is>
      </c>
    </row>
    <row r="31">
      <c r="F31" s="131" t="n"/>
      <c r="G31" s="131">
        <f>_!H22</f>
        <v/>
      </c>
      <c r="H31" s="131">
        <f>_!I22</f>
        <v/>
      </c>
      <c r="I31" s="131">
        <f>_!J22</f>
        <v/>
      </c>
      <c r="J31" s="131">
        <f>_!K22</f>
        <v/>
      </c>
      <c r="K31" s="131">
        <f>_!L22</f>
        <v/>
      </c>
    </row>
    <row r="32">
      <c r="F32" s="131">
        <f>_!G23</f>
        <v/>
      </c>
      <c r="G32" s="130">
        <f>_!H23</f>
        <v/>
      </c>
      <c r="H32" s="130" t="n"/>
      <c r="I32" s="130" t="n"/>
      <c r="J32" s="130" t="n"/>
      <c r="K32" s="130" t="n"/>
    </row>
    <row r="34" ht="16.5" customHeight="1" s="161">
      <c r="A34" s="143" t="inlineStr">
        <is>
          <t>Added to Prize Window Diamond Composition</t>
        </is>
      </c>
      <c r="C34" s="131" t="n"/>
      <c r="L34" s="143" t="inlineStr">
        <is>
          <t>Bingo Position Expected Value</t>
        </is>
      </c>
    </row>
    <row r="35">
      <c r="A35" s="56" t="inlineStr">
        <is>
          <t>Prize</t>
        </is>
      </c>
      <c r="B35" s="56" t="inlineStr">
        <is>
          <t>Count</t>
        </is>
      </c>
      <c r="C35" s="56" t="inlineStr">
        <is>
          <t>Expected Value</t>
        </is>
      </c>
      <c r="D35" s="56" t="inlineStr">
        <is>
          <t>C1</t>
        </is>
      </c>
      <c r="E35" s="56" t="inlineStr">
        <is>
          <t>C2</t>
        </is>
      </c>
      <c r="F35" s="56" t="inlineStr">
        <is>
          <t>C3</t>
        </is>
      </c>
      <c r="G35" s="56" t="inlineStr">
        <is>
          <t>C4</t>
        </is>
      </c>
      <c r="H35" s="56" t="inlineStr">
        <is>
          <t>C5</t>
        </is>
      </c>
      <c r="I35" s="56" t="inlineStr">
        <is>
          <t>C6</t>
        </is>
      </c>
      <c r="J35" s="56" t="inlineStr">
        <is>
          <t>C7</t>
        </is>
      </c>
      <c r="L35" s="86">
        <f>_!N2</f>
        <v/>
      </c>
      <c r="M35" s="89">
        <f>_!O2</f>
        <v/>
      </c>
      <c r="N35" s="89">
        <f>_!P2</f>
        <v/>
      </c>
      <c r="O35" s="89">
        <f>_!Q2</f>
        <v/>
      </c>
      <c r="P35" s="89">
        <f>_!R2</f>
        <v/>
      </c>
      <c r="Q35" s="89">
        <f>_!S2</f>
        <v/>
      </c>
      <c r="R35" s="143" t="inlineStr">
        <is>
          <t>Multi</t>
        </is>
      </c>
      <c r="T35" s="146">
        <f>'Control Panel'!M9</f>
        <v/>
      </c>
      <c r="U35" s="146">
        <f>'Control Panel'!N9</f>
        <v/>
      </c>
      <c r="V35" s="146">
        <f>'Control Panel'!O9</f>
        <v/>
      </c>
      <c r="W35" s="146">
        <f>'Control Panel'!P9</f>
        <v/>
      </c>
      <c r="X35" s="146">
        <f>'Control Panel'!Q9</f>
        <v/>
      </c>
      <c r="Y35" s="146">
        <f>'Control Panel'!R9</f>
        <v/>
      </c>
      <c r="Z35" s="146">
        <f>'Control Panel'!S9</f>
        <v/>
      </c>
      <c r="AA35" s="146">
        <f>'Control Panel'!T9</f>
        <v/>
      </c>
      <c r="AB35" s="146">
        <f>'Control Panel'!U9</f>
        <v/>
      </c>
      <c r="AC35" s="130" t="n"/>
    </row>
    <row r="36">
      <c r="A36" s="162" t="inlineStr">
        <is>
          <t>Unreleased</t>
        </is>
      </c>
      <c r="B36" s="162" t="inlineStr">
        <is>
          <t>Unreleased</t>
        </is>
      </c>
      <c r="C36" s="162" t="inlineStr">
        <is>
          <t>Unreleased</t>
        </is>
      </c>
      <c r="D36" s="162" t="inlineStr">
        <is>
          <t>Unreleased</t>
        </is>
      </c>
      <c r="E36" s="162" t="inlineStr">
        <is>
          <t>Unreleased</t>
        </is>
      </c>
      <c r="F36" s="162" t="inlineStr">
        <is>
          <t>Unreleased</t>
        </is>
      </c>
      <c r="G36" s="162" t="inlineStr">
        <is>
          <t>Unreleased</t>
        </is>
      </c>
      <c r="H36" s="162" t="inlineStr">
        <is>
          <t>Unreleased</t>
        </is>
      </c>
      <c r="I36" s="162" t="inlineStr">
        <is>
          <t>Unreleased</t>
        </is>
      </c>
      <c r="J36" s="162" t="inlineStr">
        <is>
          <t>Unreleased</t>
        </is>
      </c>
      <c r="L36" s="87">
        <f>_!N3</f>
        <v/>
      </c>
      <c r="M36" s="88">
        <f>'Control Panel'!AA19</f>
        <v/>
      </c>
      <c r="N36" s="163">
        <f>'Control Panel'!AA34</f>
        <v/>
      </c>
      <c r="O36" s="163">
        <f>'Control Panel'!AA49</f>
        <v/>
      </c>
      <c r="P36" s="163">
        <f>'Control Panel'!AA64</f>
        <v/>
      </c>
      <c r="Q36" s="163">
        <f>'Control Panel'!AA79</f>
        <v/>
      </c>
      <c r="R36" s="79">
        <f>'Control Panel'!V10</f>
        <v/>
      </c>
      <c r="T36" s="52">
        <f>'Control Panel'!M10</f>
        <v/>
      </c>
      <c r="U36" s="52">
        <f>'Control Panel'!N10</f>
        <v/>
      </c>
      <c r="V36" s="52">
        <f>'Control Panel'!O10</f>
        <v/>
      </c>
      <c r="W36" s="52">
        <f>'Control Panel'!P10</f>
        <v/>
      </c>
      <c r="X36" s="52">
        <f>'Control Panel'!Q10</f>
        <v/>
      </c>
      <c r="Y36" s="52">
        <f>'Control Panel'!R10</f>
        <v/>
      </c>
      <c r="Z36" s="52">
        <f>'Control Panel'!S10</f>
        <v/>
      </c>
      <c r="AA36" s="52">
        <f>'Control Panel'!T10</f>
        <v/>
      </c>
      <c r="AB36" s="52">
        <f>'Control Panel'!U10</f>
        <v/>
      </c>
    </row>
    <row r="37">
      <c r="A37" s="162" t="inlineStr">
        <is>
          <t>Unreleased</t>
        </is>
      </c>
      <c r="B37" s="162" t="inlineStr">
        <is>
          <t>Unreleased</t>
        </is>
      </c>
      <c r="C37" s="162" t="inlineStr">
        <is>
          <t>Unreleased</t>
        </is>
      </c>
      <c r="D37" s="162" t="inlineStr">
        <is>
          <t>Unreleased</t>
        </is>
      </c>
      <c r="E37" s="162" t="inlineStr">
        <is>
          <t>Unreleased</t>
        </is>
      </c>
      <c r="F37" s="162" t="inlineStr">
        <is>
          <t>Unreleased</t>
        </is>
      </c>
      <c r="G37" s="162" t="inlineStr">
        <is>
          <t>Unreleased</t>
        </is>
      </c>
      <c r="H37" s="162" t="inlineStr">
        <is>
          <t>Unreleased</t>
        </is>
      </c>
      <c r="I37" s="162" t="inlineStr">
        <is>
          <t>Unreleased</t>
        </is>
      </c>
      <c r="J37" s="162" t="inlineStr">
        <is>
          <t>Unreleased</t>
        </is>
      </c>
      <c r="L37" s="87">
        <f>_!N4</f>
        <v/>
      </c>
      <c r="M37" s="163">
        <f>'Control Panel'!AG19</f>
        <v/>
      </c>
      <c r="N37" s="163">
        <f>'Control Panel'!AG34</f>
        <v/>
      </c>
      <c r="O37" s="163">
        <f>'Control Panel'!AG49</f>
        <v/>
      </c>
      <c r="P37" s="163">
        <f>'Control Panel'!AG64</f>
        <v/>
      </c>
      <c r="Q37" s="163">
        <f>'Control Panel'!AG79</f>
        <v/>
      </c>
      <c r="R37" s="79">
        <f>'Control Panel'!V11</f>
        <v/>
      </c>
      <c r="T37" s="52">
        <f>'Control Panel'!M11</f>
        <v/>
      </c>
      <c r="U37" s="52">
        <f>'Control Panel'!N11</f>
        <v/>
      </c>
      <c r="V37" s="52">
        <f>'Control Panel'!O11</f>
        <v/>
      </c>
      <c r="W37" s="52">
        <f>'Control Panel'!P11</f>
        <v/>
      </c>
      <c r="X37" s="52">
        <f>'Control Panel'!Q11</f>
        <v/>
      </c>
      <c r="Y37" s="52">
        <f>'Control Panel'!R11</f>
        <v/>
      </c>
      <c r="Z37" s="52">
        <f>'Control Panel'!S11</f>
        <v/>
      </c>
      <c r="AA37" s="52">
        <f>'Control Panel'!T11</f>
        <v/>
      </c>
      <c r="AB37" s="52">
        <f>'Control Panel'!U11</f>
        <v/>
      </c>
    </row>
    <row r="38">
      <c r="A38" s="162" t="inlineStr">
        <is>
          <t>Unreleased</t>
        </is>
      </c>
      <c r="B38" s="162" t="inlineStr">
        <is>
          <t>Unreleased</t>
        </is>
      </c>
      <c r="C38" s="162" t="inlineStr">
        <is>
          <t>Unreleased</t>
        </is>
      </c>
      <c r="D38" s="162" t="inlineStr">
        <is>
          <t>Unreleased</t>
        </is>
      </c>
      <c r="E38" s="162" t="inlineStr">
        <is>
          <t>Unreleased</t>
        </is>
      </c>
      <c r="F38" s="162" t="inlineStr">
        <is>
          <t>Unreleased</t>
        </is>
      </c>
      <c r="G38" s="162" t="inlineStr">
        <is>
          <t>Unreleased</t>
        </is>
      </c>
      <c r="H38" s="162" t="inlineStr">
        <is>
          <t>Unreleased</t>
        </is>
      </c>
      <c r="I38" s="162" t="inlineStr">
        <is>
          <t>Unreleased</t>
        </is>
      </c>
      <c r="J38" s="162" t="inlineStr">
        <is>
          <t>Unreleased</t>
        </is>
      </c>
      <c r="L38" s="87">
        <f>_!N5</f>
        <v/>
      </c>
      <c r="M38" s="163">
        <f>'Control Panel'!AM19</f>
        <v/>
      </c>
      <c r="N38" s="163">
        <f>'Control Panel'!AM34</f>
        <v/>
      </c>
      <c r="O38" s="163">
        <f>'Control Panel'!AM49</f>
        <v/>
      </c>
      <c r="P38" s="163">
        <f>'Control Panel'!AM64</f>
        <v/>
      </c>
      <c r="Q38" s="163">
        <f>'Control Panel'!AM79</f>
        <v/>
      </c>
      <c r="R38" s="79">
        <f>'Control Panel'!V12</f>
        <v/>
      </c>
      <c r="T38" s="52">
        <f>'Control Panel'!M12</f>
        <v/>
      </c>
      <c r="U38" s="52">
        <f>'Control Panel'!N12</f>
        <v/>
      </c>
      <c r="V38" s="52">
        <f>'Control Panel'!O12</f>
        <v/>
      </c>
      <c r="W38" s="52">
        <f>'Control Panel'!P12</f>
        <v/>
      </c>
      <c r="X38" s="52">
        <f>'Control Panel'!Q12</f>
        <v/>
      </c>
      <c r="Y38" s="52">
        <f>'Control Panel'!R12</f>
        <v/>
      </c>
      <c r="Z38" s="52">
        <f>'Control Panel'!S12</f>
        <v/>
      </c>
      <c r="AA38" s="52">
        <f>'Control Panel'!T12</f>
        <v/>
      </c>
      <c r="AB38" s="52">
        <f>'Control Panel'!U12</f>
        <v/>
      </c>
    </row>
    <row r="39">
      <c r="A39" s="162" t="inlineStr">
        <is>
          <t>Unreleased</t>
        </is>
      </c>
      <c r="B39" s="162" t="inlineStr">
        <is>
          <t>Unreleased</t>
        </is>
      </c>
      <c r="C39" s="162" t="inlineStr">
        <is>
          <t>Unreleased</t>
        </is>
      </c>
      <c r="D39" s="162" t="inlineStr">
        <is>
          <t>Unreleased</t>
        </is>
      </c>
      <c r="E39" s="162" t="inlineStr">
        <is>
          <t>Unreleased</t>
        </is>
      </c>
      <c r="F39" s="162" t="inlineStr">
        <is>
          <t>Unreleased</t>
        </is>
      </c>
      <c r="G39" s="162" t="inlineStr">
        <is>
          <t>Unreleased</t>
        </is>
      </c>
      <c r="H39" s="162" t="inlineStr">
        <is>
          <t>Unreleased</t>
        </is>
      </c>
      <c r="I39" s="162" t="inlineStr">
        <is>
          <t>Unreleased</t>
        </is>
      </c>
      <c r="J39" s="162" t="inlineStr">
        <is>
          <t>Unreleased</t>
        </is>
      </c>
      <c r="L39" s="87">
        <f>_!N6</f>
        <v/>
      </c>
      <c r="M39" s="163">
        <f>'Control Panel'!AS19</f>
        <v/>
      </c>
      <c r="N39" s="163">
        <f>'Control Panel'!AS34</f>
        <v/>
      </c>
      <c r="O39" s="163">
        <f>'Control Panel'!AS49</f>
        <v/>
      </c>
      <c r="P39" s="163">
        <f>'Control Panel'!AS64</f>
        <v/>
      </c>
      <c r="Q39" s="163">
        <f>'Control Panel'!AS79</f>
        <v/>
      </c>
      <c r="R39" s="79">
        <f>'Control Panel'!V13</f>
        <v/>
      </c>
      <c r="T39" s="52">
        <f>'Control Panel'!M13</f>
        <v/>
      </c>
      <c r="U39" s="52">
        <f>'Control Panel'!N13</f>
        <v/>
      </c>
      <c r="V39" s="52">
        <f>'Control Panel'!O13</f>
        <v/>
      </c>
      <c r="W39" s="52">
        <f>'Control Panel'!P13</f>
        <v/>
      </c>
      <c r="X39" s="52">
        <f>'Control Panel'!Q13</f>
        <v/>
      </c>
      <c r="Y39" s="52">
        <f>'Control Panel'!R13</f>
        <v/>
      </c>
      <c r="Z39" s="52">
        <f>'Control Panel'!S13</f>
        <v/>
      </c>
      <c r="AA39" s="52">
        <f>'Control Panel'!T13</f>
        <v/>
      </c>
      <c r="AB39" s="52">
        <f>'Control Panel'!U13</f>
        <v/>
      </c>
    </row>
    <row r="40">
      <c r="A40" s="162" t="inlineStr">
        <is>
          <t>Unreleased</t>
        </is>
      </c>
      <c r="B40" s="162" t="inlineStr">
        <is>
          <t>Unreleased</t>
        </is>
      </c>
      <c r="C40" s="162" t="inlineStr">
        <is>
          <t>Unreleased</t>
        </is>
      </c>
      <c r="D40" s="162" t="inlineStr">
        <is>
          <t>Unreleased</t>
        </is>
      </c>
      <c r="E40" s="162" t="inlineStr">
        <is>
          <t>Unreleased</t>
        </is>
      </c>
      <c r="F40" s="162" t="inlineStr">
        <is>
          <t>Unreleased</t>
        </is>
      </c>
      <c r="G40" s="162" t="inlineStr">
        <is>
          <t>Unreleased</t>
        </is>
      </c>
      <c r="H40" s="162" t="inlineStr">
        <is>
          <t>Unreleased</t>
        </is>
      </c>
      <c r="I40" s="162" t="inlineStr">
        <is>
          <t>Unreleased</t>
        </is>
      </c>
      <c r="J40" s="162" t="inlineStr">
        <is>
          <t>Unreleased</t>
        </is>
      </c>
      <c r="L40" s="87">
        <f>_!N7</f>
        <v/>
      </c>
      <c r="M40" s="163">
        <f>'Control Panel'!AA26</f>
        <v/>
      </c>
      <c r="N40" s="163">
        <f>'Control Panel'!AA41</f>
        <v/>
      </c>
      <c r="O40" s="163">
        <f>'Control Panel'!AA56</f>
        <v/>
      </c>
      <c r="P40" s="163">
        <f>'Control Panel'!AA71</f>
        <v/>
      </c>
      <c r="Q40" s="163">
        <f>'Control Panel'!AA86</f>
        <v/>
      </c>
      <c r="R40" s="79">
        <f>'Control Panel'!V14</f>
        <v/>
      </c>
      <c r="T40" s="52">
        <f>'Control Panel'!M14</f>
        <v/>
      </c>
      <c r="U40" s="52">
        <f>'Control Panel'!N14</f>
        <v/>
      </c>
      <c r="V40" s="52">
        <f>'Control Panel'!O14</f>
        <v/>
      </c>
      <c r="W40" s="52">
        <f>'Control Panel'!P14</f>
        <v/>
      </c>
      <c r="X40" s="52">
        <f>'Control Panel'!Q14</f>
        <v/>
      </c>
      <c r="Y40" s="52">
        <f>'Control Panel'!R14</f>
        <v/>
      </c>
      <c r="Z40" s="52">
        <f>'Control Panel'!S14</f>
        <v/>
      </c>
      <c r="AA40" s="52">
        <f>'Control Panel'!T14</f>
        <v/>
      </c>
      <c r="AB40" s="52">
        <f>'Control Panel'!U14</f>
        <v/>
      </c>
    </row>
    <row r="41">
      <c r="A41" s="162" t="inlineStr">
        <is>
          <t>Unreleased</t>
        </is>
      </c>
      <c r="B41" s="162" t="inlineStr">
        <is>
          <t>Unreleased</t>
        </is>
      </c>
      <c r="C41" s="162" t="inlineStr">
        <is>
          <t>Unreleased</t>
        </is>
      </c>
      <c r="D41" s="162" t="inlineStr">
        <is>
          <t>Unreleased</t>
        </is>
      </c>
      <c r="E41" s="162" t="inlineStr">
        <is>
          <t>Unreleased</t>
        </is>
      </c>
      <c r="F41" s="162" t="inlineStr">
        <is>
          <t>Unreleased</t>
        </is>
      </c>
      <c r="G41" s="162" t="inlineStr">
        <is>
          <t>Unreleased</t>
        </is>
      </c>
      <c r="H41" s="162" t="inlineStr">
        <is>
          <t>Unreleased</t>
        </is>
      </c>
      <c r="I41" s="162" t="inlineStr">
        <is>
          <t>Unreleased</t>
        </is>
      </c>
      <c r="J41" s="162" t="inlineStr">
        <is>
          <t>Unreleased</t>
        </is>
      </c>
      <c r="L41" s="87">
        <f>_!N8</f>
        <v/>
      </c>
      <c r="M41" s="163">
        <f>'Control Panel'!AG26</f>
        <v/>
      </c>
      <c r="N41" s="163">
        <f>'Control Panel'!AG41</f>
        <v/>
      </c>
      <c r="O41" s="163">
        <f>'Control Panel'!AG56</f>
        <v/>
      </c>
      <c r="P41" s="163">
        <f>'Control Panel'!AG71</f>
        <v/>
      </c>
      <c r="Q41" s="163">
        <f>'Control Panel'!AG86</f>
        <v/>
      </c>
      <c r="R41" s="79">
        <f>'Control Panel'!V15</f>
        <v/>
      </c>
      <c r="T41" s="52">
        <f>'Control Panel'!M15</f>
        <v/>
      </c>
      <c r="U41" s="52">
        <f>'Control Panel'!N15</f>
        <v/>
      </c>
      <c r="V41" s="52">
        <f>'Control Panel'!O15</f>
        <v/>
      </c>
      <c r="W41" s="52">
        <f>'Control Panel'!P15</f>
        <v/>
      </c>
      <c r="X41" s="52">
        <f>'Control Panel'!Q15</f>
        <v/>
      </c>
      <c r="Y41" s="52">
        <f>'Control Panel'!R15</f>
        <v/>
      </c>
      <c r="Z41" s="52">
        <f>'Control Panel'!S15</f>
        <v/>
      </c>
      <c r="AA41" s="52">
        <f>'Control Panel'!T15</f>
        <v/>
      </c>
      <c r="AB41" s="52">
        <f>'Control Panel'!U15</f>
        <v/>
      </c>
    </row>
    <row r="42">
      <c r="A42" s="162" t="inlineStr">
        <is>
          <t>Unreleased</t>
        </is>
      </c>
      <c r="B42" s="162" t="inlineStr">
        <is>
          <t>Unreleased</t>
        </is>
      </c>
      <c r="C42" s="162" t="inlineStr">
        <is>
          <t>Unreleased</t>
        </is>
      </c>
      <c r="D42" s="162" t="inlineStr">
        <is>
          <t>Unreleased</t>
        </is>
      </c>
      <c r="E42" s="162" t="inlineStr">
        <is>
          <t>Unreleased</t>
        </is>
      </c>
      <c r="F42" s="162" t="inlineStr">
        <is>
          <t>Unreleased</t>
        </is>
      </c>
      <c r="G42" s="162" t="inlineStr">
        <is>
          <t>Unreleased</t>
        </is>
      </c>
      <c r="H42" s="162" t="inlineStr">
        <is>
          <t>Unreleased</t>
        </is>
      </c>
      <c r="I42" s="162" t="inlineStr">
        <is>
          <t>Unreleased</t>
        </is>
      </c>
      <c r="J42" s="162" t="inlineStr">
        <is>
          <t>Unreleased</t>
        </is>
      </c>
      <c r="L42" s="87">
        <f>_!N9</f>
        <v/>
      </c>
      <c r="M42" s="163">
        <f>'Control Panel'!AM26</f>
        <v/>
      </c>
      <c r="N42" s="163">
        <f>'Control Panel'!AM41</f>
        <v/>
      </c>
      <c r="O42" s="163">
        <f>'Control Panel'!AM56</f>
        <v/>
      </c>
      <c r="P42" s="163">
        <f>'Control Panel'!AM71</f>
        <v/>
      </c>
      <c r="Q42" s="163">
        <f>'Control Panel'!AM86</f>
        <v/>
      </c>
      <c r="R42" s="79">
        <f>'Control Panel'!V16</f>
        <v/>
      </c>
      <c r="T42" s="52">
        <f>'Control Panel'!M16</f>
        <v/>
      </c>
      <c r="U42" s="52">
        <f>'Control Panel'!N16</f>
        <v/>
      </c>
      <c r="V42" s="52">
        <f>'Control Panel'!O16</f>
        <v/>
      </c>
      <c r="W42" s="52">
        <f>'Control Panel'!P16</f>
        <v/>
      </c>
      <c r="X42" s="52">
        <f>'Control Panel'!Q16</f>
        <v/>
      </c>
      <c r="Y42" s="52">
        <f>'Control Panel'!R16</f>
        <v/>
      </c>
      <c r="Z42" s="52">
        <f>'Control Panel'!S16</f>
        <v/>
      </c>
      <c r="AA42" s="52">
        <f>'Control Panel'!T16</f>
        <v/>
      </c>
      <c r="AB42" s="52">
        <f>'Control Panel'!U16</f>
        <v/>
      </c>
    </row>
    <row r="43">
      <c r="A43" s="162" t="inlineStr">
        <is>
          <t>Unreleased</t>
        </is>
      </c>
      <c r="B43" s="162" t="inlineStr">
        <is>
          <t>Unreleased</t>
        </is>
      </c>
      <c r="C43" s="162" t="inlineStr">
        <is>
          <t>Unreleased</t>
        </is>
      </c>
      <c r="D43" s="162" t="inlineStr">
        <is>
          <t>Unreleased</t>
        </is>
      </c>
      <c r="E43" s="162" t="inlineStr">
        <is>
          <t>Unreleased</t>
        </is>
      </c>
      <c r="F43" s="162" t="inlineStr">
        <is>
          <t>Unreleased</t>
        </is>
      </c>
      <c r="G43" s="162" t="inlineStr">
        <is>
          <t>Unreleased</t>
        </is>
      </c>
      <c r="H43" s="162" t="inlineStr">
        <is>
          <t>Unreleased</t>
        </is>
      </c>
      <c r="I43" s="162" t="inlineStr">
        <is>
          <t>Unreleased</t>
        </is>
      </c>
      <c r="J43" s="162" t="inlineStr">
        <is>
          <t>Unreleased</t>
        </is>
      </c>
      <c r="L43" s="87">
        <f>_!N10</f>
        <v/>
      </c>
      <c r="M43" s="163">
        <f>'Control Panel'!AS26</f>
        <v/>
      </c>
      <c r="N43" s="163">
        <f>'Control Panel'!AS41</f>
        <v/>
      </c>
      <c r="O43" s="163">
        <f>'Control Panel'!AS56</f>
        <v/>
      </c>
      <c r="P43" s="163">
        <f>'Control Panel'!AS71</f>
        <v/>
      </c>
      <c r="Q43" s="163">
        <f>'Control Panel'!AS86</f>
        <v/>
      </c>
      <c r="R43" s="79">
        <f>'Control Panel'!V17</f>
        <v/>
      </c>
      <c r="T43" s="52">
        <f>'Control Panel'!M17</f>
        <v/>
      </c>
      <c r="U43" s="52">
        <f>'Control Panel'!N17</f>
        <v/>
      </c>
      <c r="V43" s="52">
        <f>'Control Panel'!O17</f>
        <v/>
      </c>
      <c r="W43" s="52">
        <f>'Control Panel'!P17</f>
        <v/>
      </c>
      <c r="X43" s="52">
        <f>'Control Panel'!Q17</f>
        <v/>
      </c>
      <c r="Y43" s="52">
        <f>'Control Panel'!R17</f>
        <v/>
      </c>
      <c r="Z43" s="52">
        <f>'Control Panel'!S17</f>
        <v/>
      </c>
      <c r="AA43" s="52">
        <f>'Control Panel'!T17</f>
        <v/>
      </c>
      <c r="AB43" s="52">
        <f>'Control Panel'!U17</f>
        <v/>
      </c>
    </row>
    <row r="44">
      <c r="A44" s="162" t="inlineStr">
        <is>
          <t>Unreleased</t>
        </is>
      </c>
      <c r="B44" s="162" t="inlineStr">
        <is>
          <t>Unreleased</t>
        </is>
      </c>
      <c r="C44" s="162" t="inlineStr">
        <is>
          <t>Unreleased</t>
        </is>
      </c>
      <c r="D44" s="162" t="inlineStr">
        <is>
          <t>Unreleased</t>
        </is>
      </c>
      <c r="E44" s="162" t="inlineStr">
        <is>
          <t>Unreleased</t>
        </is>
      </c>
      <c r="F44" s="162" t="inlineStr">
        <is>
          <t>Unreleased</t>
        </is>
      </c>
      <c r="G44" s="162" t="inlineStr">
        <is>
          <t>Unreleased</t>
        </is>
      </c>
      <c r="H44" s="162" t="inlineStr">
        <is>
          <t>Unreleased</t>
        </is>
      </c>
      <c r="I44" s="162" t="inlineStr">
        <is>
          <t>Unreleased</t>
        </is>
      </c>
      <c r="J44" s="162" t="inlineStr">
        <is>
          <t>Unreleased</t>
        </is>
      </c>
      <c r="L44" s="143" t="inlineStr">
        <is>
          <t>Daily Expected Value</t>
        </is>
      </c>
      <c r="M44" s="164">
        <f>'Control Panel'!M90</f>
        <v/>
      </c>
      <c r="N44" s="164">
        <f>'Control Panel'!N90</f>
        <v/>
      </c>
      <c r="O44" s="164">
        <f>'Control Panel'!O90</f>
        <v/>
      </c>
      <c r="P44" s="164">
        <f>'Control Panel'!P90</f>
        <v/>
      </c>
      <c r="Q44" s="164">
        <f>'Control Panel'!Q90</f>
        <v/>
      </c>
    </row>
    <row r="46">
      <c r="T46" s="143" t="inlineStr">
        <is>
          <t>Bingo Reward Probability Table</t>
        </is>
      </c>
    </row>
    <row r="47" ht="16.5" customHeight="1" s="161">
      <c r="M47" s="56">
        <f>'Control Panel'!M30</f>
        <v/>
      </c>
      <c r="N47" s="56">
        <f>'Control Panel'!N30</f>
        <v/>
      </c>
      <c r="O47" s="56">
        <f>'Control Panel'!O30</f>
        <v/>
      </c>
      <c r="P47" s="56">
        <f>'Control Panel'!P30</f>
        <v/>
      </c>
      <c r="Q47" s="56">
        <f>'Control Panel'!Q30</f>
        <v/>
      </c>
      <c r="T47" s="46" t="n">
        <v>1</v>
      </c>
      <c r="U47" s="46" t="n">
        <v>2</v>
      </c>
      <c r="V47" s="46" t="n">
        <v>3</v>
      </c>
      <c r="W47" s="46" t="n">
        <v>4</v>
      </c>
      <c r="X47" s="46" t="n">
        <v>5</v>
      </c>
      <c r="Y47" s="46" t="n">
        <v>6</v>
      </c>
      <c r="Z47" s="46" t="n">
        <v>7</v>
      </c>
      <c r="AA47" s="46" t="n">
        <v>8</v>
      </c>
      <c r="AB47" s="46" t="n">
        <v>9</v>
      </c>
    </row>
    <row r="48" ht="16.5" customHeight="1" s="161">
      <c r="L48" s="56">
        <f>'Control Panel'!L31</f>
        <v/>
      </c>
      <c r="M48" s="147">
        <f>'Control Panel'!M31</f>
        <v/>
      </c>
      <c r="N48" s="147">
        <f>'Control Panel'!N31</f>
        <v/>
      </c>
      <c r="O48" s="147">
        <f>'Control Panel'!O31</f>
        <v/>
      </c>
      <c r="P48" s="147">
        <f>'Control Panel'!P31</f>
        <v/>
      </c>
      <c r="Q48" s="147">
        <f>'Control Panel'!Q31</f>
        <v/>
      </c>
      <c r="T48" s="56" t="inlineStr">
        <is>
          <t>Gem</t>
        </is>
      </c>
      <c r="U48" s="56" t="inlineStr">
        <is>
          <t>Grand</t>
        </is>
      </c>
      <c r="V48" s="56" t="inlineStr">
        <is>
          <t>Mega</t>
        </is>
      </c>
      <c r="W48" s="56" t="inlineStr">
        <is>
          <t>Major</t>
        </is>
      </c>
      <c r="X48" s="56" t="inlineStr">
        <is>
          <t>Minor</t>
        </is>
      </c>
      <c r="Y48" s="56" t="inlineStr">
        <is>
          <t>Mini</t>
        </is>
      </c>
      <c r="Z48" s="56" t="inlineStr">
        <is>
          <t>Coin1</t>
        </is>
      </c>
      <c r="AA48" s="56" t="inlineStr">
        <is>
          <t>Coin2</t>
        </is>
      </c>
      <c r="AB48" s="56" t="inlineStr">
        <is>
          <t>Coin3</t>
        </is>
      </c>
    </row>
    <row r="49">
      <c r="M49" s="148">
        <f>'Control Panel'!M32</f>
        <v/>
      </c>
      <c r="N49" s="148">
        <f>'Control Panel'!N32</f>
        <v/>
      </c>
      <c r="O49" s="148">
        <f>'Control Panel'!O32</f>
        <v/>
      </c>
      <c r="P49" s="148">
        <f>'Control Panel'!P32</f>
        <v/>
      </c>
      <c r="Q49" s="148">
        <f>'Control Panel'!Q32</f>
        <v/>
      </c>
      <c r="R49" s="37">
        <f>'Control Panel'!R32</f>
        <v/>
      </c>
      <c r="T49" s="56">
        <f>'Control Panel'!L4</f>
        <v/>
      </c>
      <c r="U49" s="56">
        <f>'Control Panel'!M4</f>
        <v/>
      </c>
      <c r="V49" s="56">
        <f>'Control Panel'!N4</f>
        <v/>
      </c>
      <c r="W49" s="56">
        <f>'Control Panel'!O4</f>
        <v/>
      </c>
      <c r="X49" s="56">
        <f>'Control Panel'!P4</f>
        <v/>
      </c>
      <c r="Y49" s="56">
        <f>'Control Panel'!Q4</f>
        <v/>
      </c>
      <c r="Z49" s="56">
        <f>'Control Panel'!R4</f>
        <v/>
      </c>
      <c r="AA49" s="56">
        <f>'Control Panel'!S4</f>
        <v/>
      </c>
      <c r="AB49" s="56">
        <f>'Control Panel'!T4</f>
        <v/>
      </c>
      <c r="AC49" s="143" t="n">
        <v>10000</v>
      </c>
    </row>
    <row r="50">
      <c r="L50" s="56">
        <f>'Control Panel'!L33</f>
        <v/>
      </c>
      <c r="M50" s="96">
        <f>'Control Panel'!M33</f>
        <v/>
      </c>
      <c r="N50" s="56">
        <f>'Control Panel'!N33</f>
        <v/>
      </c>
      <c r="O50" s="56">
        <f>'Control Panel'!O33</f>
        <v/>
      </c>
      <c r="P50" s="56">
        <f>'Control Panel'!P33</f>
        <v/>
      </c>
      <c r="Q50" s="56">
        <f>'Control Panel'!Q33</f>
        <v/>
      </c>
      <c r="R50" s="56">
        <f>'Control Panel'!R33</f>
        <v/>
      </c>
      <c r="T50" s="56">
        <f>'Control Panel'!L5</f>
        <v/>
      </c>
      <c r="U50" s="56">
        <f>'Control Panel'!M5</f>
        <v/>
      </c>
      <c r="V50" s="56">
        <f>'Control Panel'!N5</f>
        <v/>
      </c>
      <c r="W50" s="56">
        <f>'Control Panel'!O5</f>
        <v/>
      </c>
      <c r="X50" s="56">
        <f>'Control Panel'!P5</f>
        <v/>
      </c>
      <c r="Y50" s="56">
        <f>'Control Panel'!Q5</f>
        <v/>
      </c>
      <c r="Z50" s="56">
        <f>'Control Panel'!R5</f>
        <v/>
      </c>
      <c r="AA50" s="56">
        <f>'Control Panel'!S5</f>
        <v/>
      </c>
      <c r="AB50" s="56">
        <f>'Control Panel'!T5</f>
        <v/>
      </c>
    </row>
    <row r="51">
      <c r="L51" s="56">
        <f>'Control Panel'!L34</f>
        <v/>
      </c>
      <c r="M51" s="96">
        <f>'Control Panel'!M34</f>
        <v/>
      </c>
      <c r="N51" s="56">
        <f>'Control Panel'!N34</f>
        <v/>
      </c>
      <c r="O51" s="56">
        <f>'Control Panel'!O34</f>
        <v/>
      </c>
      <c r="P51" s="56">
        <f>'Control Panel'!P34</f>
        <v/>
      </c>
      <c r="Q51" s="56">
        <f>'Control Panel'!Q34</f>
        <v/>
      </c>
      <c r="R51" s="56">
        <f>'Control Panel'!R34</f>
        <v/>
      </c>
    </row>
    <row r="52">
      <c r="L52" s="56">
        <f>'Control Panel'!L35</f>
        <v/>
      </c>
      <c r="M52" s="56">
        <f>'Control Panel'!M35</f>
        <v/>
      </c>
      <c r="N52" s="96">
        <f>'Control Panel'!N35</f>
        <v/>
      </c>
      <c r="O52" s="56">
        <f>'Control Panel'!O35</f>
        <v/>
      </c>
      <c r="P52" s="56">
        <f>'Control Panel'!P35</f>
        <v/>
      </c>
      <c r="Q52" s="56">
        <f>'Control Panel'!Q35</f>
        <v/>
      </c>
      <c r="R52" s="56">
        <f>'Control Panel'!R35</f>
        <v/>
      </c>
    </row>
    <row r="53">
      <c r="L53" s="56">
        <f>'Control Panel'!L36</f>
        <v/>
      </c>
      <c r="M53" s="56">
        <f>'Control Panel'!M36</f>
        <v/>
      </c>
      <c r="N53" s="96">
        <f>'Control Panel'!N36</f>
        <v/>
      </c>
      <c r="O53" s="56">
        <f>'Control Panel'!O36</f>
        <v/>
      </c>
      <c r="P53" s="56">
        <f>'Control Panel'!P36</f>
        <v/>
      </c>
      <c r="Q53" s="56">
        <f>'Control Panel'!Q36</f>
        <v/>
      </c>
      <c r="R53" s="56">
        <f>'Control Panel'!R36</f>
        <v/>
      </c>
    </row>
    <row r="54">
      <c r="L54" s="56">
        <f>'Control Panel'!L37</f>
        <v/>
      </c>
      <c r="M54" s="56">
        <f>'Control Panel'!M37</f>
        <v/>
      </c>
      <c r="N54" s="56">
        <f>'Control Panel'!N37</f>
        <v/>
      </c>
      <c r="O54" s="96">
        <f>'Control Panel'!O37</f>
        <v/>
      </c>
      <c r="P54" s="56">
        <f>'Control Panel'!P37</f>
        <v/>
      </c>
      <c r="Q54" s="56">
        <f>'Control Panel'!Q37</f>
        <v/>
      </c>
      <c r="R54" s="56">
        <f>'Control Panel'!R37</f>
        <v/>
      </c>
    </row>
    <row r="55">
      <c r="L55" s="56">
        <f>'Control Panel'!L38</f>
        <v/>
      </c>
      <c r="M55" s="56">
        <f>'Control Panel'!M38</f>
        <v/>
      </c>
      <c r="N55" s="56">
        <f>'Control Panel'!N38</f>
        <v/>
      </c>
      <c r="O55" s="96">
        <f>'Control Panel'!O38</f>
        <v/>
      </c>
      <c r="P55" s="96">
        <f>'Control Panel'!P38</f>
        <v/>
      </c>
      <c r="Q55" s="56">
        <f>'Control Panel'!Q38</f>
        <v/>
      </c>
      <c r="R55" s="56">
        <f>'Control Panel'!R38</f>
        <v/>
      </c>
    </row>
    <row r="56">
      <c r="L56" s="56">
        <f>'Control Panel'!L39</f>
        <v/>
      </c>
      <c r="M56" s="56">
        <f>'Control Panel'!M39</f>
        <v/>
      </c>
      <c r="N56" s="56">
        <f>'Control Panel'!N39</f>
        <v/>
      </c>
      <c r="O56" s="56">
        <f>'Control Panel'!O39</f>
        <v/>
      </c>
      <c r="P56" s="96">
        <f>'Control Panel'!P39</f>
        <v/>
      </c>
      <c r="Q56" s="96">
        <f>'Control Panel'!Q39</f>
        <v/>
      </c>
      <c r="R56" s="56">
        <f>'Control Panel'!R39</f>
        <v/>
      </c>
    </row>
    <row r="57">
      <c r="L57" s="56">
        <f>'Control Panel'!L40</f>
        <v/>
      </c>
      <c r="M57" s="56">
        <f>'Control Panel'!M40</f>
        <v/>
      </c>
      <c r="N57" s="56">
        <f>'Control Panel'!N40</f>
        <v/>
      </c>
      <c r="O57" s="56">
        <f>'Control Panel'!O40</f>
        <v/>
      </c>
      <c r="P57" s="56">
        <f>'Control Panel'!P40</f>
        <v/>
      </c>
      <c r="Q57" s="96">
        <f>'Control Panel'!Q40</f>
        <v/>
      </c>
      <c r="R57" s="56">
        <f>'Control Panel'!R40</f>
        <v/>
      </c>
    </row>
    <row r="58">
      <c r="L58" s="56" t="n"/>
      <c r="M58" s="56">
        <f>'Control Panel'!M41</f>
        <v/>
      </c>
      <c r="N58" s="56">
        <f>'Control Panel'!N41</f>
        <v/>
      </c>
      <c r="O58" s="56">
        <f>'Control Panel'!O41</f>
        <v/>
      </c>
      <c r="P58" s="56">
        <f>'Control Panel'!P41</f>
        <v/>
      </c>
      <c r="Q58" s="56">
        <f>'Control Panel'!Q41</f>
        <v/>
      </c>
      <c r="R58" s="56" t="n"/>
    </row>
  </sheetData>
  <mergeCells count="1">
    <mergeCell ref="A1:AC1"/>
  </mergeCells>
  <conditionalFormatting sqref="M35:Q42">
    <cfRule type="dataBar" priority="1">
      <dataBar>
        <cfvo type="min"/>
        <cfvo type="max"/>
        <color rgb="FF63C384"/>
      </dataBar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EC102"/>
  <sheetViews>
    <sheetView tabSelected="1" topLeftCell="A7" zoomScale="70" zoomScaleNormal="70" workbookViewId="0">
      <selection activeCell="I41" sqref="I41"/>
    </sheetView>
  </sheetViews>
  <sheetFormatPr baseColWidth="8" defaultRowHeight="13.5"/>
  <cols>
    <col width="6.625" bestFit="1" customWidth="1" style="143" min="1" max="1"/>
    <col width="15.875" bestFit="1" customWidth="1" style="143" min="2" max="2"/>
    <col width="10.25" customWidth="1" style="143" min="3" max="9"/>
    <col width="9.125" customWidth="1" style="143" min="10" max="10"/>
    <col width="4" customWidth="1" style="143" min="11" max="11"/>
    <col width="19" bestFit="1" customWidth="1" style="143" min="12" max="12"/>
    <col width="13.125" customWidth="1" style="143" min="13" max="17"/>
    <col width="11.375" customWidth="1" style="143" min="18" max="21"/>
    <col width="12.625" bestFit="1" customWidth="1" style="143" min="22" max="22"/>
    <col hidden="1" width="7" customWidth="1" style="143" min="23" max="23"/>
    <col hidden="1" width="7.75" customWidth="1" style="143" min="24" max="24"/>
    <col hidden="1" width="8.5" customWidth="1" style="143" min="25" max="25"/>
    <col width="13.125" customWidth="1" style="143" min="26" max="26"/>
    <col width="5" customWidth="1" style="119" min="27" max="49"/>
    <col width="3.875" customWidth="1" style="143" min="50" max="50"/>
    <col width="5.5" bestFit="1" customWidth="1" style="143" min="51" max="51"/>
    <col width="10.875" bestFit="1" customWidth="1" style="130" min="52" max="52"/>
    <col width="13.125" bestFit="1" customWidth="1" style="130" min="53" max="53"/>
    <col width="9.25" customWidth="1" style="130" min="54" max="56"/>
    <col width="3.875" customWidth="1" style="143" min="57" max="79"/>
    <col width="9" customWidth="1" style="143" min="80" max="82"/>
    <col width="6.75" bestFit="1" customWidth="1" style="143" min="83" max="83"/>
    <col width="5.5" bestFit="1" customWidth="1" style="143" min="84" max="84"/>
    <col width="4.5" bestFit="1" customWidth="1" style="143" min="85" max="86"/>
    <col width="6.75" bestFit="1" customWidth="1" style="143" min="87" max="87"/>
    <col width="3.5" bestFit="1" customWidth="1" style="143" min="88" max="88"/>
    <col width="6.75" bestFit="1" customWidth="1" style="143" min="89" max="89"/>
    <col width="5.5" bestFit="1" customWidth="1" style="143" min="90" max="90"/>
    <col width="3.5" bestFit="1" customWidth="1" style="143" min="91" max="91"/>
    <col width="4.5" bestFit="1" customWidth="1" style="143" min="92" max="92"/>
    <col width="6.75" bestFit="1" customWidth="1" style="143" min="93" max="93"/>
    <col width="3.5" bestFit="1" customWidth="1" style="143" min="94" max="94"/>
    <col width="6.75" bestFit="1" customWidth="1" style="143" min="95" max="95"/>
    <col width="4.5" bestFit="1" customWidth="1" style="143" min="96" max="96"/>
    <col width="3.5" bestFit="1" customWidth="1" style="143" min="97" max="97"/>
    <col width="4.5" bestFit="1" customWidth="1" style="143" min="98" max="98"/>
    <col width="6.75" bestFit="1" customWidth="1" style="143" min="99" max="99"/>
    <col width="3.5" bestFit="1" customWidth="1" style="143" min="100" max="100"/>
    <col width="6.75" bestFit="1" customWidth="1" style="143" min="101" max="101"/>
    <col width="4.5" bestFit="1" customWidth="1" style="143" min="102" max="102"/>
    <col width="3.5" bestFit="1" customWidth="1" style="143" min="103" max="103"/>
    <col width="4.5" bestFit="1" customWidth="1" style="143" min="104" max="104"/>
    <col width="5.5" bestFit="1" customWidth="1" style="143" min="105" max="105"/>
    <col width="12.75" bestFit="1" customWidth="1" style="143" min="106" max="106"/>
    <col width="5.5" bestFit="1" customWidth="1" style="143" min="107" max="107"/>
    <col width="12.75" customWidth="1" style="143" min="108" max="108"/>
    <col width="9" customWidth="1" style="143" min="109" max="16384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B2" s="44" t="inlineStr">
        <is>
          <t>Collect</t>
        </is>
      </c>
      <c r="C2" s="155" t="n">
        <v>50</v>
      </c>
      <c r="D2" s="44" t="inlineStr">
        <is>
          <t>Miss</t>
        </is>
      </c>
      <c r="E2" s="155">
        <f>1000-C1</f>
        <v/>
      </c>
      <c r="F2" s="143" t="inlineStr">
        <is>
          <t>&lt;- Appearance Probability Setting</t>
        </is>
      </c>
      <c r="I2" s="165">
        <f>E1/C1</f>
        <v/>
      </c>
      <c r="L2" s="143" t="inlineStr">
        <is>
          <t>Bingo Reward Probability Table</t>
        </is>
      </c>
      <c r="AA2" s="158" t="inlineStr">
        <is>
          <t>B5</t>
        </is>
      </c>
      <c r="AB2" s="119" t="inlineStr">
        <is>
          <t xml:space="preserve"> &lt;--</t>
        </is>
      </c>
      <c r="AC2" s="158" t="inlineStr">
        <is>
          <t>B1</t>
        </is>
      </c>
      <c r="AD2" s="158" t="inlineStr">
        <is>
          <t>B2</t>
        </is>
      </c>
      <c r="AE2" s="158" t="inlineStr">
        <is>
          <t>B3</t>
        </is>
      </c>
      <c r="AF2" s="158" t="inlineStr">
        <is>
          <t>B4</t>
        </is>
      </c>
      <c r="AG2" s="158" t="inlineStr">
        <is>
          <t>B5</t>
        </is>
      </c>
      <c r="AH2" s="119" t="inlineStr">
        <is>
          <t>&lt;- Bet Range Input</t>
        </is>
      </c>
      <c r="AZ2" s="143" t="n"/>
      <c r="BA2" s="143" t="n"/>
      <c r="BB2" s="143" t="n"/>
      <c r="BC2" s="143" t="n"/>
      <c r="BD2" s="143" t="n"/>
    </row>
    <row r="3">
      <c r="H3" s="130" t="n"/>
      <c r="I3" s="130" t="n"/>
      <c r="L3" s="46" t="n">
        <v>1</v>
      </c>
      <c r="M3" s="46" t="n">
        <v>2</v>
      </c>
      <c r="N3" s="46" t="n">
        <v>3</v>
      </c>
      <c r="O3" s="46" t="n">
        <v>4</v>
      </c>
      <c r="P3" s="46" t="n">
        <v>5</v>
      </c>
      <c r="Q3" s="46" t="n">
        <v>6</v>
      </c>
      <c r="R3" s="46" t="n">
        <v>7</v>
      </c>
      <c r="S3" s="46" t="n">
        <v>8</v>
      </c>
      <c r="T3" s="46" t="n">
        <v>9</v>
      </c>
      <c r="AX3" s="166" t="n"/>
      <c r="AZ3" s="143" t="n"/>
      <c r="BA3" s="143" t="n"/>
      <c r="BB3" s="143" t="n"/>
      <c r="BC3" s="143" t="n"/>
      <c r="BD3" s="143" t="n"/>
    </row>
    <row r="4" ht="16.5" customHeight="1" s="161">
      <c r="A4" s="50" t="n"/>
      <c r="B4" s="56" t="inlineStr">
        <is>
          <t>Multi</t>
        </is>
      </c>
      <c r="D4" s="143" t="n">
        <v>1.25</v>
      </c>
      <c r="E4" s="143" t="n">
        <v>1.5</v>
      </c>
      <c r="F4" s="143" t="n">
        <v>2</v>
      </c>
      <c r="G4" s="143" t="n">
        <v>2.5</v>
      </c>
      <c r="H4" s="143" t="n">
        <v>3</v>
      </c>
      <c r="I4" s="143" t="n">
        <v>4</v>
      </c>
      <c r="L4" s="56" t="inlineStr">
        <is>
          <t>Gem</t>
        </is>
      </c>
      <c r="M4" s="56" t="inlineStr">
        <is>
          <t>Grand</t>
        </is>
      </c>
      <c r="N4" s="56" t="inlineStr">
        <is>
          <t>Mega</t>
        </is>
      </c>
      <c r="O4" s="56" t="inlineStr">
        <is>
          <t>Major</t>
        </is>
      </c>
      <c r="P4" s="56" t="inlineStr">
        <is>
          <t>Minor</t>
        </is>
      </c>
      <c r="Q4" s="56" t="inlineStr">
        <is>
          <t>Mini</t>
        </is>
      </c>
      <c r="R4" s="56" t="inlineStr">
        <is>
          <t>Coin1</t>
        </is>
      </c>
      <c r="S4" s="56" t="inlineStr">
        <is>
          <t>Coin2</t>
        </is>
      </c>
      <c r="T4" s="56" t="inlineStr">
        <is>
          <t>Coin3</t>
        </is>
      </c>
      <c r="Z4" s="143">
        <f>SUM(AA4:AE8,AG4:AK8,AM4:AQ8,AS4:AW8,AA11:AE15,AG11:AK15,AM11:AQ15,AS11:AW15)-SUM(AC6,AI6,AO6,AU6,AC13,AI13,AO13,AU13)</f>
        <v/>
      </c>
      <c r="AA4" s="114">
        <f>AA18</f>
        <v/>
      </c>
      <c r="AB4" s="167" t="n"/>
      <c r="AC4" s="167" t="n"/>
      <c r="AD4" s="114" t="n"/>
      <c r="AE4" s="114" t="n"/>
      <c r="AF4" s="114" t="n"/>
      <c r="AG4" s="114" t="inlineStr">
        <is>
          <t>Level2</t>
        </is>
      </c>
      <c r="AH4" s="167" t="n"/>
      <c r="AI4" s="167" t="n"/>
      <c r="AJ4" s="114" t="n"/>
      <c r="AK4" s="114" t="n"/>
      <c r="AL4" s="114" t="n"/>
      <c r="AM4" s="114" t="inlineStr">
        <is>
          <t>Level3</t>
        </is>
      </c>
      <c r="AN4" s="114" t="n"/>
      <c r="AO4" s="114" t="n"/>
      <c r="AP4" s="114" t="n"/>
      <c r="AQ4" s="114" t="n"/>
      <c r="AR4" s="114" t="n"/>
      <c r="AS4" s="114" t="inlineStr">
        <is>
          <t>Level4</t>
        </is>
      </c>
      <c r="AT4" s="114" t="n"/>
      <c r="AU4" s="114" t="n"/>
      <c r="AV4" s="114" t="n"/>
      <c r="AW4" s="114" t="n"/>
      <c r="AX4" s="50" t="n"/>
      <c r="AZ4" s="143" t="n"/>
      <c r="BA4" s="143" t="n"/>
      <c r="BB4" s="143" t="n"/>
      <c r="BC4" s="143" t="n"/>
      <c r="BD4" s="143" t="n"/>
    </row>
    <row r="5">
      <c r="B5" s="56" t="inlineStr">
        <is>
          <t>Class</t>
        </is>
      </c>
      <c r="C5" s="125" t="n">
        <v>1</v>
      </c>
      <c r="D5" s="126" t="n">
        <v>2</v>
      </c>
      <c r="E5" s="126" t="n">
        <v>3</v>
      </c>
      <c r="F5" s="126" t="n">
        <v>4</v>
      </c>
      <c r="G5" s="126" t="n">
        <v>5</v>
      </c>
      <c r="H5" s="126" t="n">
        <v>6</v>
      </c>
      <c r="I5" s="126" t="n">
        <v>7</v>
      </c>
      <c r="J5" s="126" t="inlineStr">
        <is>
          <t>Average</t>
        </is>
      </c>
      <c r="K5" s="129" t="n"/>
      <c r="L5" s="56" t="n">
        <v>0</v>
      </c>
      <c r="M5" s="157" t="n">
        <v>5</v>
      </c>
      <c r="N5" s="157">
        <f>Q20</f>
        <v/>
      </c>
      <c r="O5" s="157">
        <f>Q21</f>
        <v/>
      </c>
      <c r="P5" s="157">
        <f>Q22</f>
        <v/>
      </c>
      <c r="Q5" s="157">
        <f>Q23</f>
        <v/>
      </c>
      <c r="R5" s="157">
        <f>Q24</f>
        <v/>
      </c>
      <c r="S5" s="157">
        <f>Q25</f>
        <v/>
      </c>
      <c r="T5" s="157" t="n">
        <v>1732</v>
      </c>
      <c r="U5" s="143">
        <f>SUM(L4:T4)</f>
        <v/>
      </c>
      <c r="V5" s="143" t="inlineStr">
        <is>
          <t>&lt;-Bingo Coin Appearance Probability Setting</t>
        </is>
      </c>
      <c r="Z5" s="168" t="n"/>
      <c r="AA5" s="107">
        <f>ROUND(IF($AA$1="B1", AA19, IF($AA$1="B2", AA34, IF($AA$1="B3", AA49, IF($AA$1="B4", AA64, IF($AA$1="B5", AA79, ""))))), 0)</f>
        <v/>
      </c>
      <c r="AB5" s="111">
        <f>AA4</f>
        <v/>
      </c>
      <c r="AC5" s="111">
        <f>AB4</f>
        <v/>
      </c>
      <c r="AD5" s="111">
        <f>AC4</f>
        <v/>
      </c>
      <c r="AE5" s="111">
        <f>AD4</f>
        <v/>
      </c>
      <c r="AF5" s="112" t="n"/>
      <c r="AG5" s="107">
        <f>ROUND(IF($AA$1="B1", AG19, IF($AA$1="B2", AG34, IF($AA$1="B3", AG49, IF($AA$1="B4", AG64, IF($AA$1="B5", AG79, ""))))), 0)</f>
        <v/>
      </c>
      <c r="AH5" s="111">
        <f>AG4</f>
        <v/>
      </c>
      <c r="AI5" s="111">
        <f>AH4</f>
        <v/>
      </c>
      <c r="AJ5" s="111">
        <f>AI4</f>
        <v/>
      </c>
      <c r="AK5" s="111">
        <f>AJ4</f>
        <v/>
      </c>
      <c r="AL5" s="112" t="n"/>
      <c r="AM5" s="107">
        <f>ROUND(IF($AA$1="B1", AM19, IF($AA$1="B2", AM34, IF($AA$1="B3", AM49, IF($AA$1="B4", AM64, IF($AA$1="B5", AM79, ""))))), 0)</f>
        <v/>
      </c>
      <c r="AN5" s="111">
        <f>AM4</f>
        <v/>
      </c>
      <c r="AO5" s="111">
        <f>AN4</f>
        <v/>
      </c>
      <c r="AP5" s="111">
        <f>AO4</f>
        <v/>
      </c>
      <c r="AQ5" s="111">
        <f>AP4</f>
        <v/>
      </c>
      <c r="AR5" s="112" t="n"/>
      <c r="AS5" s="107">
        <f>ROUND(IF($AA$1="B1", AS19, IF($AA$1="B2", AS34, IF($AA$1="B3", AS49, IF($AA$1="B4", AS64, IF($AA$1="B5", AS79, ""))))), 0)</f>
        <v/>
      </c>
      <c r="AT5" s="111">
        <f>AS4</f>
        <v/>
      </c>
      <c r="AU5" s="111">
        <f>AT4</f>
        <v/>
      </c>
      <c r="AV5" s="111">
        <f>AU4</f>
        <v/>
      </c>
      <c r="AW5" s="111">
        <f>AV4</f>
        <v/>
      </c>
      <c r="AX5" s="50" t="n"/>
      <c r="AZ5" s="143" t="n"/>
      <c r="BA5" s="143" t="n"/>
      <c r="BB5" s="143" t="n"/>
      <c r="BC5" s="143" t="n"/>
      <c r="BD5" s="143" t="n"/>
      <c r="DG5" s="56">
        <f>ROUNDDOWN(#REF!,0)</f>
        <v/>
      </c>
      <c r="DH5" s="56">
        <f>ROUNDDOWN(#REF!,0)</f>
        <v/>
      </c>
      <c r="DI5" s="56">
        <f>ROUNDDOWN(#REF!,0)</f>
        <v/>
      </c>
      <c r="DJ5" s="56">
        <f>ROUNDDOWN(#REF!,0)</f>
        <v/>
      </c>
      <c r="DK5" s="56">
        <f>ROUNDDOWN(#REF!,0)</f>
        <v/>
      </c>
      <c r="DL5" s="56" t="n"/>
      <c r="DM5" s="56">
        <f>ROUNDDOWN(#REF!,0)</f>
        <v/>
      </c>
      <c r="DN5" s="56">
        <f>ROUNDDOWN(#REF!,0)</f>
        <v/>
      </c>
      <c r="DO5" s="56">
        <f>ROUNDDOWN(#REF!,0)</f>
        <v/>
      </c>
      <c r="DP5" s="56">
        <f>ROUNDDOWN(#REF!,0)</f>
        <v/>
      </c>
      <c r="DQ5" s="56">
        <f>ROUNDDOWN(#REF!,0)</f>
        <v/>
      </c>
      <c r="DS5" s="56">
        <f>ROUNDDOWN(#REF!,0)</f>
        <v/>
      </c>
      <c r="DT5" s="56">
        <f>ROUNDDOWN(#REF!,0)</f>
        <v/>
      </c>
      <c r="DU5" s="56">
        <f>ROUNDDOWN(#REF!,0)</f>
        <v/>
      </c>
      <c r="DV5" s="56">
        <f>ROUNDDOWN(#REF!,0)</f>
        <v/>
      </c>
      <c r="DW5" s="56">
        <f>ROUNDDOWN(#REF!,0)</f>
        <v/>
      </c>
      <c r="DY5" s="56">
        <f>ROUNDDOWN(#REF!,0)</f>
        <v/>
      </c>
      <c r="DZ5" s="56">
        <f>ROUNDDOWN(#REF!,0)</f>
        <v/>
      </c>
      <c r="EA5" s="56">
        <f>ROUNDDOWN(#REF!,0)</f>
        <v/>
      </c>
      <c r="EB5" s="56">
        <f>ROUNDDOWN(#REF!,0)</f>
        <v/>
      </c>
      <c r="EC5" s="56">
        <f>ROUNDDOWN(#REF!,0)</f>
        <v/>
      </c>
    </row>
    <row r="6">
      <c r="B6" s="56" t="inlineStr">
        <is>
          <t>Avg Bet</t>
        </is>
      </c>
      <c r="C6" s="169">
        <f>BACK!F3</f>
        <v/>
      </c>
      <c r="D6" s="170">
        <f>BACK!F4</f>
        <v/>
      </c>
      <c r="E6" s="170">
        <f>BACK!F5</f>
        <v/>
      </c>
      <c r="F6" s="170">
        <f>BACK!F6</f>
        <v/>
      </c>
      <c r="G6" s="170">
        <f>BACK!F7</f>
        <v/>
      </c>
      <c r="H6" s="170">
        <f>BACK!F8</f>
        <v/>
      </c>
      <c r="I6" s="170">
        <f>BACK!F9</f>
        <v/>
      </c>
      <c r="J6" s="52">
        <f>AVERAGE(C5:I5)</f>
        <v/>
      </c>
      <c r="K6" s="130" t="n"/>
      <c r="L6" s="56" t="inlineStr">
        <is>
          <t>Expected Value</t>
        </is>
      </c>
      <c r="M6" s="52">
        <f>AVERAGE(N10:N17)*M4/10000</f>
        <v/>
      </c>
      <c r="N6" s="52">
        <f>AVERAGE(O10:O17)*N4/10000</f>
        <v/>
      </c>
      <c r="O6" s="52">
        <f>AVERAGE(P10:P17)*O4/10000</f>
        <v/>
      </c>
      <c r="P6" s="52">
        <f>AVERAGE(Q10:Q17)*P4/10000</f>
        <v/>
      </c>
      <c r="Q6" s="52">
        <f>AVERAGE(R10:R17)*Q4/10000</f>
        <v/>
      </c>
      <c r="R6" s="52">
        <f>AVERAGE(S10:S17)*R4/10000</f>
        <v/>
      </c>
      <c r="S6" s="52">
        <f>AVERAGE(T10:T17)*S4/10000</f>
        <v/>
      </c>
      <c r="T6" s="52">
        <f>AVERAGE(U10:U17)*T4/10000</f>
        <v/>
      </c>
      <c r="AA6" s="111">
        <f>AA4</f>
        <v/>
      </c>
      <c r="AB6" s="111">
        <f>AA5</f>
        <v/>
      </c>
      <c r="AC6" s="111">
        <f>AB5</f>
        <v/>
      </c>
      <c r="AD6" s="111">
        <f>AC5</f>
        <v/>
      </c>
      <c r="AE6" s="111">
        <f>AD5</f>
        <v/>
      </c>
      <c r="AF6" s="112" t="n"/>
      <c r="AG6" s="111">
        <f>AG4</f>
        <v/>
      </c>
      <c r="AH6" s="111">
        <f>AG5</f>
        <v/>
      </c>
      <c r="AI6" s="111">
        <f>AH5</f>
        <v/>
      </c>
      <c r="AJ6" s="111">
        <f>AI5</f>
        <v/>
      </c>
      <c r="AK6" s="111">
        <f>AJ5</f>
        <v/>
      </c>
      <c r="AL6" s="112" t="n"/>
      <c r="AM6" s="111">
        <f>AM4</f>
        <v/>
      </c>
      <c r="AN6" s="111">
        <f>AM5</f>
        <v/>
      </c>
      <c r="AO6" s="111">
        <f>AN5</f>
        <v/>
      </c>
      <c r="AP6" s="111">
        <f>AO5</f>
        <v/>
      </c>
      <c r="AQ6" s="111">
        <f>AP5</f>
        <v/>
      </c>
      <c r="AR6" s="112" t="n"/>
      <c r="AS6" s="111">
        <f>AS4</f>
        <v/>
      </c>
      <c r="AT6" s="111">
        <f>AS5</f>
        <v/>
      </c>
      <c r="AU6" s="111">
        <f>AT5</f>
        <v/>
      </c>
      <c r="AV6" s="111">
        <f>AU5</f>
        <v/>
      </c>
      <c r="AW6" s="111">
        <f>AV5</f>
        <v/>
      </c>
      <c r="AX6" s="50" t="n"/>
      <c r="AZ6" s="143" t="n"/>
      <c r="BA6" s="143" t="n"/>
      <c r="BB6" s="143" t="n"/>
      <c r="BC6" s="143" t="n"/>
      <c r="BD6" s="143" t="n"/>
      <c r="DG6" s="56">
        <f>ROUNDDOWN(#REF!,0)</f>
        <v/>
      </c>
      <c r="DH6" s="56">
        <f>ROUNDDOWN(#REF!,0)</f>
        <v/>
      </c>
      <c r="DI6" s="56">
        <f>ROUNDDOWN(#REF!,0)</f>
        <v/>
      </c>
      <c r="DJ6" s="56">
        <f>ROUNDDOWN(#REF!,0)</f>
        <v/>
      </c>
      <c r="DK6" s="56">
        <f>ROUNDDOWN(#REF!,0)</f>
        <v/>
      </c>
      <c r="DL6" s="56" t="n"/>
      <c r="DM6" s="56">
        <f>ROUNDDOWN(#REF!,0)</f>
        <v/>
      </c>
      <c r="DN6" s="56">
        <f>ROUNDDOWN(#REF!,0)</f>
        <v/>
      </c>
      <c r="DO6" s="56">
        <f>ROUNDDOWN(#REF!,0)</f>
        <v/>
      </c>
      <c r="DP6" s="56">
        <f>ROUNDDOWN(#REF!,0)</f>
        <v/>
      </c>
      <c r="DQ6" s="56">
        <f>ROUNDDOWN(#REF!,0)</f>
        <v/>
      </c>
      <c r="DS6" s="56">
        <f>ROUNDDOWN(#REF!,0)</f>
        <v/>
      </c>
      <c r="DT6" s="56">
        <f>ROUNDDOWN(#REF!,0)</f>
        <v/>
      </c>
      <c r="DU6" s="56">
        <f>ROUNDDOWN(#REF!,0)</f>
        <v/>
      </c>
      <c r="DV6" s="56">
        <f>ROUNDDOWN(#REF!,0)</f>
        <v/>
      </c>
      <c r="DW6" s="56">
        <f>ROUNDDOWN(#REF!,0)</f>
        <v/>
      </c>
      <c r="DY6" s="56">
        <f>ROUNDDOWN(#REF!,0)</f>
        <v/>
      </c>
      <c r="DZ6" s="56">
        <f>ROUNDDOWN(#REF!,0)</f>
        <v/>
      </c>
      <c r="EA6" s="56">
        <f>ROUNDDOWN(#REF!,0)</f>
        <v/>
      </c>
      <c r="EB6" s="56">
        <f>ROUNDDOWN(#REF!,0)</f>
        <v/>
      </c>
      <c r="EC6" s="56">
        <f>ROUNDDOWN(#REF!,0)</f>
        <v/>
      </c>
    </row>
    <row r="7">
      <c r="B7" s="53" t="inlineStr">
        <is>
          <t>Avg Spins</t>
        </is>
      </c>
      <c r="C7" s="171">
        <f>BACK!D3</f>
        <v/>
      </c>
      <c r="D7" s="172">
        <f>BACK!D4</f>
        <v/>
      </c>
      <c r="E7" s="172">
        <f>BACK!D5</f>
        <v/>
      </c>
      <c r="F7" s="172">
        <f>BACK!D6</f>
        <v/>
      </c>
      <c r="G7" s="172">
        <f>BACK!D7</f>
        <v/>
      </c>
      <c r="H7" s="172">
        <f>BACK!D8</f>
        <v/>
      </c>
      <c r="I7" s="172">
        <f>BACK!D9</f>
        <v/>
      </c>
      <c r="J7" s="52" t="n">
        <v>305</v>
      </c>
      <c r="K7" s="130" t="n"/>
      <c r="AA7" s="111">
        <f>AA5</f>
        <v/>
      </c>
      <c r="AB7" s="111">
        <f>AA6</f>
        <v/>
      </c>
      <c r="AC7" s="111">
        <f>AB6</f>
        <v/>
      </c>
      <c r="AD7" s="111">
        <f>AC6</f>
        <v/>
      </c>
      <c r="AE7" s="111">
        <f>AD6</f>
        <v/>
      </c>
      <c r="AF7" s="112" t="n"/>
      <c r="AG7" s="111">
        <f>AG5</f>
        <v/>
      </c>
      <c r="AH7" s="111">
        <f>AG6</f>
        <v/>
      </c>
      <c r="AI7" s="111">
        <f>AH6</f>
        <v/>
      </c>
      <c r="AJ7" s="111">
        <f>AI6</f>
        <v/>
      </c>
      <c r="AK7" s="111">
        <f>AJ6</f>
        <v/>
      </c>
      <c r="AL7" s="112" t="n"/>
      <c r="AM7" s="111">
        <f>AM5</f>
        <v/>
      </c>
      <c r="AN7" s="111">
        <f>AM6</f>
        <v/>
      </c>
      <c r="AO7" s="111">
        <f>AN6</f>
        <v/>
      </c>
      <c r="AP7" s="111">
        <f>AO6</f>
        <v/>
      </c>
      <c r="AQ7" s="111">
        <f>AP6</f>
        <v/>
      </c>
      <c r="AR7" s="112" t="n"/>
      <c r="AS7" s="111">
        <f>AS5</f>
        <v/>
      </c>
      <c r="AT7" s="111">
        <f>AS6</f>
        <v/>
      </c>
      <c r="AU7" s="111">
        <f>AT6</f>
        <v/>
      </c>
      <c r="AV7" s="111">
        <f>AU6</f>
        <v/>
      </c>
      <c r="AW7" s="111">
        <f>AV6</f>
        <v/>
      </c>
      <c r="AX7" s="50" t="n"/>
      <c r="AZ7" s="143" t="n"/>
      <c r="BA7" s="143" t="n"/>
      <c r="BB7" s="143" t="n"/>
      <c r="BC7" s="143" t="n"/>
      <c r="BD7" s="143" t="n"/>
      <c r="DG7" s="56">
        <f>ROUNDDOWN(#REF!,0)</f>
        <v/>
      </c>
      <c r="DH7" s="56">
        <f>ROUNDDOWN(#REF!,0)</f>
        <v/>
      </c>
      <c r="DI7" s="56" t="n"/>
      <c r="DJ7" s="56">
        <f>ROUNDDOWN(#REF!,0)</f>
        <v/>
      </c>
      <c r="DK7" s="56">
        <f>ROUNDDOWN(#REF!,0)</f>
        <v/>
      </c>
      <c r="DL7" s="56" t="n"/>
      <c r="DM7" s="56">
        <f>ROUNDDOWN(#REF!,0)</f>
        <v/>
      </c>
      <c r="DN7" s="56">
        <f>ROUNDDOWN(#REF!,0)</f>
        <v/>
      </c>
      <c r="DO7" s="56" t="n"/>
      <c r="DP7" s="56">
        <f>ROUNDDOWN(#REF!,0)</f>
        <v/>
      </c>
      <c r="DQ7" s="56">
        <f>ROUNDDOWN(#REF!,0)</f>
        <v/>
      </c>
      <c r="DS7" s="56">
        <f>ROUNDDOWN(#REF!,0)</f>
        <v/>
      </c>
      <c r="DT7" s="56">
        <f>ROUNDDOWN(#REF!,0)</f>
        <v/>
      </c>
      <c r="DU7" s="56" t="n"/>
      <c r="DV7" s="56">
        <f>ROUNDDOWN(#REF!,0)</f>
        <v/>
      </c>
      <c r="DW7" s="56">
        <f>ROUNDDOWN(#REF!,0)</f>
        <v/>
      </c>
      <c r="DY7" s="56">
        <f>ROUNDDOWN(#REF!,0)</f>
        <v/>
      </c>
      <c r="DZ7" s="56">
        <f>ROUNDDOWN(#REF!,0)</f>
        <v/>
      </c>
      <c r="EA7" s="56" t="n"/>
      <c r="EB7" s="56">
        <f>ROUNDDOWN(#REF!,0)</f>
        <v/>
      </c>
      <c r="EC7" s="56">
        <f>ROUNDDOWN(#REF!,0)</f>
        <v/>
      </c>
    </row>
    <row r="8">
      <c r="B8" s="56" t="inlineStr">
        <is>
          <t>Attendance Rate</t>
        </is>
      </c>
      <c r="C8" s="57">
        <f>BACK!L3</f>
        <v/>
      </c>
      <c r="D8" s="57">
        <f>BACK!L4</f>
        <v/>
      </c>
      <c r="E8" s="57">
        <f>BACK!L5</f>
        <v/>
      </c>
      <c r="F8" s="57">
        <f>BACK!L6</f>
        <v/>
      </c>
      <c r="G8" s="57">
        <f>BACK!L7</f>
        <v/>
      </c>
      <c r="H8" s="57">
        <f>BACK!L8</f>
        <v/>
      </c>
      <c r="I8" s="57">
        <f>BACK!L9</f>
        <v/>
      </c>
      <c r="J8" s="57">
        <f>AVERAGE(C7:I7)</f>
        <v/>
      </c>
      <c r="K8" s="131" t="n"/>
      <c r="M8" s="130" t="inlineStr">
        <is>
          <t>Bingo Reward Amount Table</t>
        </is>
      </c>
      <c r="AA8" s="111">
        <f>AA6</f>
        <v/>
      </c>
      <c r="AB8" s="111">
        <f>AA7</f>
        <v/>
      </c>
      <c r="AC8" s="111">
        <f>AB7</f>
        <v/>
      </c>
      <c r="AD8" s="111">
        <f>AC7</f>
        <v/>
      </c>
      <c r="AE8" s="111">
        <f>AD7</f>
        <v/>
      </c>
      <c r="AF8" s="112" t="n"/>
      <c r="AG8" s="111">
        <f>AG6</f>
        <v/>
      </c>
      <c r="AH8" s="111">
        <f>AG7</f>
        <v/>
      </c>
      <c r="AI8" s="111">
        <f>AH7</f>
        <v/>
      </c>
      <c r="AJ8" s="111">
        <f>AI7</f>
        <v/>
      </c>
      <c r="AK8" s="111">
        <f>AJ7</f>
        <v/>
      </c>
      <c r="AL8" s="112" t="n"/>
      <c r="AM8" s="111">
        <f>AM6</f>
        <v/>
      </c>
      <c r="AN8" s="111">
        <f>AM7</f>
        <v/>
      </c>
      <c r="AO8" s="111">
        <f>AN7</f>
        <v/>
      </c>
      <c r="AP8" s="111">
        <f>AO7</f>
        <v/>
      </c>
      <c r="AQ8" s="111">
        <f>AP7</f>
        <v/>
      </c>
      <c r="AR8" s="112" t="n"/>
      <c r="AS8" s="111">
        <f>AS6</f>
        <v/>
      </c>
      <c r="AT8" s="111">
        <f>AS7</f>
        <v/>
      </c>
      <c r="AU8" s="111">
        <f>AT7</f>
        <v/>
      </c>
      <c r="AV8" s="111">
        <f>AU7</f>
        <v/>
      </c>
      <c r="AW8" s="111">
        <f>AV7</f>
        <v/>
      </c>
      <c r="AX8" s="50" t="n"/>
      <c r="AZ8" s="143" t="n"/>
      <c r="BA8" s="143" t="n"/>
      <c r="BB8" s="143" t="n"/>
      <c r="BC8" s="143" t="n"/>
      <c r="BD8" s="143" t="n"/>
      <c r="DG8" s="56">
        <f>ROUNDDOWN(#REF!,0)</f>
        <v/>
      </c>
      <c r="DH8" s="56">
        <f>ROUNDDOWN(#REF!,0)</f>
        <v/>
      </c>
      <c r="DI8" s="56">
        <f>ROUNDDOWN(#REF!,0)</f>
        <v/>
      </c>
      <c r="DJ8" s="56">
        <f>ROUNDDOWN(#REF!,0)</f>
        <v/>
      </c>
      <c r="DK8" s="56">
        <f>ROUNDDOWN(#REF!,0)</f>
        <v/>
      </c>
      <c r="DL8" s="56" t="n"/>
      <c r="DM8" s="56">
        <f>ROUNDDOWN(#REF!,0)</f>
        <v/>
      </c>
      <c r="DN8" s="56">
        <f>ROUNDDOWN(#REF!,0)</f>
        <v/>
      </c>
      <c r="DO8" s="56">
        <f>ROUNDDOWN(#REF!,0)</f>
        <v/>
      </c>
      <c r="DP8" s="56">
        <f>ROUNDDOWN(#REF!,0)</f>
        <v/>
      </c>
      <c r="DQ8" s="56">
        <f>ROUNDDOWN(#REF!,0)</f>
        <v/>
      </c>
      <c r="DS8" s="56">
        <f>ROUNDDOWN(#REF!,0)</f>
        <v/>
      </c>
      <c r="DT8" s="56">
        <f>ROUNDDOWN(#REF!,0)</f>
        <v/>
      </c>
      <c r="DU8" s="56">
        <f>ROUNDDOWN(#REF!,0)</f>
        <v/>
      </c>
      <c r="DV8" s="56">
        <f>ROUNDDOWN(#REF!,0)</f>
        <v/>
      </c>
      <c r="DW8" s="56">
        <f>ROUNDDOWN(#REF!,0)</f>
        <v/>
      </c>
      <c r="DY8" s="56">
        <f>ROUNDDOWN(#REF!,0)</f>
        <v/>
      </c>
      <c r="DZ8" s="56">
        <f>ROUNDDOWN(#REF!,0)</f>
        <v/>
      </c>
      <c r="EA8" s="56">
        <f>ROUNDDOWN(#REF!,0)</f>
        <v/>
      </c>
      <c r="EB8" s="56">
        <f>ROUNDDOWN(#REF!,0)</f>
        <v/>
      </c>
      <c r="EC8" s="56">
        <f>ROUNDDOWN(#REF!,0)</f>
        <v/>
      </c>
    </row>
    <row r="9">
      <c r="B9" s="58" t="inlineStr">
        <is>
          <t>Population Ratio</t>
        </is>
      </c>
      <c r="C9" s="57" t="n">
        <v>0.1002329250882861</v>
      </c>
      <c r="D9" s="57" t="n">
        <v>0.2350289277932226</v>
      </c>
      <c r="E9" s="57" t="n">
        <v>0.3085881734164851</v>
      </c>
      <c r="F9" s="57" t="n">
        <v>0.2179728003606582</v>
      </c>
      <c r="G9" s="57" t="n">
        <v>0.09993237658727178</v>
      </c>
      <c r="H9" s="57" t="n">
        <v>0.02547148546096626</v>
      </c>
      <c r="I9" s="57" t="n">
        <v>0.01277331129310993</v>
      </c>
      <c r="M9" s="130" t="n">
        <v>1</v>
      </c>
      <c r="N9" s="143" t="n">
        <v>2</v>
      </c>
      <c r="O9" s="130" t="n">
        <v>3</v>
      </c>
      <c r="P9" s="130" t="n">
        <v>4</v>
      </c>
      <c r="Q9" s="130" t="n">
        <v>5</v>
      </c>
      <c r="R9" s="130" t="n">
        <v>6</v>
      </c>
      <c r="S9" s="130" t="n">
        <v>7</v>
      </c>
      <c r="T9" s="130" t="n">
        <v>8</v>
      </c>
      <c r="U9" s="130" t="n">
        <v>9</v>
      </c>
      <c r="Z9" s="130" t="n"/>
      <c r="AA9" s="111">
        <f>AA7</f>
        <v/>
      </c>
      <c r="AB9" s="111">
        <f>AA8</f>
        <v/>
      </c>
      <c r="AC9" s="111">
        <f>AB8</f>
        <v/>
      </c>
      <c r="AD9" s="111">
        <f>AC8</f>
        <v/>
      </c>
      <c r="AE9" s="111">
        <f>AD8</f>
        <v/>
      </c>
      <c r="AF9" s="112" t="n"/>
      <c r="AG9" s="111">
        <f>AG7</f>
        <v/>
      </c>
      <c r="AH9" s="111">
        <f>AG8</f>
        <v/>
      </c>
      <c r="AI9" s="111">
        <f>AH8</f>
        <v/>
      </c>
      <c r="AJ9" s="111">
        <f>AI8</f>
        <v/>
      </c>
      <c r="AK9" s="111">
        <f>AJ8</f>
        <v/>
      </c>
      <c r="AL9" s="112" t="n"/>
      <c r="AM9" s="111">
        <f>AM7</f>
        <v/>
      </c>
      <c r="AN9" s="111">
        <f>AM8</f>
        <v/>
      </c>
      <c r="AO9" s="111">
        <f>AN8</f>
        <v/>
      </c>
      <c r="AP9" s="111">
        <f>AO8</f>
        <v/>
      </c>
      <c r="AQ9" s="111">
        <f>AP8</f>
        <v/>
      </c>
      <c r="AR9" s="112" t="n"/>
      <c r="AS9" s="111">
        <f>AS7</f>
        <v/>
      </c>
      <c r="AT9" s="111">
        <f>AS8</f>
        <v/>
      </c>
      <c r="AU9" s="111">
        <f>AT8</f>
        <v/>
      </c>
      <c r="AV9" s="111">
        <f>AU8</f>
        <v/>
      </c>
      <c r="AW9" s="111">
        <f>AV8</f>
        <v/>
      </c>
      <c r="AX9" s="50" t="n"/>
      <c r="AZ9" s="143" t="n"/>
      <c r="BA9" s="143" t="n"/>
      <c r="BB9" s="143" t="n"/>
      <c r="BC9" s="143" t="n"/>
      <c r="BD9" s="143" t="n"/>
      <c r="DG9" s="56">
        <f>ROUNDDOWN(#REF!,0)</f>
        <v/>
      </c>
      <c r="DH9" s="56">
        <f>ROUNDDOWN(#REF!,0)</f>
        <v/>
      </c>
      <c r="DI9" s="56">
        <f>ROUNDDOWN(#REF!,0)</f>
        <v/>
      </c>
      <c r="DJ9" s="56">
        <f>ROUNDDOWN(#REF!,0)</f>
        <v/>
      </c>
      <c r="DK9" s="56">
        <f>ROUNDDOWN(#REF!,0)</f>
        <v/>
      </c>
      <c r="DL9" s="56" t="n"/>
      <c r="DM9" s="56">
        <f>ROUNDDOWN(#REF!,0)</f>
        <v/>
      </c>
      <c r="DN9" s="56">
        <f>ROUNDDOWN(#REF!,0)</f>
        <v/>
      </c>
      <c r="DO9" s="56">
        <f>ROUNDDOWN(#REF!,0)</f>
        <v/>
      </c>
      <c r="DP9" s="56">
        <f>ROUNDDOWN(#REF!,0)</f>
        <v/>
      </c>
      <c r="DQ9" s="56">
        <f>ROUNDDOWN(#REF!,0)</f>
        <v/>
      </c>
      <c r="DS9" s="56">
        <f>ROUNDDOWN(#REF!,0)</f>
        <v/>
      </c>
      <c r="DT9" s="56">
        <f>ROUNDDOWN(#REF!,0)</f>
        <v/>
      </c>
      <c r="DU9" s="56">
        <f>ROUNDDOWN(#REF!,0)</f>
        <v/>
      </c>
      <c r="DV9" s="56">
        <f>ROUNDDOWN(#REF!,0)</f>
        <v/>
      </c>
      <c r="DW9" s="56">
        <f>ROUNDDOWN(#REF!,0)</f>
        <v/>
      </c>
      <c r="DY9" s="56">
        <f>ROUNDDOWN(#REF!,0)</f>
        <v/>
      </c>
      <c r="DZ9" s="56">
        <f>ROUNDDOWN(#REF!,0)</f>
        <v/>
      </c>
      <c r="EA9" s="56">
        <f>ROUNDDOWN(#REF!,0)</f>
        <v/>
      </c>
      <c r="EB9" s="56">
        <f>ROUNDDOWN(#REF!,0)</f>
        <v/>
      </c>
      <c r="EC9" s="56">
        <f>ROUNDDOWN(#REF!,0)</f>
        <v/>
      </c>
    </row>
    <row r="10" ht="16.5" customHeight="1" s="161">
      <c r="A10" s="173" t="inlineStr">
        <is>
          <t>No.</t>
        </is>
      </c>
      <c r="B10" s="174" t="inlineStr">
        <is>
          <t>Total Bet</t>
        </is>
      </c>
      <c r="C10" s="175" t="inlineStr">
        <is>
          <t>BET Range</t>
        </is>
      </c>
      <c r="D10" s="175" t="inlineStr">
        <is>
          <t>BET Range</t>
        </is>
      </c>
      <c r="E10" s="175" t="inlineStr">
        <is>
          <t>BET Range</t>
        </is>
      </c>
      <c r="F10" s="175" t="inlineStr">
        <is>
          <t>BET Range</t>
        </is>
      </c>
      <c r="G10" s="175" t="inlineStr">
        <is>
          <t>BET Range</t>
        </is>
      </c>
      <c r="H10" s="175" t="inlineStr">
        <is>
          <t>BET Range</t>
        </is>
      </c>
      <c r="I10" s="175" t="inlineStr">
        <is>
          <t>BET Range</t>
        </is>
      </c>
      <c r="L10" s="60" t="inlineStr">
        <is>
          <t>Level</t>
        </is>
      </c>
      <c r="M10" s="61" t="inlineStr">
        <is>
          <t>Default Center Diamond</t>
        </is>
      </c>
      <c r="N10" s="62" t="inlineStr">
        <is>
          <t>Grand</t>
        </is>
      </c>
      <c r="O10" s="63" t="inlineStr">
        <is>
          <t>Mega</t>
        </is>
      </c>
      <c r="P10" s="63" t="inlineStr">
        <is>
          <t>Major</t>
        </is>
      </c>
      <c r="Q10" s="63" t="inlineStr">
        <is>
          <t>Minor</t>
        </is>
      </c>
      <c r="R10" s="63" t="inlineStr">
        <is>
          <t>Mini</t>
        </is>
      </c>
      <c r="S10" s="64" t="inlineStr">
        <is>
          <t>Coin1</t>
        </is>
      </c>
      <c r="T10" s="64" t="inlineStr">
        <is>
          <t>Coin2</t>
        </is>
      </c>
      <c r="U10" s="64" t="inlineStr">
        <is>
          <t>Coin3</t>
        </is>
      </c>
      <c r="V10" s="128" t="inlineStr">
        <is>
          <t>Multi</t>
        </is>
      </c>
      <c r="W10" s="66">
        <f>#REF!</f>
        <v/>
      </c>
      <c r="X10" s="65" t="inlineStr">
        <is>
          <t>Expected Value</t>
        </is>
      </c>
      <c r="Y10" s="65" t="inlineStr">
        <is>
          <t>Bingo Win Expected Value</t>
        </is>
      </c>
      <c r="AA10" s="114" t="n"/>
      <c r="AB10" s="113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  <c r="AX10" s="50" t="n"/>
      <c r="AZ10" s="143" t="n"/>
      <c r="BA10" s="143" t="n"/>
      <c r="BB10" s="143" t="n"/>
      <c r="BC10" s="143" t="n"/>
      <c r="BD10" s="143" t="n"/>
      <c r="DJ10" s="176">
        <f>SUM(DG11:DK15)</f>
        <v/>
      </c>
      <c r="DK10" s="176" t="n"/>
      <c r="DP10" s="176">
        <f>SUM(DM11:DQ15)</f>
        <v/>
      </c>
      <c r="DQ10" s="176" t="n"/>
      <c r="DV10" s="176">
        <f>SUM(DS11:DW15)</f>
        <v/>
      </c>
      <c r="DW10" s="176" t="n"/>
      <c r="EB10" s="176">
        <f>SUM(DY11:EC15)</f>
        <v/>
      </c>
      <c r="EC10" s="176" t="n"/>
    </row>
    <row r="11" ht="16.5" customHeight="1" s="161">
      <c r="A11" s="5" t="n">
        <v>1</v>
      </c>
      <c r="B11" s="153" t="inlineStr">
        <is>
          <t>10000 Under</t>
        </is>
      </c>
      <c r="C11" s="177" t="n">
        <v>0</v>
      </c>
      <c r="D11" s="177" t="n">
        <v>0</v>
      </c>
      <c r="E11" s="177" t="n">
        <v>0</v>
      </c>
      <c r="F11" s="177" t="n">
        <v>0</v>
      </c>
      <c r="G11" s="177" t="n">
        <v>0</v>
      </c>
      <c r="H11" s="177" t="n">
        <v>0</v>
      </c>
      <c r="I11" s="177" t="n">
        <v>0</v>
      </c>
      <c r="L11" s="60" t="n">
        <v>1</v>
      </c>
      <c r="M11" s="157" t="n">
        <v>200000</v>
      </c>
      <c r="N11" s="157" t="n">
        <v>100000000</v>
      </c>
      <c r="O11" s="157" t="n">
        <v>3000000</v>
      </c>
      <c r="P11" s="157" t="n">
        <v>1000000</v>
      </c>
      <c r="Q11" s="157" t="n">
        <v>300000</v>
      </c>
      <c r="R11" s="157" t="n">
        <v>100000</v>
      </c>
      <c r="S11" s="157" t="n">
        <v>30000</v>
      </c>
      <c r="T11" s="157" t="n">
        <v>50000</v>
      </c>
      <c r="U11" s="159" t="n">
        <v>70000</v>
      </c>
      <c r="V11" s="160" t="n">
        <v>1</v>
      </c>
      <c r="W11" s="52">
        <f>$W$9/V10</f>
        <v/>
      </c>
      <c r="X11" s="52">
        <f>SUM($M10/3,($N10*$M$4)/1000,($O10*$N$4)/1000,($P10*$O$4)/1000,($Q10*$P$4)/1000,($R10*$Q$4)/1000,($S10*$R$4)/1000,($T10*$S$4)/1000,($U10*$T$4)/1000)</f>
        <v/>
      </c>
      <c r="Y11" s="52">
        <f>X10*5</f>
        <v/>
      </c>
      <c r="Z11" s="130" t="inlineStr">
        <is>
          <t>&lt;- Reward Value Setting</t>
        </is>
      </c>
      <c r="AA11" s="114">
        <f>AA25</f>
        <v/>
      </c>
      <c r="AB11" s="114" t="n"/>
      <c r="AC11" s="114" t="n"/>
      <c r="AD11" s="114" t="n"/>
      <c r="AE11" s="114" t="n"/>
      <c r="AF11" s="114" t="n"/>
      <c r="AG11" s="114" t="inlineStr">
        <is>
          <t>Level6</t>
        </is>
      </c>
      <c r="AH11" s="114" t="n"/>
      <c r="AI11" s="114" t="n"/>
      <c r="AJ11" s="114" t="n"/>
      <c r="AK11" s="114" t="n"/>
      <c r="AL11" s="114" t="n"/>
      <c r="AM11" s="114" t="inlineStr">
        <is>
          <t>Level7</t>
        </is>
      </c>
      <c r="AN11" s="114" t="n"/>
      <c r="AO11" s="114" t="n"/>
      <c r="AP11" s="114" t="n"/>
      <c r="AQ11" s="114" t="n"/>
      <c r="AR11" s="114" t="n"/>
      <c r="AS11" s="114" t="inlineStr">
        <is>
          <t>Level8</t>
        </is>
      </c>
      <c r="AT11" s="114" t="n"/>
      <c r="AU11" s="114" t="n"/>
      <c r="AV11" s="114" t="n"/>
      <c r="AW11" s="114" t="n"/>
      <c r="AX11" s="50" t="n"/>
      <c r="AZ11" s="143" t="n"/>
      <c r="BA11" s="143" t="n"/>
      <c r="BB11" s="143" t="n"/>
      <c r="BC11" s="143" t="n"/>
      <c r="BD11" s="143" t="n"/>
      <c r="DG11" s="56" t="inlineStr">
        <is>
          <t>Level5</t>
        </is>
      </c>
      <c r="DH11" s="56" t="n"/>
      <c r="DI11" s="56" t="n"/>
      <c r="DJ11" s="56" t="n"/>
      <c r="DK11" s="56" t="n"/>
      <c r="DM11" s="56" t="inlineStr">
        <is>
          <t>Level6</t>
        </is>
      </c>
      <c r="DN11" s="56" t="n"/>
      <c r="DO11" s="56" t="n"/>
      <c r="DP11" s="56" t="n"/>
      <c r="DQ11" s="56" t="n"/>
      <c r="DS11" s="56" t="inlineStr">
        <is>
          <t>Level7</t>
        </is>
      </c>
      <c r="DT11" s="56" t="n"/>
      <c r="DU11" s="56" t="n"/>
      <c r="DV11" s="56" t="n"/>
      <c r="DW11" s="56" t="n"/>
      <c r="DY11" s="56" t="inlineStr">
        <is>
          <t>Level8</t>
        </is>
      </c>
      <c r="DZ11" s="56" t="n"/>
      <c r="EA11" s="56" t="n"/>
      <c r="EB11" s="56" t="n"/>
      <c r="EC11" s="56" t="n"/>
    </row>
    <row r="12" ht="16.5" customHeight="1" s="161">
      <c r="A12" s="5" t="n">
        <v>2</v>
      </c>
      <c r="B12" s="153" t="n">
        <v>10000</v>
      </c>
      <c r="C12" s="178" t="n">
        <v>1</v>
      </c>
      <c r="D12" s="177" t="n">
        <v>0</v>
      </c>
      <c r="E12" s="177" t="n">
        <v>0</v>
      </c>
      <c r="F12" s="177" t="n">
        <v>0</v>
      </c>
      <c r="G12" s="177" t="n">
        <v>0</v>
      </c>
      <c r="H12" s="177" t="n">
        <v>0</v>
      </c>
      <c r="I12" s="177" t="n">
        <v>0</v>
      </c>
      <c r="L12" s="60" t="n">
        <v>2</v>
      </c>
      <c r="M12" s="157">
        <f>M$10*V11</f>
        <v/>
      </c>
      <c r="N12" s="157" t="n">
        <v>100000000</v>
      </c>
      <c r="O12" s="157">
        <f>(O$10*$V11)</f>
        <v/>
      </c>
      <c r="P12" s="157">
        <f>(P$10*$V11)</f>
        <v/>
      </c>
      <c r="Q12" s="157">
        <f>(Q$10*$V11)</f>
        <v/>
      </c>
      <c r="R12" s="157">
        <f>(R$10*$V11)</f>
        <v/>
      </c>
      <c r="S12" s="157">
        <f>(S$10*$V11)</f>
        <v/>
      </c>
      <c r="T12" s="157">
        <f>(T$10*$V11)</f>
        <v/>
      </c>
      <c r="U12" s="159">
        <f>(U$10*$V11)</f>
        <v/>
      </c>
      <c r="V12" s="160" t="n">
        <v>2</v>
      </c>
      <c r="W12" s="52">
        <f>$W$9/V11</f>
        <v/>
      </c>
      <c r="X12" s="52">
        <f>SUM($M11/3,($N11*$M$4)/1000,($O11*$N$4)/1000,($P11*$O$4)/1000,($Q11*$P$4)/1000,($R11*$Q$4)/1000,($S11*$R$4)/1000,($T11*$S$4)/1000,($U11*$T$4)/1000)</f>
        <v/>
      </c>
      <c r="Y12" s="52">
        <f>X11*5</f>
        <v/>
      </c>
      <c r="AA12" s="107">
        <f>ROUND(IF($AA$1="B1", AA26, IF($AA$1="B2", AA41, IF($AA$1="B3", AA56, IF($AA$1="B4", AA71, IF($AA$1="B5", AA86, ""))))), 0)</f>
        <v/>
      </c>
      <c r="AB12" s="111">
        <f>AA11</f>
        <v/>
      </c>
      <c r="AC12" s="111">
        <f>AB11</f>
        <v/>
      </c>
      <c r="AD12" s="111">
        <f>AC11</f>
        <v/>
      </c>
      <c r="AE12" s="111">
        <f>AD11</f>
        <v/>
      </c>
      <c r="AF12" s="112" t="n"/>
      <c r="AG12" s="107">
        <f>ROUND(IF($AA$1="B1", AG26, IF($AA$1="B2", AG41, IF($AA$1="B3", AG56, IF($AA$1="B4", AG71, IF($AA$1="B5", AG86, ""))))), 0)</f>
        <v/>
      </c>
      <c r="AH12" s="111">
        <f>AG11</f>
        <v/>
      </c>
      <c r="AI12" s="111">
        <f>AH11</f>
        <v/>
      </c>
      <c r="AJ12" s="111">
        <f>AI11</f>
        <v/>
      </c>
      <c r="AK12" s="111">
        <f>AJ11</f>
        <v/>
      </c>
      <c r="AL12" s="112" t="n"/>
      <c r="AM12" s="107">
        <f>ROUND(IF($AA$1="B1", AM26, IF($AA$1="B2", AM41, IF($AA$1="B3", AM56, IF($AA$1="B4", AM71, IF($AA$1="B5", AM86, ""))))), 0)</f>
        <v/>
      </c>
      <c r="AN12" s="111">
        <f>AM11</f>
        <v/>
      </c>
      <c r="AO12" s="111">
        <f>AN11</f>
        <v/>
      </c>
      <c r="AP12" s="111">
        <f>AO11</f>
        <v/>
      </c>
      <c r="AQ12" s="111">
        <f>AP11</f>
        <v/>
      </c>
      <c r="AR12" s="112" t="n"/>
      <c r="AS12" s="107">
        <f>ROUND(IF($AA$1="B1", AS26, IF($AA$1="B2", AS41, IF($AA$1="B3", AS56, IF($AA$1="B4", AS71, IF($AA$1="B5", AS86, ""))))), 0)</f>
        <v/>
      </c>
      <c r="AT12" s="111">
        <f>AS11</f>
        <v/>
      </c>
      <c r="AU12" s="111">
        <f>AT11</f>
        <v/>
      </c>
      <c r="AV12" s="111">
        <f>AU11</f>
        <v/>
      </c>
      <c r="AW12" s="111">
        <f>AV11</f>
        <v/>
      </c>
      <c r="AX12" s="50" t="n"/>
      <c r="AZ12" s="143" t="n"/>
      <c r="BA12" s="143" t="n"/>
      <c r="BB12" s="143" t="n"/>
      <c r="BC12" s="143" t="n"/>
      <c r="BD12" s="143" t="n"/>
      <c r="DG12" s="56">
        <f>ROUNDDOWN(#REF!,0)</f>
        <v/>
      </c>
      <c r="DH12" s="56">
        <f>ROUNDDOWN(#REF!,0)</f>
        <v/>
      </c>
      <c r="DI12" s="56">
        <f>ROUNDDOWN(#REF!,0)</f>
        <v/>
      </c>
      <c r="DJ12" s="56">
        <f>ROUNDDOWN(#REF!,0)</f>
        <v/>
      </c>
      <c r="DK12" s="56">
        <f>ROUNDDOWN(#REF!,0)</f>
        <v/>
      </c>
      <c r="DM12" s="56">
        <f>ROUNDDOWN(#REF!,0)</f>
        <v/>
      </c>
      <c r="DN12" s="56">
        <f>ROUNDDOWN(#REF!,0)</f>
        <v/>
      </c>
      <c r="DO12" s="56">
        <f>ROUNDDOWN(#REF!,0)</f>
        <v/>
      </c>
      <c r="DP12" s="56">
        <f>ROUNDDOWN(#REF!,0)</f>
        <v/>
      </c>
      <c r="DQ12" s="56">
        <f>ROUNDDOWN(#REF!,0)</f>
        <v/>
      </c>
      <c r="DS12" s="56">
        <f>ROUNDDOWN(#REF!,0)</f>
        <v/>
      </c>
      <c r="DT12" s="56">
        <f>ROUNDDOWN(#REF!,0)</f>
        <v/>
      </c>
      <c r="DU12" s="56">
        <f>ROUNDDOWN(#REF!,0)</f>
        <v/>
      </c>
      <c r="DV12" s="56">
        <f>ROUNDDOWN(#REF!,0)</f>
        <v/>
      </c>
      <c r="DW12" s="56">
        <f>ROUNDDOWN(#REF!,0)</f>
        <v/>
      </c>
      <c r="DY12" s="56">
        <f>ROUNDDOWN(#REF!,0)</f>
        <v/>
      </c>
      <c r="DZ12" s="56">
        <f>ROUNDDOWN(#REF!,0)</f>
        <v/>
      </c>
      <c r="EA12" s="56">
        <f>ROUNDDOWN(#REF!,0)</f>
        <v/>
      </c>
      <c r="EB12" s="56">
        <f>ROUNDDOWN(#REF!,0)</f>
        <v/>
      </c>
      <c r="EC12" s="56">
        <f>ROUNDDOWN(#REF!,0)</f>
        <v/>
      </c>
    </row>
    <row r="13" ht="16.5" customHeight="1" s="161">
      <c r="A13" s="5" t="n">
        <v>3</v>
      </c>
      <c r="B13" s="153" t="n">
        <v>50000</v>
      </c>
      <c r="C13" s="178" t="n">
        <v>1</v>
      </c>
      <c r="D13" s="178" t="n">
        <v>1</v>
      </c>
      <c r="E13" s="177" t="n">
        <v>0</v>
      </c>
      <c r="F13" s="177" t="n">
        <v>0</v>
      </c>
      <c r="G13" s="177" t="n">
        <v>0</v>
      </c>
      <c r="H13" s="177" t="n">
        <v>0</v>
      </c>
      <c r="I13" s="177" t="n">
        <v>0</v>
      </c>
      <c r="L13" s="60" t="n">
        <v>3</v>
      </c>
      <c r="M13" s="157">
        <f>M$10*V12</f>
        <v/>
      </c>
      <c r="N13" s="157" t="n">
        <v>100000000</v>
      </c>
      <c r="O13" s="157">
        <f>(O$10*$V12)</f>
        <v/>
      </c>
      <c r="P13" s="157">
        <f>(P$10*$V12)</f>
        <v/>
      </c>
      <c r="Q13" s="157">
        <f>(Q$10*$V12)</f>
        <v/>
      </c>
      <c r="R13" s="157">
        <f>(R$10*$V12)</f>
        <v/>
      </c>
      <c r="S13" s="157">
        <f>(S$10*$V12)</f>
        <v/>
      </c>
      <c r="T13" s="157">
        <f>(T$10*$V12)</f>
        <v/>
      </c>
      <c r="U13" s="159">
        <f>(U$10*$V12)</f>
        <v/>
      </c>
      <c r="V13" s="160" t="n">
        <v>3</v>
      </c>
      <c r="W13" s="52">
        <f>$W$9/V12</f>
        <v/>
      </c>
      <c r="X13" s="52">
        <f>SUM($M12/3,($N12*$M$4)/1000,($O12*$N$4)/1000,($P12*$O$4)/1000,($Q12*$P$4)/1000,($R12*$Q$4)/1000,($S12*$R$4)/1000,($T12*$S$4)/1000,($U12*$T$4)/1000)</f>
        <v/>
      </c>
      <c r="Y13" s="52">
        <f>X12*5</f>
        <v/>
      </c>
      <c r="AA13" s="111">
        <f>AA11</f>
        <v/>
      </c>
      <c r="AB13" s="111">
        <f>AA12</f>
        <v/>
      </c>
      <c r="AC13" s="111">
        <f>AB12</f>
        <v/>
      </c>
      <c r="AD13" s="111">
        <f>AC12</f>
        <v/>
      </c>
      <c r="AE13" s="111">
        <f>AD12</f>
        <v/>
      </c>
      <c r="AF13" s="112" t="n"/>
      <c r="AG13" s="111">
        <f>AG11</f>
        <v/>
      </c>
      <c r="AH13" s="111">
        <f>AG12</f>
        <v/>
      </c>
      <c r="AI13" s="111">
        <f>AH12</f>
        <v/>
      </c>
      <c r="AJ13" s="111">
        <f>AI12</f>
        <v/>
      </c>
      <c r="AK13" s="111">
        <f>AJ12</f>
        <v/>
      </c>
      <c r="AL13" s="112" t="n"/>
      <c r="AM13" s="111">
        <f>AM11</f>
        <v/>
      </c>
      <c r="AN13" s="111">
        <f>AM12</f>
        <v/>
      </c>
      <c r="AO13" s="111">
        <f>AN12</f>
        <v/>
      </c>
      <c r="AP13" s="111">
        <f>AO12</f>
        <v/>
      </c>
      <c r="AQ13" s="111">
        <f>AP12</f>
        <v/>
      </c>
      <c r="AR13" s="112" t="n"/>
      <c r="AS13" s="111">
        <f>AS11</f>
        <v/>
      </c>
      <c r="AT13" s="111">
        <f>AS12</f>
        <v/>
      </c>
      <c r="AU13" s="111">
        <f>AT12</f>
        <v/>
      </c>
      <c r="AV13" s="111">
        <f>AU12</f>
        <v/>
      </c>
      <c r="AW13" s="111">
        <f>AV12</f>
        <v/>
      </c>
      <c r="AX13" s="50" t="n"/>
      <c r="AZ13" s="143" t="n"/>
      <c r="BA13" s="143" t="n"/>
      <c r="BB13" s="143" t="n"/>
      <c r="BC13" s="143" t="n"/>
      <c r="BD13" s="143" t="n"/>
      <c r="DG13" s="56">
        <f>ROUNDDOWN(#REF!,0)</f>
        <v/>
      </c>
      <c r="DH13" s="56">
        <f>ROUNDDOWN(#REF!,0)</f>
        <v/>
      </c>
      <c r="DI13" s="56">
        <f>ROUNDDOWN(#REF!,0)</f>
        <v/>
      </c>
      <c r="DJ13" s="56">
        <f>ROUNDDOWN(#REF!,0)</f>
        <v/>
      </c>
      <c r="DK13" s="56">
        <f>ROUNDDOWN(#REF!,0)</f>
        <v/>
      </c>
      <c r="DM13" s="56">
        <f>ROUNDDOWN(#REF!,0)</f>
        <v/>
      </c>
      <c r="DN13" s="56">
        <f>ROUNDDOWN(#REF!,0)</f>
        <v/>
      </c>
      <c r="DO13" s="56">
        <f>ROUNDDOWN(#REF!,0)</f>
        <v/>
      </c>
      <c r="DP13" s="56">
        <f>ROUNDDOWN(#REF!,0)</f>
        <v/>
      </c>
      <c r="DQ13" s="56">
        <f>ROUNDDOWN(#REF!,0)</f>
        <v/>
      </c>
      <c r="DS13" s="56">
        <f>ROUNDDOWN(#REF!,0)</f>
        <v/>
      </c>
      <c r="DT13" s="56">
        <f>ROUNDDOWN(#REF!,0)</f>
        <v/>
      </c>
      <c r="DU13" s="56">
        <f>ROUNDDOWN(#REF!,0)</f>
        <v/>
      </c>
      <c r="DV13" s="56">
        <f>ROUNDDOWN(#REF!,0)</f>
        <v/>
      </c>
      <c r="DW13" s="56">
        <f>ROUNDDOWN(#REF!,0)</f>
        <v/>
      </c>
      <c r="DY13" s="56">
        <f>ROUNDDOWN(#REF!,0)</f>
        <v/>
      </c>
      <c r="DZ13" s="56">
        <f>ROUNDDOWN(#REF!,0)</f>
        <v/>
      </c>
      <c r="EA13" s="56">
        <f>ROUNDDOWN(#REF!,0)</f>
        <v/>
      </c>
      <c r="EB13" s="56">
        <f>ROUNDDOWN(#REF!,0)</f>
        <v/>
      </c>
      <c r="EC13" s="56">
        <f>ROUNDDOWN(#REF!,0)</f>
        <v/>
      </c>
    </row>
    <row r="14" ht="16.5" customHeight="1" s="161">
      <c r="A14" s="5" t="n">
        <v>4</v>
      </c>
      <c r="B14" s="153" t="n">
        <v>100000</v>
      </c>
      <c r="C14" s="179" t="n">
        <v>2</v>
      </c>
      <c r="D14" s="178" t="n">
        <v>1</v>
      </c>
      <c r="E14" s="178" t="n">
        <v>1</v>
      </c>
      <c r="F14" s="178" t="n">
        <v>1</v>
      </c>
      <c r="G14" s="178" t="n">
        <v>1</v>
      </c>
      <c r="H14" s="177" t="n">
        <v>0</v>
      </c>
      <c r="I14" s="177" t="n">
        <v>0</v>
      </c>
      <c r="L14" s="60" t="n">
        <v>4</v>
      </c>
      <c r="M14" s="157">
        <f>M$10*V13</f>
        <v/>
      </c>
      <c r="N14" s="157" t="n">
        <v>100000000</v>
      </c>
      <c r="O14" s="157">
        <f>(O$10*$V13)</f>
        <v/>
      </c>
      <c r="P14" s="157">
        <f>(P$10*$V13)</f>
        <v/>
      </c>
      <c r="Q14" s="157">
        <f>(Q$10*$V13)</f>
        <v/>
      </c>
      <c r="R14" s="157">
        <f>(R$10*$V13)</f>
        <v/>
      </c>
      <c r="S14" s="157">
        <f>(S$10*$V13)</f>
        <v/>
      </c>
      <c r="T14" s="157">
        <f>(T$10*$V13)</f>
        <v/>
      </c>
      <c r="U14" s="159">
        <f>(U$10*$V13)</f>
        <v/>
      </c>
      <c r="V14" s="160" t="n">
        <v>5</v>
      </c>
      <c r="W14" s="52">
        <f>$W$9/V13</f>
        <v/>
      </c>
      <c r="X14" s="52">
        <f>SUM($M13/3,($N13*$M$4)/1000,($O13*$N$4)/1000,($P13*$O$4)/1000,($Q13*$P$4)/1000,($R13*$Q$4)/1000,($S13*$R$4)/1000,($T13*$S$4)/1000,($U13*$T$4)/1000)</f>
        <v/>
      </c>
      <c r="Y14" s="52">
        <f>X13*5</f>
        <v/>
      </c>
      <c r="AA14" s="111">
        <f>AA12</f>
        <v/>
      </c>
      <c r="AB14" s="111">
        <f>AA13</f>
        <v/>
      </c>
      <c r="AC14" s="111">
        <f>AB13</f>
        <v/>
      </c>
      <c r="AD14" s="111">
        <f>AC13</f>
        <v/>
      </c>
      <c r="AE14" s="111">
        <f>AD13</f>
        <v/>
      </c>
      <c r="AF14" s="112" t="n"/>
      <c r="AG14" s="111">
        <f>AG12</f>
        <v/>
      </c>
      <c r="AH14" s="111">
        <f>AG13</f>
        <v/>
      </c>
      <c r="AI14" s="111">
        <f>AH13</f>
        <v/>
      </c>
      <c r="AJ14" s="111">
        <f>AI13</f>
        <v/>
      </c>
      <c r="AK14" s="111">
        <f>AJ13</f>
        <v/>
      </c>
      <c r="AL14" s="112" t="n"/>
      <c r="AM14" s="111">
        <f>AM12</f>
        <v/>
      </c>
      <c r="AN14" s="111">
        <f>AM13</f>
        <v/>
      </c>
      <c r="AO14" s="111">
        <f>AN13</f>
        <v/>
      </c>
      <c r="AP14" s="111">
        <f>AO13</f>
        <v/>
      </c>
      <c r="AQ14" s="111">
        <f>AP13</f>
        <v/>
      </c>
      <c r="AR14" s="112" t="n"/>
      <c r="AS14" s="111">
        <f>AS12</f>
        <v/>
      </c>
      <c r="AT14" s="111">
        <f>AS13</f>
        <v/>
      </c>
      <c r="AU14" s="111">
        <f>AT13</f>
        <v/>
      </c>
      <c r="AV14" s="111">
        <f>AU13</f>
        <v/>
      </c>
      <c r="AW14" s="111">
        <f>AV13</f>
        <v/>
      </c>
      <c r="AX14" s="50" t="n"/>
      <c r="AZ14" s="143" t="n"/>
      <c r="BA14" s="143" t="n"/>
      <c r="BB14" s="143" t="n"/>
      <c r="BC14" s="143" t="n"/>
      <c r="BD14" s="143" t="n"/>
      <c r="DG14" s="56">
        <f>ROUNDDOWN(#REF!,0)</f>
        <v/>
      </c>
      <c r="DH14" s="56">
        <f>ROUNDDOWN(#REF!,0)</f>
        <v/>
      </c>
      <c r="DI14" s="56" t="n"/>
      <c r="DJ14" s="56">
        <f>ROUNDDOWN(#REF!,0)</f>
        <v/>
      </c>
      <c r="DK14" s="56">
        <f>ROUNDDOWN(#REF!,0)</f>
        <v/>
      </c>
      <c r="DM14" s="56">
        <f>ROUNDDOWN(#REF!,0)</f>
        <v/>
      </c>
      <c r="DN14" s="56">
        <f>ROUNDDOWN(#REF!,0)</f>
        <v/>
      </c>
      <c r="DO14" s="56" t="n"/>
      <c r="DP14" s="56">
        <f>ROUNDDOWN(#REF!,0)</f>
        <v/>
      </c>
      <c r="DQ14" s="56">
        <f>ROUNDDOWN(#REF!,0)</f>
        <v/>
      </c>
      <c r="DS14" s="56">
        <f>ROUNDDOWN(#REF!,0)</f>
        <v/>
      </c>
      <c r="DT14" s="56">
        <f>ROUNDDOWN(#REF!,0)</f>
        <v/>
      </c>
      <c r="DU14" s="56" t="n"/>
      <c r="DV14" s="56">
        <f>ROUNDDOWN(#REF!,0)</f>
        <v/>
      </c>
      <c r="DW14" s="56">
        <f>ROUNDDOWN(#REF!,0)</f>
        <v/>
      </c>
      <c r="DY14" s="56">
        <f>ROUNDDOWN(#REF!,0)</f>
        <v/>
      </c>
      <c r="DZ14" s="56">
        <f>ROUNDDOWN(#REF!,0)</f>
        <v/>
      </c>
      <c r="EA14" s="56" t="n"/>
      <c r="EB14" s="56">
        <f>ROUNDDOWN(#REF!,0)</f>
        <v/>
      </c>
      <c r="EC14" s="56">
        <f>ROUNDDOWN(#REF!,0)</f>
        <v/>
      </c>
    </row>
    <row r="15" ht="16.5" customHeight="1" s="161">
      <c r="A15" s="5" t="n">
        <v>5</v>
      </c>
      <c r="B15" s="153" t="n">
        <v>200000</v>
      </c>
      <c r="C15" s="179" t="n">
        <v>2</v>
      </c>
      <c r="D15" s="178" t="n">
        <v>1</v>
      </c>
      <c r="E15" s="178" t="n">
        <v>1</v>
      </c>
      <c r="F15" s="178" t="n">
        <v>1</v>
      </c>
      <c r="G15" s="178" t="n">
        <v>1</v>
      </c>
      <c r="H15" s="178" t="n">
        <v>1</v>
      </c>
      <c r="I15" s="177" t="n">
        <v>0</v>
      </c>
      <c r="L15" s="60" t="n">
        <v>5</v>
      </c>
      <c r="M15" s="157">
        <f>M$10*V14</f>
        <v/>
      </c>
      <c r="N15" s="157" t="n">
        <v>100000000</v>
      </c>
      <c r="O15" s="157">
        <f>(O$10*$V14)</f>
        <v/>
      </c>
      <c r="P15" s="157">
        <f>(P$10*$V14)</f>
        <v/>
      </c>
      <c r="Q15" s="157">
        <f>(Q$10*$V14)</f>
        <v/>
      </c>
      <c r="R15" s="157">
        <f>(R$10*$V14)</f>
        <v/>
      </c>
      <c r="S15" s="157">
        <f>(S$10*$V14)</f>
        <v/>
      </c>
      <c r="T15" s="157">
        <f>(T$10*$V14)</f>
        <v/>
      </c>
      <c r="U15" s="159">
        <f>(U$10*$V14)</f>
        <v/>
      </c>
      <c r="V15" s="160" t="n">
        <v>6</v>
      </c>
      <c r="W15" s="52">
        <f>$W$9/V14</f>
        <v/>
      </c>
      <c r="X15" s="52">
        <f>SUM($M14/3,($N14*$M$4)/1000,($O14*$N$4)/1000,($P14*$O$4)/1000,($Q14*$P$4)/1000,($R14*$Q$4)/1000,($S14*$R$4)/1000,($T14*$S$4)/1000,($U14*$T$4)/1000)</f>
        <v/>
      </c>
      <c r="Y15" s="52">
        <f>X14*5</f>
        <v/>
      </c>
      <c r="AA15" s="111">
        <f>AA13</f>
        <v/>
      </c>
      <c r="AB15" s="111">
        <f>AA14</f>
        <v/>
      </c>
      <c r="AC15" s="111">
        <f>AB14</f>
        <v/>
      </c>
      <c r="AD15" s="111">
        <f>AC14</f>
        <v/>
      </c>
      <c r="AE15" s="111">
        <f>AD14</f>
        <v/>
      </c>
      <c r="AF15" s="112" t="n"/>
      <c r="AG15" s="111">
        <f>AG13</f>
        <v/>
      </c>
      <c r="AH15" s="111">
        <f>AG14</f>
        <v/>
      </c>
      <c r="AI15" s="111">
        <f>AH14</f>
        <v/>
      </c>
      <c r="AJ15" s="111">
        <f>AI14</f>
        <v/>
      </c>
      <c r="AK15" s="111">
        <f>AJ14</f>
        <v/>
      </c>
      <c r="AL15" s="112" t="n"/>
      <c r="AM15" s="111">
        <f>AM13</f>
        <v/>
      </c>
      <c r="AN15" s="111">
        <f>AM14</f>
        <v/>
      </c>
      <c r="AO15" s="111">
        <f>AN14</f>
        <v/>
      </c>
      <c r="AP15" s="111">
        <f>AO14</f>
        <v/>
      </c>
      <c r="AQ15" s="111">
        <f>AP14</f>
        <v/>
      </c>
      <c r="AR15" s="112" t="n"/>
      <c r="AS15" s="111">
        <f>AS13</f>
        <v/>
      </c>
      <c r="AT15" s="111">
        <f>AS14</f>
        <v/>
      </c>
      <c r="AU15" s="111">
        <f>AT14</f>
        <v/>
      </c>
      <c r="AV15" s="111">
        <f>AU14</f>
        <v/>
      </c>
      <c r="AW15" s="111">
        <f>AV14</f>
        <v/>
      </c>
      <c r="AX15" s="50" t="n"/>
      <c r="AZ15" s="143" t="n"/>
      <c r="BA15" s="143" t="n"/>
      <c r="BB15" s="143" t="n"/>
      <c r="BC15" s="143" t="n"/>
      <c r="BD15" s="143" t="n"/>
      <c r="DG15" s="56">
        <f>ROUNDDOWN(#REF!,0)</f>
        <v/>
      </c>
      <c r="DH15" s="56">
        <f>ROUNDDOWN(#REF!,0)</f>
        <v/>
      </c>
      <c r="DI15" s="56">
        <f>ROUNDDOWN(#REF!,0)</f>
        <v/>
      </c>
      <c r="DJ15" s="56">
        <f>ROUNDDOWN(#REF!,0)</f>
        <v/>
      </c>
      <c r="DK15" s="56">
        <f>ROUNDDOWN(#REF!,0)</f>
        <v/>
      </c>
      <c r="DM15" s="56">
        <f>ROUNDDOWN(#REF!,0)</f>
        <v/>
      </c>
      <c r="DN15" s="56">
        <f>ROUNDDOWN(#REF!,0)</f>
        <v/>
      </c>
      <c r="DO15" s="56">
        <f>ROUNDDOWN(#REF!,0)</f>
        <v/>
      </c>
      <c r="DP15" s="56">
        <f>ROUNDDOWN(#REF!,0)</f>
        <v/>
      </c>
      <c r="DQ15" s="56">
        <f>ROUNDDOWN(#REF!,0)</f>
        <v/>
      </c>
      <c r="DS15" s="56">
        <f>ROUNDDOWN(#REF!,0)</f>
        <v/>
      </c>
      <c r="DT15" s="56">
        <f>ROUNDDOWN(#REF!,0)</f>
        <v/>
      </c>
      <c r="DU15" s="56">
        <f>ROUNDDOWN(#REF!,0)</f>
        <v/>
      </c>
      <c r="DV15" s="56">
        <f>ROUNDDOWN(#REF!,0)</f>
        <v/>
      </c>
      <c r="DW15" s="56">
        <f>ROUNDDOWN(#REF!,0)</f>
        <v/>
      </c>
      <c r="DY15" s="56">
        <f>ROUNDDOWN(#REF!,0)</f>
        <v/>
      </c>
      <c r="DZ15" s="56">
        <f>ROUNDDOWN(#REF!,0)</f>
        <v/>
      </c>
      <c r="EA15" s="56">
        <f>ROUNDDOWN(#REF!,0)</f>
        <v/>
      </c>
      <c r="EB15" s="56">
        <f>ROUNDDOWN(#REF!,0)</f>
        <v/>
      </c>
      <c r="EC15" s="56">
        <f>ROUNDDOWN(#REF!,0)</f>
        <v/>
      </c>
    </row>
    <row r="16" ht="16.5" customHeight="1" s="161">
      <c r="A16" s="5" t="n">
        <v>6</v>
      </c>
      <c r="B16" s="153" t="n">
        <v>300000</v>
      </c>
      <c r="C16" s="180" t="n">
        <v>3</v>
      </c>
      <c r="D16" s="179" t="n">
        <v>2</v>
      </c>
      <c r="E16" s="178" t="n">
        <v>1</v>
      </c>
      <c r="F16" s="178" t="n">
        <v>1</v>
      </c>
      <c r="G16" s="178" t="n">
        <v>1</v>
      </c>
      <c r="H16" s="178" t="n">
        <v>1</v>
      </c>
      <c r="I16" s="178" t="n">
        <v>1</v>
      </c>
      <c r="L16" s="60" t="n">
        <v>6</v>
      </c>
      <c r="M16" s="157">
        <f>M$10*V15</f>
        <v/>
      </c>
      <c r="N16" s="157" t="n">
        <v>100000000</v>
      </c>
      <c r="O16" s="157">
        <f>(O$10*$V15)</f>
        <v/>
      </c>
      <c r="P16" s="157">
        <f>(P$10*$V15)</f>
        <v/>
      </c>
      <c r="Q16" s="157">
        <f>(Q$10*$V15)</f>
        <v/>
      </c>
      <c r="R16" s="157">
        <f>(R$10*$V15)</f>
        <v/>
      </c>
      <c r="S16" s="157">
        <f>(S$10*$V15)</f>
        <v/>
      </c>
      <c r="T16" s="157">
        <f>(T$10*$V15)</f>
        <v/>
      </c>
      <c r="U16" s="159">
        <f>(U$10*$V15)</f>
        <v/>
      </c>
      <c r="V16" s="160" t="n">
        <v>7</v>
      </c>
      <c r="W16" s="52">
        <f>$W$9/V15</f>
        <v/>
      </c>
      <c r="X16" s="52">
        <f>SUM($M15/3,($N15*$M$4)/1000,($O15*$N$4)/1000,($P15*$O$4)/1000,($Q15*$P$4)/1000,($R15*$Q$4)/1000,($S15*$R$4)/1000,($T15*$S$4)/1000,($U15*$T$4)/1000)</f>
        <v/>
      </c>
      <c r="Y16" s="52">
        <f>X15*5</f>
        <v/>
      </c>
      <c r="AA16" s="111">
        <f>AA14</f>
        <v/>
      </c>
      <c r="AB16" s="111">
        <f>AA15</f>
        <v/>
      </c>
      <c r="AC16" s="111">
        <f>AB15</f>
        <v/>
      </c>
      <c r="AD16" s="111">
        <f>AC15</f>
        <v/>
      </c>
      <c r="AE16" s="111">
        <f>AD15</f>
        <v/>
      </c>
      <c r="AF16" s="112" t="n"/>
      <c r="AG16" s="111">
        <f>AG14</f>
        <v/>
      </c>
      <c r="AH16" s="111">
        <f>AG15</f>
        <v/>
      </c>
      <c r="AI16" s="111">
        <f>AH15</f>
        <v/>
      </c>
      <c r="AJ16" s="111">
        <f>AI15</f>
        <v/>
      </c>
      <c r="AK16" s="111">
        <f>AJ15</f>
        <v/>
      </c>
      <c r="AL16" s="112" t="n"/>
      <c r="AM16" s="111">
        <f>AM14</f>
        <v/>
      </c>
      <c r="AN16" s="111">
        <f>AM15</f>
        <v/>
      </c>
      <c r="AO16" s="111">
        <f>AN15</f>
        <v/>
      </c>
      <c r="AP16" s="111">
        <f>AO15</f>
        <v/>
      </c>
      <c r="AQ16" s="111">
        <f>AP15</f>
        <v/>
      </c>
      <c r="AR16" s="112" t="n"/>
      <c r="AS16" s="111">
        <f>AS14</f>
        <v/>
      </c>
      <c r="AT16" s="111">
        <f>AS15</f>
        <v/>
      </c>
      <c r="AU16" s="111">
        <f>AT15</f>
        <v/>
      </c>
      <c r="AV16" s="111">
        <f>AU15</f>
        <v/>
      </c>
      <c r="AW16" s="111">
        <f>AV15</f>
        <v/>
      </c>
      <c r="AX16" s="50" t="n"/>
      <c r="AZ16" s="143" t="n"/>
      <c r="BA16" s="143" t="n"/>
      <c r="BB16" s="143" t="n"/>
      <c r="BC16" s="143" t="n"/>
      <c r="BD16" s="143" t="n"/>
      <c r="DG16" s="56">
        <f>ROUNDDOWN(#REF!,0)</f>
        <v/>
      </c>
      <c r="DH16" s="56">
        <f>ROUNDDOWN(#REF!,0)</f>
        <v/>
      </c>
      <c r="DI16" s="56">
        <f>ROUNDDOWN(#REF!,0)</f>
        <v/>
      </c>
      <c r="DJ16" s="56">
        <f>ROUNDDOWN(#REF!,0)</f>
        <v/>
      </c>
      <c r="DK16" s="56">
        <f>ROUNDDOWN(#REF!,0)</f>
        <v/>
      </c>
      <c r="DM16" s="56">
        <f>ROUNDDOWN(#REF!,0)</f>
        <v/>
      </c>
      <c r="DN16" s="56">
        <f>ROUNDDOWN(#REF!,0)</f>
        <v/>
      </c>
      <c r="DO16" s="56">
        <f>ROUNDDOWN(#REF!,0)</f>
        <v/>
      </c>
      <c r="DP16" s="56">
        <f>ROUNDDOWN(#REF!,0)</f>
        <v/>
      </c>
      <c r="DQ16" s="56">
        <f>ROUNDDOWN(#REF!,0)</f>
        <v/>
      </c>
      <c r="DS16" s="56">
        <f>ROUNDDOWN(#REF!,0)</f>
        <v/>
      </c>
      <c r="DT16" s="56">
        <f>ROUNDDOWN(#REF!,0)</f>
        <v/>
      </c>
      <c r="DU16" s="56">
        <f>ROUNDDOWN(#REF!,0)</f>
        <v/>
      </c>
      <c r="DV16" s="56">
        <f>ROUNDDOWN(#REF!,0)</f>
        <v/>
      </c>
      <c r="DW16" s="56">
        <f>ROUNDDOWN(#REF!,0)</f>
        <v/>
      </c>
      <c r="DY16" s="56">
        <f>ROUNDDOWN(#REF!,0)</f>
        <v/>
      </c>
      <c r="DZ16" s="56">
        <f>ROUNDDOWN(#REF!,0)</f>
        <v/>
      </c>
      <c r="EA16" s="56">
        <f>ROUNDDOWN(#REF!,0)</f>
        <v/>
      </c>
      <c r="EB16" s="56">
        <f>ROUNDDOWN(#REF!,0)</f>
        <v/>
      </c>
      <c r="EC16" s="56">
        <f>ROUNDDOWN(#REF!,0)</f>
        <v/>
      </c>
    </row>
    <row r="17" ht="16.5" customHeight="1" s="161">
      <c r="A17" s="5" t="n">
        <v>7</v>
      </c>
      <c r="B17" s="153" t="n">
        <v>500000</v>
      </c>
      <c r="C17" s="180" t="n">
        <v>3</v>
      </c>
      <c r="D17" s="180" t="n">
        <v>3</v>
      </c>
      <c r="E17" s="179" t="n">
        <v>2</v>
      </c>
      <c r="F17" s="179" t="n">
        <v>2</v>
      </c>
      <c r="G17" s="178" t="n">
        <v>1</v>
      </c>
      <c r="H17" s="178" t="n">
        <v>1</v>
      </c>
      <c r="I17" s="178" t="n">
        <v>1</v>
      </c>
      <c r="L17" s="60" t="n">
        <v>7</v>
      </c>
      <c r="M17" s="157">
        <f>M$10*V16</f>
        <v/>
      </c>
      <c r="N17" s="157" t="n">
        <v>100000000</v>
      </c>
      <c r="O17" s="157">
        <f>(O$10*$V16)</f>
        <v/>
      </c>
      <c r="P17" s="157">
        <f>(P$10*$V16)</f>
        <v/>
      </c>
      <c r="Q17" s="157">
        <f>(Q$10*$V16)</f>
        <v/>
      </c>
      <c r="R17" s="157">
        <f>(R$10*$V16)</f>
        <v/>
      </c>
      <c r="S17" s="157">
        <f>(S$10*$V16)</f>
        <v/>
      </c>
      <c r="T17" s="157">
        <f>(T$10*$V16)</f>
        <v/>
      </c>
      <c r="U17" s="159">
        <f>(U$10*$V16)</f>
        <v/>
      </c>
      <c r="V17" s="160" t="n">
        <v>8</v>
      </c>
      <c r="W17" s="52">
        <f>$W$9/V16</f>
        <v/>
      </c>
      <c r="X17" s="52">
        <f>SUM($M16/3,($N16*$M$4)/1000,($O16*$N$4)/1000,($P16*$O$4)/1000,($Q16*$P$4)/1000,($R16*$Q$4)/1000,($S16*$R$4)/1000,($T16*$S$4)/1000,($U16*$T$4)/1000)</f>
        <v/>
      </c>
      <c r="Y17" s="52">
        <f>X16*5</f>
        <v/>
      </c>
      <c r="AX17" s="50" t="n"/>
      <c r="AZ17" s="143" t="n"/>
      <c r="BA17" s="143" t="n"/>
      <c r="BB17" s="143" t="n"/>
      <c r="BC17" s="143" t="n"/>
      <c r="BD17" s="143" t="n"/>
    </row>
    <row r="18">
      <c r="A18" s="5" t="n">
        <v>8</v>
      </c>
      <c r="B18" s="153" t="n">
        <v>700000</v>
      </c>
      <c r="C18" s="181" t="n">
        <v>4</v>
      </c>
      <c r="D18" s="181" t="n">
        <v>4</v>
      </c>
      <c r="E18" s="179" t="n">
        <v>2</v>
      </c>
      <c r="F18" s="179" t="n">
        <v>2</v>
      </c>
      <c r="G18" s="179" t="n">
        <v>2</v>
      </c>
      <c r="H18" s="178" t="n">
        <v>1</v>
      </c>
      <c r="I18" s="178" t="n">
        <v>1</v>
      </c>
      <c r="L18" s="60" t="n">
        <v>8</v>
      </c>
      <c r="M18" s="157">
        <f>M$10*V17</f>
        <v/>
      </c>
      <c r="N18" s="157" t="n">
        <v>100000000</v>
      </c>
      <c r="O18" s="157">
        <f>(O$10*$V17)</f>
        <v/>
      </c>
      <c r="P18" s="157">
        <f>(P$10*$V17)</f>
        <v/>
      </c>
      <c r="Q18" s="157">
        <f>(Q$10*$V17)</f>
        <v/>
      </c>
      <c r="R18" s="157">
        <f>(R$10*$V17)</f>
        <v/>
      </c>
      <c r="S18" s="157">
        <f>(S$10*$V17)</f>
        <v/>
      </c>
      <c r="T18" s="157">
        <f>(T$10*$V17)</f>
        <v/>
      </c>
      <c r="U18" s="159">
        <f>(U$10*$V17)</f>
        <v/>
      </c>
      <c r="V18" s="160" t="n">
        <v>10</v>
      </c>
      <c r="W18" s="52">
        <f>$W$9/V17</f>
        <v/>
      </c>
      <c r="X18" s="52">
        <f>SUM($M17/3,($N17*$M$4)/1000,($O17*$N$4)/1000,($P17*$O$4)/1000,($Q17*$P$4)/1000,($R17*$Q$4)/1000,($S17*$R$4)/1000,($T17*$S$4)/1000,($U17*$T$4)/1000)</f>
        <v/>
      </c>
      <c r="Y18" s="52">
        <f>X17*5</f>
        <v/>
      </c>
      <c r="AA18" s="115" t="inlineStr">
        <is>
          <t>Bet Range 1</t>
        </is>
      </c>
      <c r="AX18" s="50" t="n"/>
      <c r="AZ18" s="143" t="n"/>
      <c r="BA18" s="143" t="n"/>
      <c r="BB18" s="143" t="n"/>
      <c r="BC18" s="143" t="n"/>
      <c r="BD18" s="143" t="n"/>
    </row>
    <row r="19">
      <c r="A19" s="5" t="n">
        <v>9</v>
      </c>
      <c r="B19" s="153" t="n">
        <v>1000000</v>
      </c>
      <c r="C19" s="181" t="n">
        <v>4</v>
      </c>
      <c r="D19" s="181" t="n">
        <v>4</v>
      </c>
      <c r="E19" s="180" t="n">
        <v>3</v>
      </c>
      <c r="F19" s="180" t="n">
        <v>3</v>
      </c>
      <c r="G19" s="179" t="n">
        <v>2</v>
      </c>
      <c r="H19" s="179" t="n">
        <v>2</v>
      </c>
      <c r="I19" s="179" t="n">
        <v>2</v>
      </c>
      <c r="Z19" s="143">
        <f>SUM(AA19:AE23,AG19:AK23,AM19:AQ23,AS19:AW23,AA26:AE30,AG26:AK30,AM26:AQ30,AS26:AW30)-SUM(AC21,AI21,AO21,AU21,AC28,AI28,AO28,AU28)</f>
        <v/>
      </c>
      <c r="AA19" s="122" t="inlineStr">
        <is>
          <t>Level1</t>
        </is>
      </c>
      <c r="AB19" s="182" t="n"/>
      <c r="AC19" s="182" t="n"/>
      <c r="AD19" s="122" t="n"/>
      <c r="AE19" s="122" t="n"/>
      <c r="AF19" s="122" t="n"/>
      <c r="AG19" s="122" t="inlineStr">
        <is>
          <t>Level2</t>
        </is>
      </c>
      <c r="AH19" s="182" t="n"/>
      <c r="AI19" s="182" t="n"/>
      <c r="AJ19" s="122" t="n"/>
      <c r="AK19" s="122" t="n"/>
      <c r="AL19" s="122" t="n"/>
      <c r="AM19" s="122" t="inlineStr">
        <is>
          <t>Level3</t>
        </is>
      </c>
      <c r="AN19" s="122" t="n"/>
      <c r="AO19" s="122" t="n"/>
      <c r="AP19" s="122" t="n"/>
      <c r="AQ19" s="122" t="n"/>
      <c r="AR19" s="122" t="n"/>
      <c r="AS19" s="122" t="inlineStr">
        <is>
          <t>Level4</t>
        </is>
      </c>
      <c r="AT19" s="122" t="n"/>
      <c r="AU19" s="122" t="n"/>
      <c r="AV19" s="122" t="n"/>
      <c r="AW19" s="119" t="n"/>
      <c r="AX19" s="50" t="n"/>
      <c r="AZ19" s="143" t="n"/>
      <c r="BA19" s="143" t="n"/>
      <c r="BB19" s="143" t="n"/>
      <c r="BC19" s="143" t="n"/>
      <c r="BD19" s="143" t="n"/>
    </row>
    <row r="20">
      <c r="A20" s="5" t="n">
        <v>10</v>
      </c>
      <c r="B20" s="153" t="n">
        <v>5000000</v>
      </c>
      <c r="C20" s="183" t="n">
        <v>5</v>
      </c>
      <c r="D20" s="183" t="n">
        <v>5</v>
      </c>
      <c r="E20" s="181" t="n">
        <v>4</v>
      </c>
      <c r="F20" s="181" t="n">
        <v>4</v>
      </c>
      <c r="G20" s="180" t="n">
        <v>3</v>
      </c>
      <c r="H20" s="180" t="n">
        <v>3</v>
      </c>
      <c r="I20" s="180" t="n">
        <v>3</v>
      </c>
      <c r="L20" s="62" t="inlineStr">
        <is>
          <t>Grand</t>
        </is>
      </c>
      <c r="M20" s="52">
        <f>N10</f>
        <v/>
      </c>
      <c r="N20" s="80">
        <f>M19/M$27</f>
        <v/>
      </c>
      <c r="O20" s="52">
        <f>1/N19</f>
        <v/>
      </c>
      <c r="P20" s="80">
        <f>O19/O$27</f>
        <v/>
      </c>
      <c r="Q20" s="52">
        <f>ROUND(P19*10000,0)</f>
        <v/>
      </c>
      <c r="R20" s="52">
        <f>Q19/10</f>
        <v/>
      </c>
      <c r="S20" s="123" t="n">
        <v>1</v>
      </c>
      <c r="AA20" s="184">
        <f>M67</f>
        <v/>
      </c>
      <c r="AB20" s="185">
        <f>AA19</f>
        <v/>
      </c>
      <c r="AC20" s="185">
        <f>AB19</f>
        <v/>
      </c>
      <c r="AD20" s="185">
        <f>AC19</f>
        <v/>
      </c>
      <c r="AE20" s="185">
        <f>AD19</f>
        <v/>
      </c>
      <c r="AG20" s="184">
        <f>M68</f>
        <v/>
      </c>
      <c r="AH20" s="185">
        <f>AG19</f>
        <v/>
      </c>
      <c r="AI20" s="185">
        <f>AH19</f>
        <v/>
      </c>
      <c r="AJ20" s="185">
        <f>AI19</f>
        <v/>
      </c>
      <c r="AK20" s="185">
        <f>AJ19</f>
        <v/>
      </c>
      <c r="AM20" s="184">
        <f>M69</f>
        <v/>
      </c>
      <c r="AN20" s="185">
        <f>AM19</f>
        <v/>
      </c>
      <c r="AO20" s="185">
        <f>AN19</f>
        <v/>
      </c>
      <c r="AP20" s="185">
        <f>AO19</f>
        <v/>
      </c>
      <c r="AQ20" s="185">
        <f>AP19</f>
        <v/>
      </c>
      <c r="AS20" s="184">
        <f>M70</f>
        <v/>
      </c>
      <c r="AT20" s="185">
        <f>AS19</f>
        <v/>
      </c>
      <c r="AU20" s="185">
        <f>AT19</f>
        <v/>
      </c>
      <c r="AV20" s="185">
        <f>AU19</f>
        <v/>
      </c>
      <c r="AW20" s="185">
        <f>AV19</f>
        <v/>
      </c>
      <c r="AX20" s="50" t="n"/>
      <c r="AZ20" s="143" t="n"/>
      <c r="BA20" s="143" t="n"/>
      <c r="BB20" s="143" t="n"/>
      <c r="BC20" s="143" t="n"/>
      <c r="BD20" s="143" t="n"/>
    </row>
    <row r="21">
      <c r="A21" s="5" t="n">
        <v>11</v>
      </c>
      <c r="B21" s="153" t="n">
        <v>10000000</v>
      </c>
      <c r="C21" s="183" t="n">
        <v>5</v>
      </c>
      <c r="D21" s="183" t="n">
        <v>5</v>
      </c>
      <c r="E21" s="183" t="n">
        <v>5</v>
      </c>
      <c r="F21" s="183" t="n">
        <v>5</v>
      </c>
      <c r="G21" s="181" t="n">
        <v>4</v>
      </c>
      <c r="H21" s="181" t="n">
        <v>4</v>
      </c>
      <c r="I21" s="181" t="n">
        <v>4</v>
      </c>
      <c r="L21" s="63" t="inlineStr">
        <is>
          <t>Mega</t>
        </is>
      </c>
      <c r="M21" s="52">
        <f>O10</f>
        <v/>
      </c>
      <c r="N21" s="80">
        <f>M20/M$27</f>
        <v/>
      </c>
      <c r="O21" s="52">
        <f>1/N20</f>
        <v/>
      </c>
      <c r="P21" s="80">
        <f>O20/O$27</f>
        <v/>
      </c>
      <c r="Q21" s="52">
        <f>ROUND(P20*10000,0)</f>
        <v/>
      </c>
      <c r="R21" s="52">
        <f>Q20/10</f>
        <v/>
      </c>
      <c r="S21" s="124">
        <f>R20</f>
        <v/>
      </c>
      <c r="V21" s="186" t="n"/>
      <c r="AA21" s="185">
        <f>AA19</f>
        <v/>
      </c>
      <c r="AB21" s="185">
        <f>AA20</f>
        <v/>
      </c>
      <c r="AC21" s="185">
        <f>AB20</f>
        <v/>
      </c>
      <c r="AD21" s="185">
        <f>AC20</f>
        <v/>
      </c>
      <c r="AE21" s="185">
        <f>AD20</f>
        <v/>
      </c>
      <c r="AG21" s="185">
        <f>AG19</f>
        <v/>
      </c>
      <c r="AH21" s="185">
        <f>AG20</f>
        <v/>
      </c>
      <c r="AI21" s="185">
        <f>AH20</f>
        <v/>
      </c>
      <c r="AJ21" s="185">
        <f>AI20</f>
        <v/>
      </c>
      <c r="AK21" s="185">
        <f>AJ20</f>
        <v/>
      </c>
      <c r="AM21" s="185">
        <f>AM19</f>
        <v/>
      </c>
      <c r="AN21" s="185">
        <f>AM20</f>
        <v/>
      </c>
      <c r="AO21" s="185">
        <f>AN20</f>
        <v/>
      </c>
      <c r="AP21" s="185">
        <f>AO20</f>
        <v/>
      </c>
      <c r="AQ21" s="185">
        <f>AP20</f>
        <v/>
      </c>
      <c r="AS21" s="185">
        <f>AS19</f>
        <v/>
      </c>
      <c r="AT21" s="185">
        <f>AS20</f>
        <v/>
      </c>
      <c r="AU21" s="185">
        <f>AT20</f>
        <v/>
      </c>
      <c r="AV21" s="185">
        <f>AU20</f>
        <v/>
      </c>
      <c r="AW21" s="185">
        <f>AV20</f>
        <v/>
      </c>
      <c r="AX21" s="50" t="n"/>
      <c r="AZ21" s="143" t="n"/>
      <c r="BA21" s="143" t="n"/>
      <c r="BB21" s="143" t="n"/>
      <c r="BC21" s="143" t="n"/>
      <c r="BD21" s="143" t="n"/>
    </row>
    <row r="22">
      <c r="A22" s="5" t="n">
        <v>12</v>
      </c>
      <c r="B22" s="153" t="n">
        <v>50000000</v>
      </c>
      <c r="C22" s="183" t="n">
        <v>5</v>
      </c>
      <c r="D22" s="183" t="n">
        <v>5</v>
      </c>
      <c r="E22" s="183" t="n">
        <v>5</v>
      </c>
      <c r="F22" s="183" t="n">
        <v>5</v>
      </c>
      <c r="G22" s="183" t="n">
        <v>5</v>
      </c>
      <c r="H22" s="183" t="n">
        <v>5</v>
      </c>
      <c r="I22" s="183" t="n">
        <v>5</v>
      </c>
      <c r="L22" s="63" t="inlineStr">
        <is>
          <t>Major</t>
        </is>
      </c>
      <c r="M22" s="52">
        <f>P10</f>
        <v/>
      </c>
      <c r="N22" s="80">
        <f>M21/M$27</f>
        <v/>
      </c>
      <c r="O22" s="52">
        <f>1/N21</f>
        <v/>
      </c>
      <c r="P22" s="80">
        <f>O21/O$27</f>
        <v/>
      </c>
      <c r="Q22" s="52">
        <f>ROUND(P21*10000,0)</f>
        <v/>
      </c>
      <c r="R22" s="52">
        <f>Q21/10</f>
        <v/>
      </c>
      <c r="S22" s="124">
        <f>R21</f>
        <v/>
      </c>
      <c r="V22" s="186" t="n"/>
      <c r="AA22" s="185">
        <f>AA19</f>
        <v/>
      </c>
      <c r="AB22" s="185">
        <f>AA21</f>
        <v/>
      </c>
      <c r="AC22" s="185">
        <f>AB21</f>
        <v/>
      </c>
      <c r="AD22" s="185">
        <f>AC21</f>
        <v/>
      </c>
      <c r="AE22" s="185">
        <f>AD21</f>
        <v/>
      </c>
      <c r="AG22" s="185">
        <f>AG19</f>
        <v/>
      </c>
      <c r="AH22" s="185">
        <f>AG21</f>
        <v/>
      </c>
      <c r="AI22" s="185">
        <f>AH21</f>
        <v/>
      </c>
      <c r="AJ22" s="185">
        <f>AI21</f>
        <v/>
      </c>
      <c r="AK22" s="185">
        <f>AJ21</f>
        <v/>
      </c>
      <c r="AM22" s="185">
        <f>AM19</f>
        <v/>
      </c>
      <c r="AN22" s="185">
        <f>AM21</f>
        <v/>
      </c>
      <c r="AO22" s="185">
        <f>AN21</f>
        <v/>
      </c>
      <c r="AP22" s="185">
        <f>AO21</f>
        <v/>
      </c>
      <c r="AQ22" s="185">
        <f>AP21</f>
        <v/>
      </c>
      <c r="AS22" s="185">
        <f>AS19</f>
        <v/>
      </c>
      <c r="AT22" s="185">
        <f>AS21</f>
        <v/>
      </c>
      <c r="AU22" s="185">
        <f>AT21</f>
        <v/>
      </c>
      <c r="AV22" s="185">
        <f>AU21</f>
        <v/>
      </c>
      <c r="AW22" s="185">
        <f>AV21</f>
        <v/>
      </c>
      <c r="AX22" s="50" t="n"/>
      <c r="AZ22" s="143" t="n"/>
      <c r="BA22" s="143" t="n"/>
      <c r="BB22" s="143" t="n"/>
      <c r="BC22" s="143" t="n"/>
      <c r="BD22" s="143" t="n"/>
    </row>
    <row r="23">
      <c r="A23" s="76" t="n"/>
      <c r="B23" s="76" t="n"/>
      <c r="C23" s="76" t="n"/>
      <c r="D23" s="76" t="n"/>
      <c r="E23" s="76" t="n"/>
      <c r="F23" s="76" t="n"/>
      <c r="G23" s="76" t="n"/>
      <c r="H23" s="76" t="n"/>
      <c r="I23" s="76" t="n"/>
      <c r="L23" s="63" t="inlineStr">
        <is>
          <t>Minor</t>
        </is>
      </c>
      <c r="M23" s="52">
        <f>Q10</f>
        <v/>
      </c>
      <c r="N23" s="80">
        <f>M22/M$27</f>
        <v/>
      </c>
      <c r="O23" s="52">
        <f>1/N22</f>
        <v/>
      </c>
      <c r="P23" s="80">
        <f>O22/O$27</f>
        <v/>
      </c>
      <c r="Q23" s="52">
        <f>ROUND(P22*10000,0)</f>
        <v/>
      </c>
      <c r="R23" s="52">
        <f>Q22/10</f>
        <v/>
      </c>
      <c r="S23" s="124">
        <f>R22</f>
        <v/>
      </c>
      <c r="V23" s="186" t="n"/>
      <c r="AA23" s="185">
        <f>AA19</f>
        <v/>
      </c>
      <c r="AB23" s="185">
        <f>AA22</f>
        <v/>
      </c>
      <c r="AC23" s="185">
        <f>AB22</f>
        <v/>
      </c>
      <c r="AD23" s="185">
        <f>AC22</f>
        <v/>
      </c>
      <c r="AE23" s="185">
        <f>AD22</f>
        <v/>
      </c>
      <c r="AG23" s="185">
        <f>AG19</f>
        <v/>
      </c>
      <c r="AH23" s="185">
        <f>AG22</f>
        <v/>
      </c>
      <c r="AI23" s="185">
        <f>AH22</f>
        <v/>
      </c>
      <c r="AJ23" s="185">
        <f>AI22</f>
        <v/>
      </c>
      <c r="AK23" s="185">
        <f>AJ22</f>
        <v/>
      </c>
      <c r="AM23" s="185">
        <f>AM19</f>
        <v/>
      </c>
      <c r="AN23" s="185">
        <f>AM22</f>
        <v/>
      </c>
      <c r="AO23" s="185">
        <f>AN22</f>
        <v/>
      </c>
      <c r="AP23" s="185">
        <f>AO22</f>
        <v/>
      </c>
      <c r="AQ23" s="185">
        <f>AP22</f>
        <v/>
      </c>
      <c r="AS23" s="185">
        <f>AS19</f>
        <v/>
      </c>
      <c r="AT23" s="185">
        <f>AS22</f>
        <v/>
      </c>
      <c r="AU23" s="185">
        <f>AT22</f>
        <v/>
      </c>
      <c r="AV23" s="185">
        <f>AU22</f>
        <v/>
      </c>
      <c r="AW23" s="185">
        <f>AV22</f>
        <v/>
      </c>
      <c r="AX23" s="50" t="n"/>
      <c r="AZ23" s="143" t="n"/>
      <c r="BA23" s="143" t="n"/>
      <c r="BB23" s="143" t="n"/>
      <c r="BC23" s="143" t="n"/>
      <c r="BD23" s="143" t="n"/>
    </row>
    <row r="24">
      <c r="C24" s="130" t="n"/>
      <c r="D24" s="130" t="n"/>
      <c r="E24" s="130" t="n"/>
      <c r="F24" s="130" t="n"/>
      <c r="G24" s="130" t="n"/>
      <c r="H24" s="130" t="n"/>
      <c r="I24" s="130" t="n"/>
      <c r="K24" s="130" t="n"/>
      <c r="L24" s="63" t="inlineStr">
        <is>
          <t>Mini</t>
        </is>
      </c>
      <c r="M24" s="52">
        <f>R10</f>
        <v/>
      </c>
      <c r="N24" s="80">
        <f>M23/M$27</f>
        <v/>
      </c>
      <c r="O24" s="52">
        <f>1/N23</f>
        <v/>
      </c>
      <c r="P24" s="80">
        <f>O23/O$27</f>
        <v/>
      </c>
      <c r="Q24" s="52">
        <f>ROUND(P23*10000,0)</f>
        <v/>
      </c>
      <c r="R24" s="52">
        <f>Q23/10</f>
        <v/>
      </c>
      <c r="S24" s="124">
        <f>R23</f>
        <v/>
      </c>
      <c r="V24" s="186" t="n"/>
      <c r="AA24" s="185">
        <f>AA19</f>
        <v/>
      </c>
      <c r="AB24" s="185">
        <f>AA23</f>
        <v/>
      </c>
      <c r="AC24" s="185">
        <f>AB23</f>
        <v/>
      </c>
      <c r="AD24" s="185">
        <f>AC23</f>
        <v/>
      </c>
      <c r="AE24" s="185">
        <f>AD23</f>
        <v/>
      </c>
      <c r="AG24" s="185">
        <f>AG19</f>
        <v/>
      </c>
      <c r="AH24" s="185">
        <f>AG23</f>
        <v/>
      </c>
      <c r="AI24" s="185">
        <f>AH23</f>
        <v/>
      </c>
      <c r="AJ24" s="185">
        <f>AI23</f>
        <v/>
      </c>
      <c r="AK24" s="185">
        <f>AJ23</f>
        <v/>
      </c>
      <c r="AM24" s="185">
        <f>AM19</f>
        <v/>
      </c>
      <c r="AN24" s="185">
        <f>AM23</f>
        <v/>
      </c>
      <c r="AO24" s="185">
        <f>AN23</f>
        <v/>
      </c>
      <c r="AP24" s="185">
        <f>AO23</f>
        <v/>
      </c>
      <c r="AQ24" s="185">
        <f>AP23</f>
        <v/>
      </c>
      <c r="AS24" s="185">
        <f>AS19</f>
        <v/>
      </c>
      <c r="AT24" s="185">
        <f>AS23</f>
        <v/>
      </c>
      <c r="AU24" s="185">
        <f>AT23</f>
        <v/>
      </c>
      <c r="AV24" s="185">
        <f>AU23</f>
        <v/>
      </c>
      <c r="AW24" s="185">
        <f>AV23</f>
        <v/>
      </c>
      <c r="AX24" s="50" t="n"/>
      <c r="AZ24" s="143" t="n"/>
      <c r="BA24" s="143" t="n"/>
      <c r="BB24" s="143" t="n"/>
      <c r="BC24" s="143" t="n"/>
      <c r="BD24" s="143" t="n"/>
    </row>
    <row r="25" ht="16.5" customHeight="1" s="161">
      <c r="C25" s="130" t="n"/>
      <c r="D25" s="130" t="n"/>
      <c r="E25" s="130" t="n"/>
      <c r="F25" s="130" t="n"/>
      <c r="G25" s="130" t="n"/>
      <c r="H25" s="130" t="n"/>
      <c r="I25" s="130" t="n"/>
      <c r="K25" s="130" t="n"/>
      <c r="L25" s="64" t="inlineStr">
        <is>
          <t>Coin1</t>
        </is>
      </c>
      <c r="M25" s="52">
        <f>S10</f>
        <v/>
      </c>
      <c r="N25" s="80">
        <f>M24/M$27</f>
        <v/>
      </c>
      <c r="O25" s="52">
        <f>1/N24</f>
        <v/>
      </c>
      <c r="P25" s="80">
        <f>O24/O$27</f>
        <v/>
      </c>
      <c r="Q25" s="52">
        <f>ROUND(P24*10000,0)</f>
        <v/>
      </c>
      <c r="R25" s="52">
        <f>Q24/10</f>
        <v/>
      </c>
      <c r="S25" s="124">
        <f>1000-SUM(S19:S23, S25:S26)</f>
        <v/>
      </c>
      <c r="V25" s="186" t="n"/>
      <c r="AX25" s="50" t="n"/>
      <c r="AZ25" s="143" t="n"/>
      <c r="BA25" s="143" t="n"/>
      <c r="BB25" s="143" t="n"/>
      <c r="BC25" s="143" t="n"/>
      <c r="BD25" s="143" t="n"/>
    </row>
    <row r="26">
      <c r="B26" s="56" t="inlineStr">
        <is>
          <t>Class</t>
        </is>
      </c>
      <c r="C26" s="56" t="n">
        <v>1</v>
      </c>
      <c r="D26" s="52" t="n">
        <v>2</v>
      </c>
      <c r="E26" s="52" t="n">
        <v>3</v>
      </c>
      <c r="F26" s="52" t="n">
        <v>4</v>
      </c>
      <c r="G26" s="52" t="n">
        <v>5</v>
      </c>
      <c r="H26" s="52" t="n">
        <v>6</v>
      </c>
      <c r="I26" s="52" t="n">
        <v>7</v>
      </c>
      <c r="K26" s="130" t="n"/>
      <c r="L26" s="64" t="inlineStr">
        <is>
          <t>Coin2</t>
        </is>
      </c>
      <c r="M26" s="52">
        <f>T10</f>
        <v/>
      </c>
      <c r="N26" s="80">
        <f>M25/M$27</f>
        <v/>
      </c>
      <c r="O26" s="52">
        <f>1/N25</f>
        <v/>
      </c>
      <c r="P26" s="80">
        <f>O25/O$27</f>
        <v/>
      </c>
      <c r="Q26" s="52">
        <f>ROUND(P25*10000,0)</f>
        <v/>
      </c>
      <c r="R26" s="52">
        <f>Q25/10</f>
        <v/>
      </c>
      <c r="S26" s="124">
        <f>R25</f>
        <v/>
      </c>
      <c r="V26" s="187" t="n"/>
      <c r="AA26" s="122" t="inlineStr">
        <is>
          <t>Level5</t>
        </is>
      </c>
      <c r="AB26" s="122" t="n"/>
      <c r="AC26" s="122" t="n"/>
      <c r="AD26" s="122" t="n"/>
      <c r="AE26" s="122" t="n"/>
      <c r="AF26" s="122" t="n"/>
      <c r="AG26" s="122" t="inlineStr">
        <is>
          <t>Level6</t>
        </is>
      </c>
      <c r="AH26" s="122" t="n"/>
      <c r="AI26" s="122" t="n"/>
      <c r="AJ26" s="122" t="n"/>
      <c r="AK26" s="122" t="n"/>
      <c r="AL26" s="122" t="n"/>
      <c r="AM26" s="122" t="inlineStr">
        <is>
          <t>Level7</t>
        </is>
      </c>
      <c r="AN26" s="122" t="n"/>
      <c r="AO26" s="122" t="n"/>
      <c r="AP26" s="122" t="n"/>
      <c r="AQ26" s="122" t="n"/>
      <c r="AR26" s="122" t="n"/>
      <c r="AS26" s="122" t="inlineStr">
        <is>
          <t>Level8</t>
        </is>
      </c>
      <c r="AT26" s="122" t="n"/>
      <c r="AU26" s="122" t="n"/>
      <c r="AV26" s="122" t="n"/>
      <c r="AW26" s="122" t="n"/>
      <c r="AX26" s="50" t="n"/>
      <c r="AZ26" s="143" t="n"/>
      <c r="BA26" s="143" t="n"/>
      <c r="BB26" s="143" t="n"/>
      <c r="BC26" s="143" t="n"/>
      <c r="BD26" s="143" t="n"/>
    </row>
    <row r="27">
      <c r="B27" s="56" t="inlineStr">
        <is>
          <t>Bet</t>
        </is>
      </c>
      <c r="C27" s="188">
        <f>C5</f>
        <v/>
      </c>
      <c r="D27" s="188">
        <f>D5</f>
        <v/>
      </c>
      <c r="E27" s="188">
        <f>E5</f>
        <v/>
      </c>
      <c r="F27" s="188">
        <f>F5</f>
        <v/>
      </c>
      <c r="G27" s="188">
        <f>G5</f>
        <v/>
      </c>
      <c r="H27" s="188">
        <f>H5</f>
        <v/>
      </c>
      <c r="I27" s="188">
        <f>I5</f>
        <v/>
      </c>
      <c r="K27" s="130" t="n"/>
      <c r="L27" s="64" t="inlineStr">
        <is>
          <t>Coin3</t>
        </is>
      </c>
      <c r="M27" s="52">
        <f>U10</f>
        <v/>
      </c>
      <c r="N27" s="80">
        <f>M26/M$27</f>
        <v/>
      </c>
      <c r="O27" s="52">
        <f>1/N26</f>
        <v/>
      </c>
      <c r="P27" s="80">
        <f>O26/O$27</f>
        <v/>
      </c>
      <c r="Q27" s="52">
        <f>ROUND(P26*10000,0)</f>
        <v/>
      </c>
      <c r="R27" s="52">
        <f>Q26/10</f>
        <v/>
      </c>
      <c r="S27" s="124">
        <f>R26</f>
        <v/>
      </c>
      <c r="V27" s="186" t="n"/>
      <c r="AA27" s="184">
        <f>M71</f>
        <v/>
      </c>
      <c r="AB27" s="185">
        <f>AA26</f>
        <v/>
      </c>
      <c r="AC27" s="185">
        <f>AB26</f>
        <v/>
      </c>
      <c r="AD27" s="185">
        <f>AC26</f>
        <v/>
      </c>
      <c r="AE27" s="185">
        <f>AD26</f>
        <v/>
      </c>
      <c r="AG27" s="184">
        <f>M72</f>
        <v/>
      </c>
      <c r="AH27" s="185">
        <f>AG26</f>
        <v/>
      </c>
      <c r="AI27" s="185">
        <f>AH26</f>
        <v/>
      </c>
      <c r="AJ27" s="185">
        <f>AI26</f>
        <v/>
      </c>
      <c r="AK27" s="185">
        <f>AJ26</f>
        <v/>
      </c>
      <c r="AM27" s="184">
        <f>M73</f>
        <v/>
      </c>
      <c r="AN27" s="185">
        <f>AM26</f>
        <v/>
      </c>
      <c r="AO27" s="185">
        <f>AN26</f>
        <v/>
      </c>
      <c r="AP27" s="185">
        <f>AO26</f>
        <v/>
      </c>
      <c r="AQ27" s="185">
        <f>AP26</f>
        <v/>
      </c>
      <c r="AS27" s="184">
        <f>M74</f>
        <v/>
      </c>
      <c r="AT27" s="185">
        <f>AS26</f>
        <v/>
      </c>
      <c r="AU27" s="185">
        <f>AT26</f>
        <v/>
      </c>
      <c r="AV27" s="185">
        <f>AU26</f>
        <v/>
      </c>
      <c r="AW27" s="185">
        <f>AV26</f>
        <v/>
      </c>
      <c r="AX27" s="50" t="n"/>
      <c r="AZ27" s="143" t="n"/>
      <c r="BA27" s="143" t="n"/>
      <c r="BB27" s="143" t="n"/>
      <c r="BC27" s="143" t="n"/>
      <c r="BD27" s="143" t="n"/>
    </row>
    <row r="28">
      <c r="B28" s="56" t="inlineStr">
        <is>
          <t>Spins</t>
        </is>
      </c>
      <c r="C28" s="188">
        <f>C6</f>
        <v/>
      </c>
      <c r="D28" s="188">
        <f>D6</f>
        <v/>
      </c>
      <c r="E28" s="188">
        <f>E6</f>
        <v/>
      </c>
      <c r="F28" s="188">
        <f>F6</f>
        <v/>
      </c>
      <c r="G28" s="188">
        <f>G6</f>
        <v/>
      </c>
      <c r="H28" s="188">
        <f>H6</f>
        <v/>
      </c>
      <c r="I28" s="188">
        <f>I6</f>
        <v/>
      </c>
      <c r="K28" s="130" t="n"/>
      <c r="L28" s="130" t="n"/>
      <c r="M28" s="130">
        <f>SUM(M19:M26)</f>
        <v/>
      </c>
      <c r="O28" s="130">
        <f>SUM(O19:O26)</f>
        <v/>
      </c>
      <c r="Q28" s="78">
        <f>SUM(Q19:Q26)</f>
        <v/>
      </c>
      <c r="R28" s="143">
        <f>Q27/10</f>
        <v/>
      </c>
      <c r="S28" s="143">
        <f>R27</f>
        <v/>
      </c>
      <c r="V28" s="186" t="n"/>
      <c r="AA28" s="185">
        <f>AA26</f>
        <v/>
      </c>
      <c r="AB28" s="185">
        <f>AA27</f>
        <v/>
      </c>
      <c r="AC28" s="185">
        <f>AB27</f>
        <v/>
      </c>
      <c r="AD28" s="185">
        <f>AC27</f>
        <v/>
      </c>
      <c r="AE28" s="185">
        <f>AD27</f>
        <v/>
      </c>
      <c r="AG28" s="185">
        <f>AG26</f>
        <v/>
      </c>
      <c r="AH28" s="185">
        <f>AG27</f>
        <v/>
      </c>
      <c r="AI28" s="185">
        <f>AH27</f>
        <v/>
      </c>
      <c r="AJ28" s="185">
        <f>AI27</f>
        <v/>
      </c>
      <c r="AK28" s="185">
        <f>AJ27</f>
        <v/>
      </c>
      <c r="AM28" s="185">
        <f>AM26</f>
        <v/>
      </c>
      <c r="AN28" s="185">
        <f>AM27</f>
        <v/>
      </c>
      <c r="AO28" s="185">
        <f>AN27</f>
        <v/>
      </c>
      <c r="AP28" s="185">
        <f>AO27</f>
        <v/>
      </c>
      <c r="AQ28" s="185">
        <f>AP27</f>
        <v/>
      </c>
      <c r="AS28" s="185">
        <f>AS26</f>
        <v/>
      </c>
      <c r="AT28" s="185">
        <f>AS27</f>
        <v/>
      </c>
      <c r="AU28" s="185">
        <f>AT27</f>
        <v/>
      </c>
      <c r="AV28" s="185">
        <f>AU27</f>
        <v/>
      </c>
      <c r="AW28" s="185">
        <f>AV27</f>
        <v/>
      </c>
      <c r="AX28" s="50" t="n"/>
      <c r="AZ28" s="143" t="n"/>
      <c r="BA28" s="143" t="n"/>
      <c r="BB28" s="143" t="n"/>
      <c r="BC28" s="143" t="n"/>
      <c r="BD28" s="143" t="n"/>
    </row>
    <row r="29">
      <c r="B29" s="56" t="inlineStr">
        <is>
          <t>Attendance Rate</t>
        </is>
      </c>
      <c r="C29" s="57">
        <f>C7</f>
        <v/>
      </c>
      <c r="D29" s="57">
        <f>D7</f>
        <v/>
      </c>
      <c r="E29" s="57">
        <f>E7</f>
        <v/>
      </c>
      <c r="F29" s="57">
        <f>F7</f>
        <v/>
      </c>
      <c r="G29" s="57">
        <f>G7</f>
        <v/>
      </c>
      <c r="H29" s="57">
        <f>H7</f>
        <v/>
      </c>
      <c r="I29" s="57">
        <f>I7</f>
        <v/>
      </c>
      <c r="K29" s="130" t="n"/>
      <c r="L29" s="20" t="n"/>
      <c r="AA29" s="185">
        <f>AA26</f>
        <v/>
      </c>
      <c r="AB29" s="185">
        <f>AA28</f>
        <v/>
      </c>
      <c r="AC29" s="185">
        <f>AB28</f>
        <v/>
      </c>
      <c r="AD29" s="185">
        <f>AC28</f>
        <v/>
      </c>
      <c r="AE29" s="185">
        <f>AD28</f>
        <v/>
      </c>
      <c r="AG29" s="185">
        <f>AG26</f>
        <v/>
      </c>
      <c r="AH29" s="185">
        <f>AG28</f>
        <v/>
      </c>
      <c r="AI29" s="185">
        <f>AH28</f>
        <v/>
      </c>
      <c r="AJ29" s="185">
        <f>AI28</f>
        <v/>
      </c>
      <c r="AK29" s="185">
        <f>AJ28</f>
        <v/>
      </c>
      <c r="AM29" s="185">
        <f>AM26</f>
        <v/>
      </c>
      <c r="AN29" s="185">
        <f>AM28</f>
        <v/>
      </c>
      <c r="AO29" s="185">
        <f>AN28</f>
        <v/>
      </c>
      <c r="AP29" s="185">
        <f>AO28</f>
        <v/>
      </c>
      <c r="AQ29" s="185">
        <f>AP28</f>
        <v/>
      </c>
      <c r="AS29" s="185">
        <f>AS26</f>
        <v/>
      </c>
      <c r="AT29" s="185">
        <f>AS28</f>
        <v/>
      </c>
      <c r="AU29" s="185">
        <f>AT28</f>
        <v/>
      </c>
      <c r="AV29" s="185">
        <f>AU28</f>
        <v/>
      </c>
      <c r="AW29" s="185">
        <f>AV28</f>
        <v/>
      </c>
      <c r="AX29" s="50" t="n"/>
      <c r="AZ29" s="143" t="n"/>
      <c r="BA29" s="143" t="n"/>
      <c r="BB29" s="143" t="n"/>
      <c r="BC29" s="143" t="n"/>
      <c r="BD29" s="143" t="n"/>
    </row>
    <row r="30" ht="16.5" customHeight="1" s="161">
      <c r="B30" s="56" t="n">
        <v>16</v>
      </c>
      <c r="C30" s="52">
        <f>$B$29*C28</f>
        <v/>
      </c>
      <c r="D30" s="52">
        <f>$B$29*D28</f>
        <v/>
      </c>
      <c r="E30" s="52">
        <f>$B$29*E28</f>
        <v/>
      </c>
      <c r="F30" s="52">
        <f>$B$29*F28</f>
        <v/>
      </c>
      <c r="G30" s="52">
        <f>$B$29*G28</f>
        <v/>
      </c>
      <c r="H30" s="52">
        <f>$B$29*H28</f>
        <v/>
      </c>
      <c r="I30" s="52">
        <f>$B$29*I28</f>
        <v/>
      </c>
      <c r="K30" s="130" t="n"/>
      <c r="AA30" s="185">
        <f>AA26</f>
        <v/>
      </c>
      <c r="AB30" s="185">
        <f>AA29</f>
        <v/>
      </c>
      <c r="AC30" s="185">
        <f>AB29</f>
        <v/>
      </c>
      <c r="AD30" s="185">
        <f>AC29</f>
        <v/>
      </c>
      <c r="AE30" s="185">
        <f>AD29</f>
        <v/>
      </c>
      <c r="AG30" s="185">
        <f>AG26</f>
        <v/>
      </c>
      <c r="AH30" s="185">
        <f>AG29</f>
        <v/>
      </c>
      <c r="AI30" s="185">
        <f>AH29</f>
        <v/>
      </c>
      <c r="AJ30" s="185">
        <f>AI29</f>
        <v/>
      </c>
      <c r="AK30" s="185">
        <f>AJ29</f>
        <v/>
      </c>
      <c r="AM30" s="185">
        <f>AM26</f>
        <v/>
      </c>
      <c r="AN30" s="185">
        <f>AM29</f>
        <v/>
      </c>
      <c r="AO30" s="185">
        <f>AN29</f>
        <v/>
      </c>
      <c r="AP30" s="185">
        <f>AO29</f>
        <v/>
      </c>
      <c r="AQ30" s="185">
        <f>AP29</f>
        <v/>
      </c>
      <c r="AS30" s="185">
        <f>AS26</f>
        <v/>
      </c>
      <c r="AT30" s="185">
        <f>AS29</f>
        <v/>
      </c>
      <c r="AU30" s="185">
        <f>AT29</f>
        <v/>
      </c>
      <c r="AV30" s="185">
        <f>AU29</f>
        <v/>
      </c>
      <c r="AW30" s="185">
        <f>AV29</f>
        <v/>
      </c>
      <c r="AX30" s="50" t="n"/>
      <c r="AZ30" s="143" t="n"/>
      <c r="BA30" s="143" t="n"/>
      <c r="BB30" s="143" t="n"/>
      <c r="BC30" s="143" t="n"/>
      <c r="BD30" s="143" t="n"/>
    </row>
    <row r="31" ht="16.5" customHeight="1" s="161">
      <c r="B31" s="56" t="inlineStr">
        <is>
          <t>Total Spins</t>
        </is>
      </c>
      <c r="C31" s="189">
        <f>C27*C29</f>
        <v/>
      </c>
      <c r="D31" s="189">
        <f>D27*D29</f>
        <v/>
      </c>
      <c r="E31" s="189">
        <f>E27*E29</f>
        <v/>
      </c>
      <c r="F31" s="189">
        <f>F27*F29</f>
        <v/>
      </c>
      <c r="G31" s="189">
        <f>G27*G29</f>
        <v/>
      </c>
      <c r="H31" s="189">
        <f>H27*H29</f>
        <v/>
      </c>
      <c r="I31" s="189">
        <f>I27*I29</f>
        <v/>
      </c>
      <c r="L31" s="81" t="n"/>
      <c r="M31" s="155" t="n">
        <v>10000</v>
      </c>
      <c r="N31" s="155" t="n">
        <v>22000</v>
      </c>
      <c r="O31" s="155" t="n">
        <v>25000</v>
      </c>
      <c r="P31" s="155" t="n">
        <v>22000</v>
      </c>
      <c r="Q31" s="155" t="n">
        <v>22000</v>
      </c>
      <c r="R31" s="143" t="inlineStr">
        <is>
          <t>&lt;-Bet Range by Bingo Stage Coin Appearance Probability Setting</t>
        </is>
      </c>
      <c r="AA31" s="185">
        <f>AA26</f>
        <v/>
      </c>
      <c r="AB31" s="185">
        <f>AA30</f>
        <v/>
      </c>
      <c r="AC31" s="185">
        <f>AB30</f>
        <v/>
      </c>
      <c r="AD31" s="185">
        <f>AC30</f>
        <v/>
      </c>
      <c r="AE31" s="185">
        <f>AD30</f>
        <v/>
      </c>
      <c r="AG31" s="185">
        <f>AG26</f>
        <v/>
      </c>
      <c r="AH31" s="185">
        <f>AG30</f>
        <v/>
      </c>
      <c r="AI31" s="185">
        <f>AH30</f>
        <v/>
      </c>
      <c r="AJ31" s="185">
        <f>AI30</f>
        <v/>
      </c>
      <c r="AK31" s="185">
        <f>AJ30</f>
        <v/>
      </c>
      <c r="AM31" s="185">
        <f>AM26</f>
        <v/>
      </c>
      <c r="AN31" s="185">
        <f>AM30</f>
        <v/>
      </c>
      <c r="AO31" s="185">
        <f>AN30</f>
        <v/>
      </c>
      <c r="AP31" s="185">
        <f>AO30</f>
        <v/>
      </c>
      <c r="AQ31" s="185">
        <f>AP30</f>
        <v/>
      </c>
      <c r="AS31" s="185">
        <f>AS26</f>
        <v/>
      </c>
      <c r="AT31" s="185">
        <f>AS30</f>
        <v/>
      </c>
      <c r="AU31" s="185">
        <f>AT30</f>
        <v/>
      </c>
      <c r="AV31" s="185">
        <f>AU30</f>
        <v/>
      </c>
      <c r="AW31" s="185">
        <f>AV30</f>
        <v/>
      </c>
      <c r="AX31" s="50" t="n"/>
      <c r="AZ31" s="143" t="n"/>
      <c r="BA31" s="143" t="n"/>
      <c r="BB31" s="143" t="n"/>
      <c r="BC31" s="143" t="n"/>
      <c r="BD31" s="143" t="n"/>
    </row>
    <row r="32">
      <c r="L32" s="15" t="inlineStr">
        <is>
          <t>Target Weight</t>
        </is>
      </c>
      <c r="M32" s="155" t="n">
        <v>2900</v>
      </c>
      <c r="N32" s="155" t="n">
        <v>1900</v>
      </c>
      <c r="O32" s="155" t="n">
        <v>900</v>
      </c>
      <c r="P32" s="155" t="n">
        <v>720</v>
      </c>
      <c r="Q32" s="155" t="n">
        <v>650</v>
      </c>
      <c r="R32" s="143" t="inlineStr">
        <is>
          <t>&lt;-Bet Range by Bingo Stage Coin Appearance Probability Setting</t>
        </is>
      </c>
      <c r="AX32" s="50" t="n"/>
      <c r="AZ32" s="143" t="n"/>
      <c r="BA32" s="143" t="n"/>
      <c r="BB32" s="143" t="n"/>
      <c r="BC32" s="143" t="n"/>
      <c r="BD32" s="143" t="n"/>
    </row>
    <row r="33">
      <c r="L33" s="102" t="n"/>
      <c r="M33" s="132" t="inlineStr">
        <is>
          <t>Bet 1</t>
        </is>
      </c>
      <c r="N33" s="132" t="inlineStr">
        <is>
          <t>Bet 2</t>
        </is>
      </c>
      <c r="O33" s="132" t="inlineStr">
        <is>
          <t>Bet 3</t>
        </is>
      </c>
      <c r="P33" s="132" t="inlineStr">
        <is>
          <t>Bet 4</t>
        </is>
      </c>
      <c r="Q33" s="132" t="inlineStr">
        <is>
          <t>Bet 5</t>
        </is>
      </c>
      <c r="R33" s="128" t="inlineStr">
        <is>
          <t>Multi</t>
        </is>
      </c>
      <c r="AA33" s="115" t="inlineStr">
        <is>
          <t>Bet Range 2</t>
        </is>
      </c>
      <c r="AX33" s="50" t="n"/>
      <c r="AZ33" s="143" t="n"/>
      <c r="BA33" s="143" t="n"/>
      <c r="BB33" s="143" t="n"/>
      <c r="BC33" s="143" t="n"/>
      <c r="BD33" s="143" t="n"/>
    </row>
    <row r="34">
      <c r="L34" s="56" t="inlineStr">
        <is>
          <t>Level1</t>
        </is>
      </c>
      <c r="M34" s="190">
        <f>$M$30/$R33</f>
        <v/>
      </c>
      <c r="N34" s="191">
        <f>$N$31/$R33</f>
        <v/>
      </c>
      <c r="O34" s="191">
        <f>$O$31/$R33</f>
        <v/>
      </c>
      <c r="P34" s="191">
        <f>$P$31/$R33</f>
        <v/>
      </c>
      <c r="Q34" s="191">
        <f>$Q$31/$R33</f>
        <v/>
      </c>
      <c r="R34" s="69" t="n">
        <v>1</v>
      </c>
      <c r="S34" s="143" t="inlineStr">
        <is>
          <t>&lt;-Bingo Stage by Multi plier Setting</t>
        </is>
      </c>
      <c r="Z34" s="143">
        <f>SUM(AA34:AE38,AG34:AK38,AM34:AQ38,AS34:AW38,AA41:AE45,AG41:AK45,AM41:AQ45,AS41:AW45)-SUM(AC36,AI36,AO36,AU36,AC43,AI43,AO43,AU43)</f>
        <v/>
      </c>
      <c r="AA34" s="122" t="inlineStr">
        <is>
          <t>Level1</t>
        </is>
      </c>
      <c r="AB34" s="182" t="n"/>
      <c r="AC34" s="182" t="n"/>
      <c r="AD34" s="122" t="n"/>
      <c r="AE34" s="122" t="n"/>
      <c r="AF34" s="122" t="n"/>
      <c r="AG34" s="122" t="inlineStr">
        <is>
          <t>Level2</t>
        </is>
      </c>
      <c r="AH34" s="182" t="n"/>
      <c r="AI34" s="182" t="n"/>
      <c r="AJ34" s="122" t="n"/>
      <c r="AK34" s="122" t="n"/>
      <c r="AL34" s="122" t="n"/>
      <c r="AM34" s="122" t="inlineStr">
        <is>
          <t>Level3</t>
        </is>
      </c>
      <c r="AN34" s="122" t="n"/>
      <c r="AO34" s="122" t="n"/>
      <c r="AP34" s="122" t="n"/>
      <c r="AQ34" s="122" t="n"/>
      <c r="AR34" s="122" t="n"/>
      <c r="AS34" s="122" t="inlineStr">
        <is>
          <t>Level4</t>
        </is>
      </c>
      <c r="AT34" s="122" t="n"/>
      <c r="AU34" s="122" t="n"/>
      <c r="AV34" s="122" t="n"/>
      <c r="AW34" s="119" t="n"/>
      <c r="AX34" s="50" t="n"/>
      <c r="AZ34" s="143" t="n"/>
      <c r="BA34" s="143" t="n"/>
      <c r="BB34" s="143" t="n"/>
      <c r="BC34" s="143" t="n"/>
      <c r="BD34" s="143" t="n"/>
    </row>
    <row r="35">
      <c r="L35" s="56" t="inlineStr">
        <is>
          <t>Level2</t>
        </is>
      </c>
      <c r="M35" s="190">
        <f>$M$30/$R34</f>
        <v/>
      </c>
      <c r="N35" s="190">
        <f>$N$30/$R34</f>
        <v/>
      </c>
      <c r="O35" s="191">
        <f>$O$31/$R34</f>
        <v/>
      </c>
      <c r="P35" s="191">
        <f>$P$31/$R34</f>
        <v/>
      </c>
      <c r="Q35" s="191">
        <f>$Q$31/$R34</f>
        <v/>
      </c>
      <c r="R35" s="69" t="n">
        <v>2</v>
      </c>
      <c r="V35" s="81" t="n"/>
      <c r="X35" s="81" t="n"/>
      <c r="Y35" s="81" t="n"/>
      <c r="AA35" s="184">
        <f>N67</f>
        <v/>
      </c>
      <c r="AB35" s="185">
        <f>AA34</f>
        <v/>
      </c>
      <c r="AC35" s="185">
        <f>AB34</f>
        <v/>
      </c>
      <c r="AD35" s="185">
        <f>AC34</f>
        <v/>
      </c>
      <c r="AE35" s="185">
        <f>AD34</f>
        <v/>
      </c>
      <c r="AG35" s="184">
        <f>N68</f>
        <v/>
      </c>
      <c r="AH35" s="185">
        <f>AG34</f>
        <v/>
      </c>
      <c r="AI35" s="185">
        <f>AH34</f>
        <v/>
      </c>
      <c r="AJ35" s="185">
        <f>AI34</f>
        <v/>
      </c>
      <c r="AK35" s="185">
        <f>AJ34</f>
        <v/>
      </c>
      <c r="AM35" s="184">
        <f>N69</f>
        <v/>
      </c>
      <c r="AN35" s="185">
        <f>AM34</f>
        <v/>
      </c>
      <c r="AO35" s="185">
        <f>AN34</f>
        <v/>
      </c>
      <c r="AP35" s="185">
        <f>AO34</f>
        <v/>
      </c>
      <c r="AQ35" s="185">
        <f>AP34</f>
        <v/>
      </c>
      <c r="AS35" s="184">
        <f>N70</f>
        <v/>
      </c>
      <c r="AT35" s="185">
        <f>AS34</f>
        <v/>
      </c>
      <c r="AU35" s="185">
        <f>AT34</f>
        <v/>
      </c>
      <c r="AV35" s="185">
        <f>AU34</f>
        <v/>
      </c>
      <c r="AW35" s="185">
        <f>AV34</f>
        <v/>
      </c>
      <c r="AX35" s="50" t="n"/>
      <c r="AZ35" s="143" t="n"/>
      <c r="BA35" s="143" t="n"/>
      <c r="BB35" s="143" t="n"/>
      <c r="BC35" s="143" t="n"/>
      <c r="BD35" s="143" t="n"/>
    </row>
    <row r="36">
      <c r="L36" s="56" t="inlineStr">
        <is>
          <t>Level3</t>
        </is>
      </c>
      <c r="M36" s="190">
        <f>$M$30/$R35</f>
        <v/>
      </c>
      <c r="N36" s="190">
        <f>$N$30/$R35</f>
        <v/>
      </c>
      <c r="O36" s="191">
        <f>$O$31/$R35</f>
        <v/>
      </c>
      <c r="P36" s="191">
        <f>$P$31/$R35</f>
        <v/>
      </c>
      <c r="Q36" s="191">
        <f>$Q$31/$R35</f>
        <v/>
      </c>
      <c r="R36" s="69" t="n">
        <v>3</v>
      </c>
      <c r="V36" s="130" t="n"/>
      <c r="X36" s="130" t="n"/>
      <c r="Y36" s="130" t="n"/>
      <c r="AA36" s="185">
        <f>AA34</f>
        <v/>
      </c>
      <c r="AB36" s="185">
        <f>AA35</f>
        <v/>
      </c>
      <c r="AC36" s="185">
        <f>AB35</f>
        <v/>
      </c>
      <c r="AD36" s="185">
        <f>AC35</f>
        <v/>
      </c>
      <c r="AE36" s="185">
        <f>AD35</f>
        <v/>
      </c>
      <c r="AG36" s="185">
        <f>AG34</f>
        <v/>
      </c>
      <c r="AH36" s="185">
        <f>AG35</f>
        <v/>
      </c>
      <c r="AI36" s="185">
        <f>AH35</f>
        <v/>
      </c>
      <c r="AJ36" s="185">
        <f>AI35</f>
        <v/>
      </c>
      <c r="AK36" s="185">
        <f>AJ35</f>
        <v/>
      </c>
      <c r="AM36" s="185">
        <f>AM34</f>
        <v/>
      </c>
      <c r="AN36" s="185">
        <f>AM35</f>
        <v/>
      </c>
      <c r="AO36" s="185">
        <f>AN35</f>
        <v/>
      </c>
      <c r="AP36" s="185">
        <f>AO35</f>
        <v/>
      </c>
      <c r="AQ36" s="185">
        <f>AP35</f>
        <v/>
      </c>
      <c r="AS36" s="185">
        <f>AS34</f>
        <v/>
      </c>
      <c r="AT36" s="185">
        <f>AS35</f>
        <v/>
      </c>
      <c r="AU36" s="185">
        <f>AT35</f>
        <v/>
      </c>
      <c r="AV36" s="185">
        <f>AU35</f>
        <v/>
      </c>
      <c r="AW36" s="185">
        <f>AV35</f>
        <v/>
      </c>
      <c r="AX36" s="50" t="n"/>
      <c r="AZ36" s="143" t="n"/>
      <c r="BA36" s="143" t="n"/>
      <c r="BB36" s="143" t="n"/>
      <c r="BC36" s="143" t="n"/>
      <c r="BD36" s="143" t="n"/>
    </row>
    <row r="37">
      <c r="L37" s="56" t="inlineStr">
        <is>
          <t>Level4</t>
        </is>
      </c>
      <c r="M37" s="191">
        <f>$M$31/$R36</f>
        <v/>
      </c>
      <c r="N37" s="190">
        <f>$N$30/$R36</f>
        <v/>
      </c>
      <c r="O37" s="190">
        <f>$O$30/$R36</f>
        <v/>
      </c>
      <c r="P37" s="191">
        <f>$P$31/$R36</f>
        <v/>
      </c>
      <c r="Q37" s="191">
        <f>$Q$31/$R36</f>
        <v/>
      </c>
      <c r="R37" s="69" t="n">
        <v>5</v>
      </c>
      <c r="V37" s="130" t="n"/>
      <c r="X37" s="130" t="n"/>
      <c r="Y37" s="130" t="n"/>
      <c r="AA37" s="185">
        <f>AA34</f>
        <v/>
      </c>
      <c r="AB37" s="185">
        <f>AA36</f>
        <v/>
      </c>
      <c r="AC37" s="185">
        <f>AB36</f>
        <v/>
      </c>
      <c r="AD37" s="185">
        <f>AC36</f>
        <v/>
      </c>
      <c r="AE37" s="185">
        <f>AD36</f>
        <v/>
      </c>
      <c r="AG37" s="185">
        <f>AG34</f>
        <v/>
      </c>
      <c r="AH37" s="185">
        <f>AG36</f>
        <v/>
      </c>
      <c r="AI37" s="185">
        <f>AH36</f>
        <v/>
      </c>
      <c r="AJ37" s="185">
        <f>AI36</f>
        <v/>
      </c>
      <c r="AK37" s="185">
        <f>AJ36</f>
        <v/>
      </c>
      <c r="AM37" s="185">
        <f>AM34</f>
        <v/>
      </c>
      <c r="AN37" s="185">
        <f>AM36</f>
        <v/>
      </c>
      <c r="AO37" s="185">
        <f>AN36</f>
        <v/>
      </c>
      <c r="AP37" s="185">
        <f>AO36</f>
        <v/>
      </c>
      <c r="AQ37" s="185">
        <f>AP36</f>
        <v/>
      </c>
      <c r="AS37" s="185">
        <f>AS34</f>
        <v/>
      </c>
      <c r="AT37" s="185">
        <f>AS36</f>
        <v/>
      </c>
      <c r="AU37" s="185">
        <f>AT36</f>
        <v/>
      </c>
      <c r="AV37" s="185">
        <f>AU36</f>
        <v/>
      </c>
      <c r="AW37" s="185">
        <f>AV36</f>
        <v/>
      </c>
      <c r="AX37" s="50" t="n"/>
      <c r="AZ37" s="143" t="n"/>
      <c r="BA37" s="143" t="n"/>
      <c r="BB37" s="143" t="n"/>
      <c r="BC37" s="143" t="n"/>
      <c r="BD37" s="143" t="n"/>
    </row>
    <row r="38">
      <c r="L38" s="56" t="inlineStr">
        <is>
          <t>Level5</t>
        </is>
      </c>
      <c r="M38" s="191">
        <f>$M$31/$R37</f>
        <v/>
      </c>
      <c r="N38" s="191">
        <f>$N$31/$R37</f>
        <v/>
      </c>
      <c r="O38" s="190">
        <f>$O$30/$R37</f>
        <v/>
      </c>
      <c r="P38" s="190">
        <f>$P$30/$R37</f>
        <v/>
      </c>
      <c r="Q38" s="191">
        <f>$Q$31/$R37</f>
        <v/>
      </c>
      <c r="R38" s="69" t="n">
        <v>6</v>
      </c>
      <c r="AA38" s="185">
        <f>AA34</f>
        <v/>
      </c>
      <c r="AB38" s="185">
        <f>AA37</f>
        <v/>
      </c>
      <c r="AC38" s="185">
        <f>AB37</f>
        <v/>
      </c>
      <c r="AD38" s="185">
        <f>AC37</f>
        <v/>
      </c>
      <c r="AE38" s="185">
        <f>AD37</f>
        <v/>
      </c>
      <c r="AG38" s="185">
        <f>AG34</f>
        <v/>
      </c>
      <c r="AH38" s="185">
        <f>AG37</f>
        <v/>
      </c>
      <c r="AI38" s="185">
        <f>AH37</f>
        <v/>
      </c>
      <c r="AJ38" s="185">
        <f>AI37</f>
        <v/>
      </c>
      <c r="AK38" s="185">
        <f>AJ37</f>
        <v/>
      </c>
      <c r="AM38" s="185">
        <f>AM34</f>
        <v/>
      </c>
      <c r="AN38" s="185">
        <f>AM37</f>
        <v/>
      </c>
      <c r="AO38" s="185">
        <f>AN37</f>
        <v/>
      </c>
      <c r="AP38" s="185">
        <f>AO37</f>
        <v/>
      </c>
      <c r="AQ38" s="185">
        <f>AP37</f>
        <v/>
      </c>
      <c r="AS38" s="185">
        <f>AS34</f>
        <v/>
      </c>
      <c r="AT38" s="185">
        <f>AS37</f>
        <v/>
      </c>
      <c r="AU38" s="185">
        <f>AT37</f>
        <v/>
      </c>
      <c r="AV38" s="185">
        <f>AU37</f>
        <v/>
      </c>
      <c r="AW38" s="185">
        <f>AV37</f>
        <v/>
      </c>
      <c r="AX38" s="50" t="n"/>
      <c r="AZ38" s="143" t="n"/>
      <c r="BA38" s="143" t="n"/>
      <c r="BB38" s="143" t="n"/>
      <c r="BC38" s="143" t="n"/>
      <c r="BD38" s="143" t="n"/>
    </row>
    <row r="39">
      <c r="L39" s="56" t="inlineStr">
        <is>
          <t>Level6</t>
        </is>
      </c>
      <c r="M39" s="191">
        <f>$M$31/$R38</f>
        <v/>
      </c>
      <c r="N39" s="191">
        <f>$N$31/$R38</f>
        <v/>
      </c>
      <c r="O39" s="190">
        <f>$O$30/$R38</f>
        <v/>
      </c>
      <c r="P39" s="190">
        <f>$P$30/$R38</f>
        <v/>
      </c>
      <c r="Q39" s="190">
        <f>$Q$30/$R38</f>
        <v/>
      </c>
      <c r="R39" s="69" t="n">
        <v>7</v>
      </c>
      <c r="AA39" s="185">
        <f>AA34</f>
        <v/>
      </c>
      <c r="AB39" s="185">
        <f>AA38</f>
        <v/>
      </c>
      <c r="AC39" s="185">
        <f>AB38</f>
        <v/>
      </c>
      <c r="AD39" s="185">
        <f>AC38</f>
        <v/>
      </c>
      <c r="AE39" s="185">
        <f>AD38</f>
        <v/>
      </c>
      <c r="AG39" s="185">
        <f>AG34</f>
        <v/>
      </c>
      <c r="AH39" s="185">
        <f>AG38</f>
        <v/>
      </c>
      <c r="AI39" s="185">
        <f>AH38</f>
        <v/>
      </c>
      <c r="AJ39" s="185">
        <f>AI38</f>
        <v/>
      </c>
      <c r="AK39" s="185">
        <f>AJ38</f>
        <v/>
      </c>
      <c r="AM39" s="185">
        <f>AM34</f>
        <v/>
      </c>
      <c r="AN39" s="185">
        <f>AM38</f>
        <v/>
      </c>
      <c r="AO39" s="185">
        <f>AN38</f>
        <v/>
      </c>
      <c r="AP39" s="185">
        <f>AO38</f>
        <v/>
      </c>
      <c r="AQ39" s="185">
        <f>AP38</f>
        <v/>
      </c>
      <c r="AS39" s="185">
        <f>AS34</f>
        <v/>
      </c>
      <c r="AT39" s="185">
        <f>AS38</f>
        <v/>
      </c>
      <c r="AU39" s="185">
        <f>AT38</f>
        <v/>
      </c>
      <c r="AV39" s="185">
        <f>AU38</f>
        <v/>
      </c>
      <c r="AW39" s="185">
        <f>AV38</f>
        <v/>
      </c>
      <c r="AX39" s="50" t="n"/>
      <c r="AZ39" s="143" t="n"/>
      <c r="BA39" s="143" t="n"/>
      <c r="BB39" s="143" t="n"/>
      <c r="BC39" s="143" t="n"/>
      <c r="BD39" s="143" t="n"/>
    </row>
    <row r="40">
      <c r="L40" s="56" t="inlineStr">
        <is>
          <t>Level7</t>
        </is>
      </c>
      <c r="M40" s="191">
        <f>$M$31/$R39</f>
        <v/>
      </c>
      <c r="N40" s="191">
        <f>$N$31/$R39</f>
        <v/>
      </c>
      <c r="O40" s="191">
        <f>$O$31/$R39</f>
        <v/>
      </c>
      <c r="P40" s="190">
        <f>$P$30/$R39</f>
        <v/>
      </c>
      <c r="Q40" s="190">
        <f>$Q$30/$R39</f>
        <v/>
      </c>
      <c r="R40" s="69" t="n">
        <v>8</v>
      </c>
      <c r="AX40" s="50" t="n"/>
      <c r="AZ40" s="143" t="n"/>
      <c r="BA40" s="143" t="n"/>
      <c r="BB40" s="143" t="n"/>
      <c r="BC40" s="143" t="n"/>
      <c r="BD40" s="143" t="n"/>
    </row>
    <row r="41">
      <c r="L41" s="56" t="inlineStr">
        <is>
          <t>Level8</t>
        </is>
      </c>
      <c r="M41" s="191">
        <f>$M$31/$R40</f>
        <v/>
      </c>
      <c r="N41" s="191">
        <f>$N$31/$R40</f>
        <v/>
      </c>
      <c r="O41" s="191">
        <f>$O$31/$R40</f>
        <v/>
      </c>
      <c r="P41" s="191">
        <f>$P$31/$R40</f>
        <v/>
      </c>
      <c r="Q41" s="190">
        <f>$Q$30/$R40</f>
        <v/>
      </c>
      <c r="R41" s="69" t="n">
        <v>10</v>
      </c>
      <c r="AA41" s="122" t="inlineStr">
        <is>
          <t>Level5</t>
        </is>
      </c>
      <c r="AB41" s="122" t="n"/>
      <c r="AC41" s="122" t="n"/>
      <c r="AD41" s="122" t="n"/>
      <c r="AE41" s="122" t="n"/>
      <c r="AF41" s="122" t="n"/>
      <c r="AG41" s="122" t="inlineStr">
        <is>
          <t>Level6</t>
        </is>
      </c>
      <c r="AH41" s="122" t="n"/>
      <c r="AI41" s="122" t="n"/>
      <c r="AJ41" s="122" t="n"/>
      <c r="AK41" s="122" t="n"/>
      <c r="AL41" s="122" t="n"/>
      <c r="AM41" s="122" t="inlineStr">
        <is>
          <t>Level7</t>
        </is>
      </c>
      <c r="AN41" s="122" t="n"/>
      <c r="AO41" s="122" t="n"/>
      <c r="AP41" s="122" t="n"/>
      <c r="AQ41" s="122" t="n"/>
      <c r="AR41" s="122" t="n"/>
      <c r="AS41" s="122" t="inlineStr">
        <is>
          <t>Level8</t>
        </is>
      </c>
      <c r="AT41" s="122" t="n"/>
      <c r="AU41" s="122" t="n"/>
      <c r="AV41" s="122" t="n"/>
      <c r="AW41" s="122" t="n"/>
      <c r="AX41" s="50" t="n"/>
      <c r="AZ41" s="143" t="n"/>
      <c r="BA41" s="143" t="n"/>
      <c r="BB41" s="143" t="n"/>
      <c r="BC41" s="143" t="n"/>
      <c r="BD41" s="143" t="n"/>
    </row>
    <row r="42">
      <c r="B42" s="15" t="inlineStr">
        <is>
          <t>Event Daily Average</t>
        </is>
      </c>
      <c r="C42" s="192" t="inlineStr">
        <is>
          <t>C1</t>
        </is>
      </c>
      <c r="D42" s="192" t="inlineStr">
        <is>
          <t>C2</t>
        </is>
      </c>
      <c r="E42" s="192" t="inlineStr">
        <is>
          <t>C3</t>
        </is>
      </c>
      <c r="F42" s="192" t="inlineStr">
        <is>
          <t>C4</t>
        </is>
      </c>
      <c r="G42" s="192" t="inlineStr">
        <is>
          <t>C5</t>
        </is>
      </c>
      <c r="H42" s="192" t="inlineStr">
        <is>
          <t>C6</t>
        </is>
      </c>
      <c r="I42" s="192" t="inlineStr">
        <is>
          <t>C7</t>
        </is>
      </c>
      <c r="M42" s="193">
        <f>SUM(M33:M40)</f>
        <v/>
      </c>
      <c r="N42" s="193">
        <f>SUM(N33:N40)</f>
        <v/>
      </c>
      <c r="O42" s="193">
        <f>SUM(O33:O40)</f>
        <v/>
      </c>
      <c r="P42" s="193">
        <f>SUM(P33:P40)</f>
        <v/>
      </c>
      <c r="Q42" s="193">
        <f>SUM(Q33:Q40)</f>
        <v/>
      </c>
      <c r="R42" s="130" t="n"/>
      <c r="AA42" s="184">
        <f>N71</f>
        <v/>
      </c>
      <c r="AB42" s="185">
        <f>AA41</f>
        <v/>
      </c>
      <c r="AC42" s="185">
        <f>AB41</f>
        <v/>
      </c>
      <c r="AD42" s="185">
        <f>AC41</f>
        <v/>
      </c>
      <c r="AE42" s="185">
        <f>AD41</f>
        <v/>
      </c>
      <c r="AG42" s="184">
        <f>N72</f>
        <v/>
      </c>
      <c r="AH42" s="185">
        <f>AG41</f>
        <v/>
      </c>
      <c r="AI42" s="185">
        <f>AH41</f>
        <v/>
      </c>
      <c r="AJ42" s="185">
        <f>AI41</f>
        <v/>
      </c>
      <c r="AK42" s="185">
        <f>AJ41</f>
        <v/>
      </c>
      <c r="AM42" s="184">
        <f>N73</f>
        <v/>
      </c>
      <c r="AN42" s="185">
        <f>AM41</f>
        <v/>
      </c>
      <c r="AO42" s="185">
        <f>AN41</f>
        <v/>
      </c>
      <c r="AP42" s="185">
        <f>AO41</f>
        <v/>
      </c>
      <c r="AQ42" s="185">
        <f>AP41</f>
        <v/>
      </c>
      <c r="AS42" s="184">
        <f>N74</f>
        <v/>
      </c>
      <c r="AT42" s="185">
        <f>AS41</f>
        <v/>
      </c>
      <c r="AU42" s="185">
        <f>AT41</f>
        <v/>
      </c>
      <c r="AV42" s="185">
        <f>AU41</f>
        <v/>
      </c>
      <c r="AW42" s="185">
        <f>AV41</f>
        <v/>
      </c>
      <c r="AX42" s="50" t="n"/>
      <c r="AZ42" s="143" t="n"/>
      <c r="BA42" s="143" t="n"/>
      <c r="BB42" s="143" t="n"/>
      <c r="BC42" s="143" t="n"/>
      <c r="BD42" s="143" t="n"/>
    </row>
    <row r="43">
      <c r="A43" s="143" t="n"/>
      <c r="B43" s="119" t="inlineStr">
        <is>
          <t>Html5 Christmas Event</t>
        </is>
      </c>
      <c r="C43" s="164" t="inlineStr">
        <is>
          <t>Unreleased</t>
        </is>
      </c>
      <c r="D43" s="164" t="inlineStr">
        <is>
          <t>Unreleased</t>
        </is>
      </c>
      <c r="E43" s="164" t="inlineStr">
        <is>
          <t>Unreleased</t>
        </is>
      </c>
      <c r="F43" s="164" t="inlineStr">
        <is>
          <t>Unreleased</t>
        </is>
      </c>
      <c r="G43" s="164" t="inlineStr">
        <is>
          <t>Unreleased</t>
        </is>
      </c>
      <c r="H43" s="164" t="inlineStr">
        <is>
          <t>Unreleased</t>
        </is>
      </c>
      <c r="I43" s="164" t="inlineStr">
        <is>
          <t>Unreleased</t>
        </is>
      </c>
      <c r="M43" s="130" t="n"/>
      <c r="N43" s="130" t="n"/>
      <c r="O43" s="130" t="n"/>
      <c r="P43" s="130" t="n"/>
      <c r="R43" s="130" t="n"/>
      <c r="AA43" s="185">
        <f>AA41</f>
        <v/>
      </c>
      <c r="AB43" s="185">
        <f>AA42</f>
        <v/>
      </c>
      <c r="AC43" s="185">
        <f>AB42</f>
        <v/>
      </c>
      <c r="AD43" s="185">
        <f>AC42</f>
        <v/>
      </c>
      <c r="AE43" s="185">
        <f>AD42</f>
        <v/>
      </c>
      <c r="AG43" s="185">
        <f>AG41</f>
        <v/>
      </c>
      <c r="AH43" s="185">
        <f>AG42</f>
        <v/>
      </c>
      <c r="AI43" s="185">
        <f>AH42</f>
        <v/>
      </c>
      <c r="AJ43" s="185">
        <f>AI42</f>
        <v/>
      </c>
      <c r="AK43" s="185">
        <f>AJ42</f>
        <v/>
      </c>
      <c r="AM43" s="185">
        <f>AM41</f>
        <v/>
      </c>
      <c r="AN43" s="185">
        <f>AM42</f>
        <v/>
      </c>
      <c r="AO43" s="185">
        <f>AN42</f>
        <v/>
      </c>
      <c r="AP43" s="185">
        <f>AO42</f>
        <v/>
      </c>
      <c r="AQ43" s="185">
        <f>AP42</f>
        <v/>
      </c>
      <c r="AS43" s="185">
        <f>AS41</f>
        <v/>
      </c>
      <c r="AT43" s="185">
        <f>AS42</f>
        <v/>
      </c>
      <c r="AU43" s="185">
        <f>AT42</f>
        <v/>
      </c>
      <c r="AV43" s="185">
        <f>AU42</f>
        <v/>
      </c>
      <c r="AW43" s="185">
        <f>AV42</f>
        <v/>
      </c>
      <c r="AX43" s="50" t="n"/>
      <c r="AZ43" s="143" t="n"/>
      <c r="BA43" s="143" t="n"/>
      <c r="BB43" s="143" t="n"/>
      <c r="BC43" s="143" t="n"/>
      <c r="BD43" s="143" t="n"/>
    </row>
    <row r="44">
      <c r="A44" s="143" t="n"/>
      <c r="B44" s="119" t="inlineStr">
        <is>
          <t>Html5 ThanksGiving Event</t>
        </is>
      </c>
      <c r="C44" s="164" t="inlineStr">
        <is>
          <t>Unreleased</t>
        </is>
      </c>
      <c r="D44" s="164" t="inlineStr">
        <is>
          <t>Unreleased</t>
        </is>
      </c>
      <c r="E44" s="164" t="inlineStr">
        <is>
          <t>Unreleased</t>
        </is>
      </c>
      <c r="F44" s="164" t="inlineStr">
        <is>
          <t>Unreleased</t>
        </is>
      </c>
      <c r="G44" s="164" t="inlineStr">
        <is>
          <t>Unreleased</t>
        </is>
      </c>
      <c r="H44" s="164" t="inlineStr">
        <is>
          <t>Unreleased</t>
        </is>
      </c>
      <c r="I44" s="164" t="inlineStr">
        <is>
          <t>Unreleased</t>
        </is>
      </c>
      <c r="L44" s="102" t="inlineStr">
        <is>
          <t>%</t>
        </is>
      </c>
      <c r="M44" s="103">
        <f>SUM(M44:M51)</f>
        <v/>
      </c>
      <c r="N44" s="103">
        <f>SUM(N44:N51)</f>
        <v/>
      </c>
      <c r="O44" s="103">
        <f>SUM(O44:O51)</f>
        <v/>
      </c>
      <c r="P44" s="103">
        <f>SUM(P44:P51)</f>
        <v/>
      </c>
      <c r="Q44" s="103">
        <f>SUM(Q44:Q51)</f>
        <v/>
      </c>
      <c r="R44" s="81" t="n"/>
      <c r="AA44" s="185">
        <f>AA41</f>
        <v/>
      </c>
      <c r="AB44" s="185">
        <f>AA43</f>
        <v/>
      </c>
      <c r="AC44" s="185">
        <f>AB43</f>
        <v/>
      </c>
      <c r="AD44" s="185">
        <f>AC43</f>
        <v/>
      </c>
      <c r="AE44" s="185">
        <f>AD43</f>
        <v/>
      </c>
      <c r="AG44" s="185">
        <f>AG41</f>
        <v/>
      </c>
      <c r="AH44" s="185">
        <f>AG43</f>
        <v/>
      </c>
      <c r="AI44" s="185">
        <f>AH43</f>
        <v/>
      </c>
      <c r="AJ44" s="185">
        <f>AI43</f>
        <v/>
      </c>
      <c r="AK44" s="185">
        <f>AJ43</f>
        <v/>
      </c>
      <c r="AM44" s="185">
        <f>AM41</f>
        <v/>
      </c>
      <c r="AN44" s="185">
        <f>AM43</f>
        <v/>
      </c>
      <c r="AO44" s="185">
        <f>AN43</f>
        <v/>
      </c>
      <c r="AP44" s="185">
        <f>AO43</f>
        <v/>
      </c>
      <c r="AQ44" s="185">
        <f>AP43</f>
        <v/>
      </c>
      <c r="AS44" s="185">
        <f>AS41</f>
        <v/>
      </c>
      <c r="AT44" s="185">
        <f>AS43</f>
        <v/>
      </c>
      <c r="AU44" s="185">
        <f>AT43</f>
        <v/>
      </c>
      <c r="AV44" s="185">
        <f>AU43</f>
        <v/>
      </c>
      <c r="AW44" s="185">
        <f>AV43</f>
        <v/>
      </c>
      <c r="AX44" s="50" t="n"/>
      <c r="AZ44" s="143" t="n"/>
      <c r="BA44" s="143" t="n"/>
      <c r="BB44" s="143" t="n"/>
      <c r="BC44" s="143" t="n"/>
      <c r="BD44" s="143" t="n"/>
    </row>
    <row r="45">
      <c r="A45" s="143" t="n"/>
      <c r="B45" s="119" t="inlineStr">
        <is>
          <t>Html5 Halloween Event</t>
        </is>
      </c>
      <c r="C45" s="164" t="inlineStr">
        <is>
          <t>Unreleased</t>
        </is>
      </c>
      <c r="D45" s="164" t="inlineStr">
        <is>
          <t>Unreleased</t>
        </is>
      </c>
      <c r="E45" s="164" t="inlineStr">
        <is>
          <t>Unreleased</t>
        </is>
      </c>
      <c r="F45" s="164" t="inlineStr">
        <is>
          <t>Unreleased</t>
        </is>
      </c>
      <c r="G45" s="164" t="inlineStr">
        <is>
          <t>Unreleased</t>
        </is>
      </c>
      <c r="H45" s="164" t="inlineStr">
        <is>
          <t>Unreleased</t>
        </is>
      </c>
      <c r="I45" s="164" t="inlineStr">
        <is>
          <t>Unreleased</t>
        </is>
      </c>
      <c r="L45" s="56" t="inlineStr">
        <is>
          <t>Level1</t>
        </is>
      </c>
      <c r="M45" s="149">
        <f>M33/M$41</f>
        <v/>
      </c>
      <c r="N45" s="150">
        <f>N33/N$41</f>
        <v/>
      </c>
      <c r="O45" s="150">
        <f>O33/O$41</f>
        <v/>
      </c>
      <c r="P45" s="150">
        <f>P33/P$41</f>
        <v/>
      </c>
      <c r="Q45" s="150">
        <f>Q33/Q$41</f>
        <v/>
      </c>
      <c r="R45" s="130" t="n"/>
      <c r="AA45" s="185">
        <f>AA41</f>
        <v/>
      </c>
      <c r="AB45" s="185">
        <f>AA44</f>
        <v/>
      </c>
      <c r="AC45" s="185">
        <f>AB44</f>
        <v/>
      </c>
      <c r="AD45" s="185">
        <f>AC44</f>
        <v/>
      </c>
      <c r="AE45" s="185">
        <f>AD44</f>
        <v/>
      </c>
      <c r="AG45" s="185">
        <f>AG41</f>
        <v/>
      </c>
      <c r="AH45" s="185">
        <f>AG44</f>
        <v/>
      </c>
      <c r="AI45" s="185">
        <f>AH44</f>
        <v/>
      </c>
      <c r="AJ45" s="185">
        <f>AI44</f>
        <v/>
      </c>
      <c r="AK45" s="185">
        <f>AJ44</f>
        <v/>
      </c>
      <c r="AM45" s="185">
        <f>AM41</f>
        <v/>
      </c>
      <c r="AN45" s="185">
        <f>AM44</f>
        <v/>
      </c>
      <c r="AO45" s="185">
        <f>AN44</f>
        <v/>
      </c>
      <c r="AP45" s="185">
        <f>AO44</f>
        <v/>
      </c>
      <c r="AQ45" s="185">
        <f>AP44</f>
        <v/>
      </c>
      <c r="AS45" s="185">
        <f>AS41</f>
        <v/>
      </c>
      <c r="AT45" s="185">
        <f>AS44</f>
        <v/>
      </c>
      <c r="AU45" s="185">
        <f>AT44</f>
        <v/>
      </c>
      <c r="AV45" s="185">
        <f>AU44</f>
        <v/>
      </c>
      <c r="AW45" s="185">
        <f>AV44</f>
        <v/>
      </c>
      <c r="AX45" s="50" t="n"/>
      <c r="AZ45" s="143" t="n"/>
      <c r="BA45" s="143" t="n"/>
      <c r="BB45" s="143" t="n"/>
      <c r="BC45" s="143" t="n"/>
      <c r="BD45" s="143" t="n"/>
    </row>
    <row r="46">
      <c r="A46" s="143" t="n"/>
      <c r="B46" s="119" t="inlineStr">
        <is>
          <t>HTML5 Open Event</t>
        </is>
      </c>
      <c r="C46" s="164" t="inlineStr">
        <is>
          <t>Unreleased</t>
        </is>
      </c>
      <c r="D46" s="164" t="inlineStr">
        <is>
          <t>Unreleased</t>
        </is>
      </c>
      <c r="E46" s="164" t="inlineStr">
        <is>
          <t>Unreleased</t>
        </is>
      </c>
      <c r="F46" s="164" t="inlineStr">
        <is>
          <t>Unreleased</t>
        </is>
      </c>
      <c r="G46" s="164" t="inlineStr">
        <is>
          <t>Unreleased</t>
        </is>
      </c>
      <c r="H46" s="164" t="inlineStr">
        <is>
          <t>Unreleased</t>
        </is>
      </c>
      <c r="I46" s="164" t="inlineStr">
        <is>
          <t>Unreleased</t>
        </is>
      </c>
      <c r="L46" s="56" t="inlineStr">
        <is>
          <t>Level2</t>
        </is>
      </c>
      <c r="M46" s="149">
        <f>M34/M$41</f>
        <v/>
      </c>
      <c r="N46" s="149">
        <f>N34/N$41</f>
        <v/>
      </c>
      <c r="O46" s="150">
        <f>O34/O$41</f>
        <v/>
      </c>
      <c r="P46" s="150">
        <f>P34/P$41</f>
        <v/>
      </c>
      <c r="Q46" s="150">
        <f>Q34/Q$41</f>
        <v/>
      </c>
      <c r="AA46" s="185">
        <f>AA41</f>
        <v/>
      </c>
      <c r="AB46" s="185">
        <f>AA45</f>
        <v/>
      </c>
      <c r="AC46" s="185">
        <f>AB45</f>
        <v/>
      </c>
      <c r="AD46" s="185">
        <f>AC45</f>
        <v/>
      </c>
      <c r="AE46" s="185">
        <f>AD45</f>
        <v/>
      </c>
      <c r="AG46" s="185">
        <f>AG41</f>
        <v/>
      </c>
      <c r="AH46" s="185">
        <f>AG45</f>
        <v/>
      </c>
      <c r="AI46" s="185">
        <f>AH45</f>
        <v/>
      </c>
      <c r="AJ46" s="185">
        <f>AI45</f>
        <v/>
      </c>
      <c r="AK46" s="185">
        <f>AJ45</f>
        <v/>
      </c>
      <c r="AM46" s="185">
        <f>AM41</f>
        <v/>
      </c>
      <c r="AN46" s="185">
        <f>AM45</f>
        <v/>
      </c>
      <c r="AO46" s="185">
        <f>AN45</f>
        <v/>
      </c>
      <c r="AP46" s="185">
        <f>AO45</f>
        <v/>
      </c>
      <c r="AQ46" s="185">
        <f>AP45</f>
        <v/>
      </c>
      <c r="AS46" s="185">
        <f>AS41</f>
        <v/>
      </c>
      <c r="AT46" s="185">
        <f>AS45</f>
        <v/>
      </c>
      <c r="AU46" s="185">
        <f>AT45</f>
        <v/>
      </c>
      <c r="AV46" s="185">
        <f>AU45</f>
        <v/>
      </c>
      <c r="AW46" s="185">
        <f>AV45</f>
        <v/>
      </c>
      <c r="AX46" s="50" t="n"/>
      <c r="AZ46" s="143" t="n"/>
      <c r="BA46" s="143" t="n"/>
      <c r="BB46" s="143" t="n"/>
      <c r="BC46" s="143" t="n"/>
      <c r="BD46" s="143" t="n"/>
    </row>
    <row r="47">
      <c r="B47" s="15" t="inlineStr">
        <is>
          <t>Free Coin Daily Average</t>
        </is>
      </c>
      <c r="C47" s="192" t="inlineStr">
        <is>
          <t>C1</t>
        </is>
      </c>
      <c r="D47" s="192" t="inlineStr">
        <is>
          <t>C2</t>
        </is>
      </c>
      <c r="E47" s="192" t="inlineStr">
        <is>
          <t>C3</t>
        </is>
      </c>
      <c r="F47" s="192" t="inlineStr">
        <is>
          <t>C4</t>
        </is>
      </c>
      <c r="G47" s="192" t="inlineStr">
        <is>
          <t>C5</t>
        </is>
      </c>
      <c r="H47" s="192" t="inlineStr">
        <is>
          <t>C6</t>
        </is>
      </c>
      <c r="I47" s="192" t="inlineStr">
        <is>
          <t>C7</t>
        </is>
      </c>
      <c r="L47" s="56" t="inlineStr">
        <is>
          <t>Level3</t>
        </is>
      </c>
      <c r="M47" s="149">
        <f>M35/M$41</f>
        <v/>
      </c>
      <c r="N47" s="149">
        <f>N35/N$41</f>
        <v/>
      </c>
      <c r="O47" s="150">
        <f>O35/O$41</f>
        <v/>
      </c>
      <c r="P47" s="150">
        <f>P35/P$41</f>
        <v/>
      </c>
      <c r="Q47" s="150">
        <f>Q35/Q$41</f>
        <v/>
      </c>
      <c r="U47" s="186" t="n"/>
      <c r="AX47" s="50" t="n"/>
      <c r="AZ47" s="143" t="n"/>
      <c r="BA47" s="143" t="n"/>
      <c r="BB47" s="143" t="n"/>
      <c r="BC47" s="143" t="n"/>
      <c r="BD47" s="143" t="n"/>
    </row>
    <row r="48">
      <c r="B48" s="143" t="inlineStr">
        <is>
          <t>Per Person Average Received Amount</t>
        </is>
      </c>
      <c r="C48" s="164" t="inlineStr">
        <is>
          <t>Unreleased</t>
        </is>
      </c>
      <c r="D48" s="164" t="inlineStr">
        <is>
          <t>Unreleased</t>
        </is>
      </c>
      <c r="E48" s="164" t="inlineStr">
        <is>
          <t>Unreleased</t>
        </is>
      </c>
      <c r="F48" s="164" t="inlineStr">
        <is>
          <t>Unreleased</t>
        </is>
      </c>
      <c r="G48" s="164" t="inlineStr">
        <is>
          <t>Unreleased</t>
        </is>
      </c>
      <c r="H48" s="164" t="inlineStr">
        <is>
          <t>Unreleased</t>
        </is>
      </c>
      <c r="I48" s="164" t="inlineStr">
        <is>
          <t>Unreleased</t>
        </is>
      </c>
      <c r="L48" s="56" t="inlineStr">
        <is>
          <t>Level4</t>
        </is>
      </c>
      <c r="M48" s="149">
        <f>M36/M$41</f>
        <v/>
      </c>
      <c r="N48" s="149">
        <f>N36/N$41</f>
        <v/>
      </c>
      <c r="O48" s="149">
        <f>O36/O$41</f>
        <v/>
      </c>
      <c r="P48" s="150">
        <f>P36/P$41</f>
        <v/>
      </c>
      <c r="Q48" s="150">
        <f>Q36/Q$41</f>
        <v/>
      </c>
      <c r="U48" s="186" t="n"/>
      <c r="AA48" s="115" t="inlineStr">
        <is>
          <t>Bet Range 3</t>
        </is>
      </c>
      <c r="AZ48" s="143" t="n"/>
      <c r="BA48" s="143" t="n"/>
      <c r="BB48" s="143" t="n"/>
      <c r="BC48" s="143" t="n"/>
      <c r="BD48" s="143" t="n"/>
    </row>
    <row r="49">
      <c r="B49" s="143" t="inlineStr">
        <is>
          <t>Per Session Average Received Amount</t>
        </is>
      </c>
      <c r="C49" s="164" t="inlineStr">
        <is>
          <t>Unreleased</t>
        </is>
      </c>
      <c r="D49" s="164" t="inlineStr">
        <is>
          <t>Unreleased</t>
        </is>
      </c>
      <c r="E49" s="164" t="inlineStr">
        <is>
          <t>Unreleased</t>
        </is>
      </c>
      <c r="F49" s="164" t="inlineStr">
        <is>
          <t>Unreleased</t>
        </is>
      </c>
      <c r="G49" s="164" t="inlineStr">
        <is>
          <t>Unreleased</t>
        </is>
      </c>
      <c r="H49" s="164" t="inlineStr">
        <is>
          <t>Unreleased</t>
        </is>
      </c>
      <c r="I49" s="164" t="inlineStr">
        <is>
          <t>Unreleased</t>
        </is>
      </c>
      <c r="L49" s="56" t="inlineStr">
        <is>
          <t>Level5</t>
        </is>
      </c>
      <c r="M49" s="150">
        <f>M37/M$41</f>
        <v/>
      </c>
      <c r="N49" s="150">
        <f>N37/N$41</f>
        <v/>
      </c>
      <c r="O49" s="149">
        <f>O37/O$41</f>
        <v/>
      </c>
      <c r="P49" s="149">
        <f>P37/P$41</f>
        <v/>
      </c>
      <c r="Q49" s="150">
        <f>Q37/Q$41</f>
        <v/>
      </c>
      <c r="R49" s="130" t="n"/>
      <c r="U49" s="186" t="n"/>
      <c r="Z49" s="143">
        <f>SUM(AA49:AE53,AG49:AK53,AM49:AQ53,AS49:AW53,AA56:AE60,AG56:AK60,AM56:AQ60,AS56:AW60)-SUM(AC51,AI51,AO51,AU51,AC58,AI58,AO58,AU58)</f>
        <v/>
      </c>
      <c r="AA49" s="122" t="inlineStr">
        <is>
          <t>Level1</t>
        </is>
      </c>
      <c r="AB49" s="182" t="n"/>
      <c r="AC49" s="182" t="n"/>
      <c r="AD49" s="122" t="n"/>
      <c r="AE49" s="122" t="n"/>
      <c r="AF49" s="122" t="n"/>
      <c r="AG49" s="122" t="inlineStr">
        <is>
          <t>Level2</t>
        </is>
      </c>
      <c r="AH49" s="182" t="n"/>
      <c r="AI49" s="182" t="n"/>
      <c r="AJ49" s="122" t="n"/>
      <c r="AK49" s="122" t="n"/>
      <c r="AL49" s="122" t="n"/>
      <c r="AM49" s="122" t="inlineStr">
        <is>
          <t>Level3</t>
        </is>
      </c>
      <c r="AN49" s="122" t="n"/>
      <c r="AO49" s="122" t="n"/>
      <c r="AP49" s="122" t="n"/>
      <c r="AQ49" s="122" t="n"/>
      <c r="AR49" s="122" t="n"/>
      <c r="AS49" s="122" t="inlineStr">
        <is>
          <t>Level4</t>
        </is>
      </c>
      <c r="AT49" s="122" t="n"/>
      <c r="AU49" s="122" t="n"/>
      <c r="AV49" s="122" t="n"/>
      <c r="AW49" s="119" t="n"/>
      <c r="AX49" s="50" t="n"/>
      <c r="AZ49" s="143" t="n"/>
      <c r="BA49" s="143" t="n"/>
      <c r="BB49" s="143" t="n"/>
      <c r="BC49" s="143" t="n"/>
      <c r="BD49" s="143" t="n"/>
    </row>
    <row r="50">
      <c r="L50" s="56" t="inlineStr">
        <is>
          <t>Level6</t>
        </is>
      </c>
      <c r="M50" s="150">
        <f>M38/M$41</f>
        <v/>
      </c>
      <c r="N50" s="150">
        <f>N38/N$41</f>
        <v/>
      </c>
      <c r="O50" s="149">
        <f>O38/O$41</f>
        <v/>
      </c>
      <c r="P50" s="149">
        <f>P38/P$41</f>
        <v/>
      </c>
      <c r="Q50" s="149">
        <f>Q38/Q$41</f>
        <v/>
      </c>
      <c r="U50" s="186" t="n"/>
      <c r="AA50" s="184">
        <f>O67</f>
        <v/>
      </c>
      <c r="AB50" s="185">
        <f>AA49</f>
        <v/>
      </c>
      <c r="AC50" s="185">
        <f>AB49</f>
        <v/>
      </c>
      <c r="AD50" s="185">
        <f>AC49</f>
        <v/>
      </c>
      <c r="AE50" s="185">
        <f>AD49</f>
        <v/>
      </c>
      <c r="AG50" s="184">
        <f>O68</f>
        <v/>
      </c>
      <c r="AH50" s="185">
        <f>AG49</f>
        <v/>
      </c>
      <c r="AI50" s="185">
        <f>AH49</f>
        <v/>
      </c>
      <c r="AJ50" s="185">
        <f>AI49</f>
        <v/>
      </c>
      <c r="AK50" s="185">
        <f>AJ49</f>
        <v/>
      </c>
      <c r="AM50" s="184">
        <f>O69</f>
        <v/>
      </c>
      <c r="AN50" s="185">
        <f>AM49</f>
        <v/>
      </c>
      <c r="AO50" s="185">
        <f>AN49</f>
        <v/>
      </c>
      <c r="AP50" s="185">
        <f>AO49</f>
        <v/>
      </c>
      <c r="AQ50" s="185">
        <f>AP49</f>
        <v/>
      </c>
      <c r="AS50" s="184">
        <f>O70</f>
        <v/>
      </c>
      <c r="AT50" s="185">
        <f>AS49</f>
        <v/>
      </c>
      <c r="AU50" s="185">
        <f>AT49</f>
        <v/>
      </c>
      <c r="AV50" s="185">
        <f>AU49</f>
        <v/>
      </c>
      <c r="AW50" s="185">
        <f>AV49</f>
        <v/>
      </c>
      <c r="AX50" s="50" t="n"/>
      <c r="AZ50" s="143" t="n"/>
      <c r="BA50" s="143" t="n"/>
      <c r="BB50" s="143" t="n"/>
      <c r="BC50" s="143" t="n"/>
      <c r="BD50" s="143" t="n"/>
    </row>
    <row r="51">
      <c r="L51" s="56" t="inlineStr">
        <is>
          <t>Level7</t>
        </is>
      </c>
      <c r="M51" s="150">
        <f>M39/M$41</f>
        <v/>
      </c>
      <c r="N51" s="150">
        <f>N39/N$41</f>
        <v/>
      </c>
      <c r="O51" s="150">
        <f>O39/O$41</f>
        <v/>
      </c>
      <c r="P51" s="149">
        <f>P39/P$41</f>
        <v/>
      </c>
      <c r="Q51" s="149">
        <f>Q39/Q$41</f>
        <v/>
      </c>
      <c r="U51" s="186" t="n"/>
      <c r="AA51" s="185">
        <f>AA49</f>
        <v/>
      </c>
      <c r="AB51" s="185">
        <f>AA50</f>
        <v/>
      </c>
      <c r="AC51" s="185">
        <f>AB50</f>
        <v/>
      </c>
      <c r="AD51" s="185">
        <f>AC50</f>
        <v/>
      </c>
      <c r="AE51" s="185">
        <f>AD50</f>
        <v/>
      </c>
      <c r="AG51" s="185">
        <f>AG49</f>
        <v/>
      </c>
      <c r="AH51" s="185">
        <f>AG50</f>
        <v/>
      </c>
      <c r="AI51" s="185">
        <f>AH50</f>
        <v/>
      </c>
      <c r="AJ51" s="185">
        <f>AI50</f>
        <v/>
      </c>
      <c r="AK51" s="185">
        <f>AJ50</f>
        <v/>
      </c>
      <c r="AM51" s="185">
        <f>AM49</f>
        <v/>
      </c>
      <c r="AN51" s="185">
        <f>AM50</f>
        <v/>
      </c>
      <c r="AO51" s="185">
        <f>AN50</f>
        <v/>
      </c>
      <c r="AP51" s="185">
        <f>AO50</f>
        <v/>
      </c>
      <c r="AQ51" s="185">
        <f>AP50</f>
        <v/>
      </c>
      <c r="AS51" s="185">
        <f>AS49</f>
        <v/>
      </c>
      <c r="AT51" s="185">
        <f>AS50</f>
        <v/>
      </c>
      <c r="AU51" s="185">
        <f>AT50</f>
        <v/>
      </c>
      <c r="AV51" s="185">
        <f>AU50</f>
        <v/>
      </c>
      <c r="AW51" s="185">
        <f>AV50</f>
        <v/>
      </c>
      <c r="AX51" s="50" t="n"/>
      <c r="AZ51" s="143" t="n"/>
      <c r="BA51" s="143" t="n"/>
      <c r="BB51" s="143" t="n"/>
      <c r="BC51" s="143" t="n"/>
      <c r="BD51" s="143" t="n"/>
    </row>
    <row r="52">
      <c r="L52" s="56" t="inlineStr">
        <is>
          <t>Level8</t>
        </is>
      </c>
      <c r="M52" s="150">
        <f>M40/M$41</f>
        <v/>
      </c>
      <c r="N52" s="150">
        <f>N40/N$41</f>
        <v/>
      </c>
      <c r="O52" s="150">
        <f>O40/O$41</f>
        <v/>
      </c>
      <c r="P52" s="150">
        <f>P40/P$41</f>
        <v/>
      </c>
      <c r="Q52" s="149">
        <f>Q40/Q$41</f>
        <v/>
      </c>
      <c r="U52" s="186" t="n"/>
      <c r="AA52" s="185">
        <f>AA49</f>
        <v/>
      </c>
      <c r="AB52" s="185">
        <f>AA51</f>
        <v/>
      </c>
      <c r="AC52" s="185">
        <f>AB51</f>
        <v/>
      </c>
      <c r="AD52" s="185">
        <f>AC51</f>
        <v/>
      </c>
      <c r="AE52" s="185">
        <f>AD51</f>
        <v/>
      </c>
      <c r="AG52" s="185">
        <f>AG49</f>
        <v/>
      </c>
      <c r="AH52" s="185">
        <f>AG51</f>
        <v/>
      </c>
      <c r="AI52" s="185">
        <f>AH51</f>
        <v/>
      </c>
      <c r="AJ52" s="185">
        <f>AI51</f>
        <v/>
      </c>
      <c r="AK52" s="185">
        <f>AJ51</f>
        <v/>
      </c>
      <c r="AM52" s="185">
        <f>AM49</f>
        <v/>
      </c>
      <c r="AN52" s="185">
        <f>AM51</f>
        <v/>
      </c>
      <c r="AO52" s="185">
        <f>AN51</f>
        <v/>
      </c>
      <c r="AP52" s="185">
        <f>AO51</f>
        <v/>
      </c>
      <c r="AQ52" s="185">
        <f>AP51</f>
        <v/>
      </c>
      <c r="AS52" s="185">
        <f>AS49</f>
        <v/>
      </c>
      <c r="AT52" s="185">
        <f>AS51</f>
        <v/>
      </c>
      <c r="AU52" s="185">
        <f>AT51</f>
        <v/>
      </c>
      <c r="AV52" s="185">
        <f>AU51</f>
        <v/>
      </c>
      <c r="AW52" s="185">
        <f>AV51</f>
        <v/>
      </c>
      <c r="AX52" s="50" t="n"/>
      <c r="AZ52" s="143" t="n"/>
      <c r="BA52" s="143" t="n"/>
      <c r="BB52" s="143" t="n"/>
      <c r="BC52" s="143" t="n"/>
      <c r="BD52" s="143" t="n"/>
    </row>
    <row r="53">
      <c r="U53" s="186" t="n"/>
      <c r="AA53" s="185">
        <f>AA49</f>
        <v/>
      </c>
      <c r="AB53" s="185">
        <f>AA52</f>
        <v/>
      </c>
      <c r="AC53" s="185">
        <f>AB52</f>
        <v/>
      </c>
      <c r="AD53" s="185">
        <f>AC52</f>
        <v/>
      </c>
      <c r="AE53" s="185">
        <f>AD52</f>
        <v/>
      </c>
      <c r="AG53" s="185">
        <f>AG49</f>
        <v/>
      </c>
      <c r="AH53" s="185">
        <f>AG52</f>
        <v/>
      </c>
      <c r="AI53" s="185">
        <f>AH52</f>
        <v/>
      </c>
      <c r="AJ53" s="185">
        <f>AI52</f>
        <v/>
      </c>
      <c r="AK53" s="185">
        <f>AJ52</f>
        <v/>
      </c>
      <c r="AM53" s="185">
        <f>AM49</f>
        <v/>
      </c>
      <c r="AN53" s="185">
        <f>AM52</f>
        <v/>
      </c>
      <c r="AO53" s="185">
        <f>AN52</f>
        <v/>
      </c>
      <c r="AP53" s="185">
        <f>AO52</f>
        <v/>
      </c>
      <c r="AQ53" s="185">
        <f>AP52</f>
        <v/>
      </c>
      <c r="AS53" s="185">
        <f>AS49</f>
        <v/>
      </c>
      <c r="AT53" s="185">
        <f>AS52</f>
        <v/>
      </c>
      <c r="AU53" s="185">
        <f>AT52</f>
        <v/>
      </c>
      <c r="AV53" s="185">
        <f>AU52</f>
        <v/>
      </c>
      <c r="AW53" s="185">
        <f>AV52</f>
        <v/>
      </c>
      <c r="AX53" s="50" t="n"/>
      <c r="AZ53" s="143" t="n"/>
      <c r="BA53" s="143" t="n"/>
      <c r="BB53" s="143" t="n"/>
      <c r="BC53" s="143" t="n"/>
      <c r="BD53" s="143" t="n"/>
    </row>
    <row r="54">
      <c r="L54" s="96" t="inlineStr">
        <is>
          <t>Bet Target</t>
        </is>
      </c>
      <c r="M54" s="136">
        <f>SUM(M44:M46)</f>
        <v/>
      </c>
      <c r="N54" s="136">
        <f>SUM(N45:N47)</f>
        <v/>
      </c>
      <c r="O54" s="136">
        <f>SUM(O47:O49)</f>
        <v/>
      </c>
      <c r="P54" s="136">
        <f>SUM(P48:P50)</f>
        <v/>
      </c>
      <c r="Q54" s="136">
        <f>SUM(Q49:Q51)</f>
        <v/>
      </c>
      <c r="U54" s="186" t="n"/>
      <c r="AA54" s="185">
        <f>AA49</f>
        <v/>
      </c>
      <c r="AB54" s="185">
        <f>AA53</f>
        <v/>
      </c>
      <c r="AC54" s="185">
        <f>AB53</f>
        <v/>
      </c>
      <c r="AD54" s="185">
        <f>AC53</f>
        <v/>
      </c>
      <c r="AE54" s="185">
        <f>AD53</f>
        <v/>
      </c>
      <c r="AG54" s="185">
        <f>AG49</f>
        <v/>
      </c>
      <c r="AH54" s="185">
        <f>AG53</f>
        <v/>
      </c>
      <c r="AI54" s="185">
        <f>AH53</f>
        <v/>
      </c>
      <c r="AJ54" s="185">
        <f>AI53</f>
        <v/>
      </c>
      <c r="AK54" s="185">
        <f>AJ53</f>
        <v/>
      </c>
      <c r="AM54" s="185">
        <f>AM49</f>
        <v/>
      </c>
      <c r="AN54" s="185">
        <f>AM53</f>
        <v/>
      </c>
      <c r="AO54" s="185">
        <f>AN53</f>
        <v/>
      </c>
      <c r="AP54" s="185">
        <f>AO53</f>
        <v/>
      </c>
      <c r="AQ54" s="185">
        <f>AP53</f>
        <v/>
      </c>
      <c r="AS54" s="185">
        <f>AS49</f>
        <v/>
      </c>
      <c r="AT54" s="185">
        <f>AS53</f>
        <v/>
      </c>
      <c r="AU54" s="185">
        <f>AT53</f>
        <v/>
      </c>
      <c r="AV54" s="185">
        <f>AU53</f>
        <v/>
      </c>
      <c r="AW54" s="185">
        <f>AV53</f>
        <v/>
      </c>
      <c r="AX54" s="50" t="n"/>
      <c r="AZ54" s="143" t="n"/>
      <c r="BA54" s="143" t="n"/>
      <c r="BB54" s="143" t="n"/>
      <c r="BC54" s="143" t="n"/>
      <c r="BD54" s="143" t="n"/>
    </row>
    <row r="55">
      <c r="L55" s="56" t="inlineStr">
        <is>
          <t>Rest</t>
        </is>
      </c>
      <c r="M55" s="105">
        <f>1-M53</f>
        <v/>
      </c>
      <c r="N55" s="105">
        <f>1-N53</f>
        <v/>
      </c>
      <c r="O55" s="105">
        <f>1-O53</f>
        <v/>
      </c>
      <c r="P55" s="105">
        <f>1-P53</f>
        <v/>
      </c>
      <c r="Q55" s="105">
        <f>1-Q53</f>
        <v/>
      </c>
      <c r="U55" s="131" t="n"/>
      <c r="AX55" s="50" t="n"/>
      <c r="AZ55" s="143" t="n"/>
      <c r="BA55" s="143" t="n"/>
      <c r="BB55" s="143" t="n"/>
      <c r="BC55" s="143" t="n"/>
      <c r="BD55" s="143" t="n"/>
    </row>
    <row r="56">
      <c r="AA56" s="122" t="inlineStr">
        <is>
          <t>Level5</t>
        </is>
      </c>
      <c r="AB56" s="122" t="n"/>
      <c r="AC56" s="122" t="n"/>
      <c r="AD56" s="122" t="n"/>
      <c r="AE56" s="122" t="n"/>
      <c r="AF56" s="122" t="n"/>
      <c r="AG56" s="122" t="inlineStr">
        <is>
          <t>Level6</t>
        </is>
      </c>
      <c r="AH56" s="122" t="n"/>
      <c r="AI56" s="122" t="n"/>
      <c r="AJ56" s="122" t="n"/>
      <c r="AK56" s="122" t="n"/>
      <c r="AL56" s="122" t="n"/>
      <c r="AM56" s="122" t="inlineStr">
        <is>
          <t>Level7</t>
        </is>
      </c>
      <c r="AN56" s="122" t="n"/>
      <c r="AO56" s="122" t="n"/>
      <c r="AP56" s="122" t="n"/>
      <c r="AQ56" s="122" t="n"/>
      <c r="AR56" s="122" t="n"/>
      <c r="AS56" s="122" t="inlineStr">
        <is>
          <t>Level8</t>
        </is>
      </c>
      <c r="AT56" s="122" t="n"/>
      <c r="AU56" s="122" t="n"/>
      <c r="AV56" s="122" t="n"/>
      <c r="AW56" s="122" t="n"/>
      <c r="AX56" s="50" t="n"/>
      <c r="AZ56" s="143" t="n"/>
      <c r="BA56" s="143" t="n"/>
      <c r="BB56" s="143" t="n"/>
      <c r="BC56" s="143" t="n"/>
      <c r="BD56" s="143" t="n"/>
    </row>
    <row r="57">
      <c r="AA57" s="184">
        <f>O71</f>
        <v/>
      </c>
      <c r="AB57" s="185">
        <f>AA56</f>
        <v/>
      </c>
      <c r="AC57" s="185">
        <f>AB56</f>
        <v/>
      </c>
      <c r="AD57" s="185">
        <f>AC56</f>
        <v/>
      </c>
      <c r="AE57" s="185">
        <f>AD56</f>
        <v/>
      </c>
      <c r="AG57" s="184">
        <f>O72</f>
        <v/>
      </c>
      <c r="AH57" s="185">
        <f>AG56</f>
        <v/>
      </c>
      <c r="AI57" s="185">
        <f>AH56</f>
        <v/>
      </c>
      <c r="AJ57" s="185">
        <f>AI56</f>
        <v/>
      </c>
      <c r="AK57" s="185">
        <f>AJ56</f>
        <v/>
      </c>
      <c r="AM57" s="184">
        <f>O73</f>
        <v/>
      </c>
      <c r="AN57" s="185">
        <f>AM56</f>
        <v/>
      </c>
      <c r="AO57" s="185">
        <f>AN56</f>
        <v/>
      </c>
      <c r="AP57" s="185">
        <f>AO56</f>
        <v/>
      </c>
      <c r="AQ57" s="185">
        <f>AP56</f>
        <v/>
      </c>
      <c r="AS57" s="184">
        <f>O74</f>
        <v/>
      </c>
      <c r="AT57" s="185">
        <f>AS56</f>
        <v/>
      </c>
      <c r="AU57" s="185">
        <f>AT56</f>
        <v/>
      </c>
      <c r="AV57" s="185">
        <f>AU56</f>
        <v/>
      </c>
      <c r="AW57" s="185">
        <f>AV56</f>
        <v/>
      </c>
      <c r="AX57" s="50" t="n"/>
      <c r="AZ57" s="143" t="n"/>
      <c r="BA57" s="143" t="n"/>
      <c r="BB57" s="143" t="n"/>
      <c r="BC57" s="143" t="n"/>
      <c r="BD57" s="143" t="n"/>
    </row>
    <row r="58">
      <c r="L58" s="56" t="inlineStr">
        <is>
          <t>Level1</t>
        </is>
      </c>
      <c r="M58" s="194">
        <f>1250-SUM(M58:M64)</f>
        <v/>
      </c>
      <c r="N58" s="194">
        <f>1250-SUM(N58:N64)</f>
        <v/>
      </c>
      <c r="O58" s="194">
        <f>1250-SUM(O58:O64)</f>
        <v/>
      </c>
      <c r="P58" s="194">
        <f>1250-SUM(P58:P64)</f>
        <v/>
      </c>
      <c r="Q58" s="194">
        <f>1250-SUM(Q58:Q64)</f>
        <v/>
      </c>
      <c r="R58" s="143" t="n">
        <v>10000</v>
      </c>
      <c r="AA58" s="185">
        <f>AA56</f>
        <v/>
      </c>
      <c r="AB58" s="185">
        <f>AA57</f>
        <v/>
      </c>
      <c r="AC58" s="185">
        <f>AB57</f>
        <v/>
      </c>
      <c r="AD58" s="185">
        <f>AC57</f>
        <v/>
      </c>
      <c r="AE58" s="185">
        <f>AD57</f>
        <v/>
      </c>
      <c r="AG58" s="185">
        <f>AG56</f>
        <v/>
      </c>
      <c r="AH58" s="185">
        <f>AG57</f>
        <v/>
      </c>
      <c r="AI58" s="185">
        <f>AH57</f>
        <v/>
      </c>
      <c r="AJ58" s="185">
        <f>AI57</f>
        <v/>
      </c>
      <c r="AK58" s="185">
        <f>AJ57</f>
        <v/>
      </c>
      <c r="AM58" s="185">
        <f>AM56</f>
        <v/>
      </c>
      <c r="AN58" s="185">
        <f>AM57</f>
        <v/>
      </c>
      <c r="AO58" s="185">
        <f>AN57</f>
        <v/>
      </c>
      <c r="AP58" s="185">
        <f>AO57</f>
        <v/>
      </c>
      <c r="AQ58" s="185">
        <f>AP57</f>
        <v/>
      </c>
      <c r="AS58" s="185">
        <f>AS56</f>
        <v/>
      </c>
      <c r="AT58" s="185">
        <f>AS57</f>
        <v/>
      </c>
      <c r="AU58" s="185">
        <f>AT57</f>
        <v/>
      </c>
      <c r="AV58" s="185">
        <f>AU57</f>
        <v/>
      </c>
      <c r="AW58" s="185">
        <f>AV57</f>
        <v/>
      </c>
      <c r="AX58" s="50" t="n"/>
      <c r="AZ58" s="143" t="n"/>
      <c r="BA58" s="143" t="n"/>
      <c r="BB58" s="143" t="n"/>
      <c r="BC58" s="143" t="n"/>
      <c r="BD58" s="143" t="n"/>
    </row>
    <row r="59">
      <c r="L59" s="56" t="inlineStr">
        <is>
          <t>Level2</t>
        </is>
      </c>
      <c r="M59" s="195">
        <f>ROUND(M45*$R$59, 0)</f>
        <v/>
      </c>
      <c r="N59" s="195">
        <f>ROUND(N45*$R$59, 0)</f>
        <v/>
      </c>
      <c r="O59" s="195">
        <f>ROUND(O45*$R$59, 0)</f>
        <v/>
      </c>
      <c r="P59" s="195">
        <f>ROUND(P45*$R$59, 0)</f>
        <v/>
      </c>
      <c r="Q59" s="195">
        <f>ROUND(Q45*$R$59, 0)</f>
        <v/>
      </c>
      <c r="R59" s="143" t="n">
        <v>8</v>
      </c>
      <c r="AA59" s="185">
        <f>AA56</f>
        <v/>
      </c>
      <c r="AB59" s="185">
        <f>AA58</f>
        <v/>
      </c>
      <c r="AC59" s="185">
        <f>AB58</f>
        <v/>
      </c>
      <c r="AD59" s="185">
        <f>AC58</f>
        <v/>
      </c>
      <c r="AE59" s="185">
        <f>AD58</f>
        <v/>
      </c>
      <c r="AG59" s="185">
        <f>AG56</f>
        <v/>
      </c>
      <c r="AH59" s="185">
        <f>AG58</f>
        <v/>
      </c>
      <c r="AI59" s="185">
        <f>AH58</f>
        <v/>
      </c>
      <c r="AJ59" s="185">
        <f>AI58</f>
        <v/>
      </c>
      <c r="AK59" s="185">
        <f>AJ58</f>
        <v/>
      </c>
      <c r="AM59" s="185">
        <f>AM56</f>
        <v/>
      </c>
      <c r="AN59" s="185">
        <f>AM58</f>
        <v/>
      </c>
      <c r="AO59" s="185">
        <f>AN58</f>
        <v/>
      </c>
      <c r="AP59" s="185">
        <f>AO58</f>
        <v/>
      </c>
      <c r="AQ59" s="185">
        <f>AP58</f>
        <v/>
      </c>
      <c r="AS59" s="185">
        <f>AS56</f>
        <v/>
      </c>
      <c r="AT59" s="185">
        <f>AS58</f>
        <v/>
      </c>
      <c r="AU59" s="185">
        <f>AT58</f>
        <v/>
      </c>
      <c r="AV59" s="185">
        <f>AU58</f>
        <v/>
      </c>
      <c r="AW59" s="185">
        <f>AV58</f>
        <v/>
      </c>
      <c r="AX59" s="50" t="n"/>
      <c r="AZ59" s="143" t="n"/>
      <c r="BA59" s="143" t="n"/>
      <c r="BB59" s="143" t="n"/>
      <c r="BC59" s="143" t="n"/>
      <c r="BD59" s="143" t="n"/>
    </row>
    <row r="60">
      <c r="L60" s="56" t="inlineStr">
        <is>
          <t>Level3</t>
        </is>
      </c>
      <c r="M60" s="195">
        <f>ROUND(M46*$R$59, 0)</f>
        <v/>
      </c>
      <c r="N60" s="195">
        <f>ROUND(N46*$R$59, 0)</f>
        <v/>
      </c>
      <c r="O60" s="195">
        <f>ROUND(O46*$R$59, 0)</f>
        <v/>
      </c>
      <c r="P60" s="195">
        <f>ROUND(P46*$R$59, 0)</f>
        <v/>
      </c>
      <c r="Q60" s="195">
        <f>ROUND(Q46*$R$59, 0)</f>
        <v/>
      </c>
      <c r="R60" s="143">
        <f>R57/R58</f>
        <v/>
      </c>
      <c r="AA60" s="185">
        <f>AA56</f>
        <v/>
      </c>
      <c r="AB60" s="185">
        <f>AA59</f>
        <v/>
      </c>
      <c r="AC60" s="185">
        <f>AB59</f>
        <v/>
      </c>
      <c r="AD60" s="185">
        <f>AC59</f>
        <v/>
      </c>
      <c r="AE60" s="185">
        <f>AD59</f>
        <v/>
      </c>
      <c r="AG60" s="185">
        <f>AG56</f>
        <v/>
      </c>
      <c r="AH60" s="185">
        <f>AG59</f>
        <v/>
      </c>
      <c r="AI60" s="185">
        <f>AH59</f>
        <v/>
      </c>
      <c r="AJ60" s="185">
        <f>AI59</f>
        <v/>
      </c>
      <c r="AK60" s="185">
        <f>AJ59</f>
        <v/>
      </c>
      <c r="AM60" s="185">
        <f>AM56</f>
        <v/>
      </c>
      <c r="AN60" s="185">
        <f>AM59</f>
        <v/>
      </c>
      <c r="AO60" s="185">
        <f>AN59</f>
        <v/>
      </c>
      <c r="AP60" s="185">
        <f>AO59</f>
        <v/>
      </c>
      <c r="AQ60" s="185">
        <f>AP59</f>
        <v/>
      </c>
      <c r="AS60" s="185">
        <f>AS56</f>
        <v/>
      </c>
      <c r="AT60" s="185">
        <f>AS59</f>
        <v/>
      </c>
      <c r="AU60" s="185">
        <f>AT59</f>
        <v/>
      </c>
      <c r="AV60" s="185">
        <f>AU59</f>
        <v/>
      </c>
      <c r="AW60" s="185">
        <f>AV59</f>
        <v/>
      </c>
      <c r="AX60" s="50" t="n"/>
      <c r="AZ60" s="143" t="n"/>
      <c r="BA60" s="143" t="n"/>
      <c r="BB60" s="143" t="n"/>
      <c r="BC60" s="143" t="n"/>
      <c r="BD60" s="143" t="n"/>
    </row>
    <row r="61">
      <c r="L61" s="56" t="inlineStr">
        <is>
          <t>Level4</t>
        </is>
      </c>
      <c r="M61" s="195">
        <f>ROUND(M47*$R$59, 0)</f>
        <v/>
      </c>
      <c r="N61" s="195">
        <f>ROUND(N47*$R$59, 0)</f>
        <v/>
      </c>
      <c r="O61" s="195">
        <f>ROUND(O47*$R$59, 0)</f>
        <v/>
      </c>
      <c r="P61" s="195">
        <f>ROUND(P47*$R$59, 0)</f>
        <v/>
      </c>
      <c r="Q61" s="195">
        <f>ROUND(Q47*$R$59, 0)</f>
        <v/>
      </c>
      <c r="AA61" s="185">
        <f>AA56</f>
        <v/>
      </c>
      <c r="AB61" s="185">
        <f>AA60</f>
        <v/>
      </c>
      <c r="AC61" s="185">
        <f>AB60</f>
        <v/>
      </c>
      <c r="AD61" s="185">
        <f>AC60</f>
        <v/>
      </c>
      <c r="AE61" s="185">
        <f>AD60</f>
        <v/>
      </c>
      <c r="AG61" s="185">
        <f>AG56</f>
        <v/>
      </c>
      <c r="AH61" s="185">
        <f>AG60</f>
        <v/>
      </c>
      <c r="AI61" s="185">
        <f>AH60</f>
        <v/>
      </c>
      <c r="AJ61" s="185">
        <f>AI60</f>
        <v/>
      </c>
      <c r="AK61" s="185">
        <f>AJ60</f>
        <v/>
      </c>
      <c r="AM61" s="185">
        <f>AM56</f>
        <v/>
      </c>
      <c r="AN61" s="185">
        <f>AM60</f>
        <v/>
      </c>
      <c r="AO61" s="185">
        <f>AN60</f>
        <v/>
      </c>
      <c r="AP61" s="185">
        <f>AO60</f>
        <v/>
      </c>
      <c r="AQ61" s="185">
        <f>AP60</f>
        <v/>
      </c>
      <c r="AS61" s="185">
        <f>AS56</f>
        <v/>
      </c>
      <c r="AT61" s="185">
        <f>AS60</f>
        <v/>
      </c>
      <c r="AU61" s="185">
        <f>AT60</f>
        <v/>
      </c>
      <c r="AV61" s="185">
        <f>AU60</f>
        <v/>
      </c>
      <c r="AW61" s="185">
        <f>AV60</f>
        <v/>
      </c>
      <c r="AX61" s="50" t="n"/>
      <c r="AZ61" s="143" t="n"/>
      <c r="BA61" s="143" t="n"/>
      <c r="BB61" s="143" t="n"/>
      <c r="BC61" s="143" t="n"/>
      <c r="BD61" s="143" t="n"/>
    </row>
    <row r="62">
      <c r="L62" s="56" t="inlineStr">
        <is>
          <t>Level5</t>
        </is>
      </c>
      <c r="M62" s="195">
        <f>ROUND(M48*$R$59, 0)</f>
        <v/>
      </c>
      <c r="N62" s="195">
        <f>ROUND(N48*$R$59, 0)</f>
        <v/>
      </c>
      <c r="O62" s="195">
        <f>ROUND(O48*$R$59, 0)</f>
        <v/>
      </c>
      <c r="P62" s="195">
        <f>ROUND(P48*$R$59, 0)</f>
        <v/>
      </c>
      <c r="Q62" s="195">
        <f>ROUND(Q48*$R$59, 0)</f>
        <v/>
      </c>
      <c r="AZ62" s="143" t="n"/>
      <c r="BA62" s="143" t="n"/>
      <c r="BB62" s="143" t="n"/>
      <c r="BC62" s="143" t="n"/>
      <c r="BD62" s="143" t="n"/>
    </row>
    <row r="63">
      <c r="L63" s="56" t="inlineStr">
        <is>
          <t>Level6</t>
        </is>
      </c>
      <c r="M63" s="195">
        <f>ROUND(M49*$R$59, 0)</f>
        <v/>
      </c>
      <c r="N63" s="195">
        <f>ROUND(N49*$R$59, 0)</f>
        <v/>
      </c>
      <c r="O63" s="195">
        <f>ROUND(O49*$R$59, 0)</f>
        <v/>
      </c>
      <c r="P63" s="195">
        <f>ROUND(P49*$R$59, 0)</f>
        <v/>
      </c>
      <c r="Q63" s="195">
        <f>ROUND(Q49*$R$59, 0)</f>
        <v/>
      </c>
      <c r="AA63" s="115" t="inlineStr">
        <is>
          <t>Bet Range 4</t>
        </is>
      </c>
      <c r="AZ63" s="143" t="n"/>
      <c r="BA63" s="143" t="n"/>
      <c r="BB63" s="143" t="n"/>
      <c r="BC63" s="143" t="n"/>
      <c r="BD63" s="143" t="n"/>
    </row>
    <row r="64">
      <c r="L64" s="56" t="inlineStr">
        <is>
          <t>Level7</t>
        </is>
      </c>
      <c r="M64" s="195">
        <f>ROUND(M50*$R$59, 0)</f>
        <v/>
      </c>
      <c r="N64" s="195">
        <f>ROUND(N50*$R$59, 0)</f>
        <v/>
      </c>
      <c r="O64" s="195">
        <f>ROUND(O50*$R$59, 0)</f>
        <v/>
      </c>
      <c r="P64" s="195">
        <f>ROUND(P50*$R$59, 0)</f>
        <v/>
      </c>
      <c r="Q64" s="195">
        <f>ROUND(Q50*$R$59, 0)</f>
        <v/>
      </c>
      <c r="Z64" s="143">
        <f>SUM(AA64:AE68,AG64:AK68,AM64:AQ68,AS64:AW68,AA71:AE75,AG71:AK75,AM71:AQ75,AS71:AW75)-SUM(AC66,AI66,AO66,AU66,AC73,AI73,AO73,AU73)</f>
        <v/>
      </c>
      <c r="AA64" s="122" t="inlineStr">
        <is>
          <t>Level1</t>
        </is>
      </c>
      <c r="AB64" s="182" t="n"/>
      <c r="AC64" s="182" t="n"/>
      <c r="AD64" s="122" t="n"/>
      <c r="AE64" s="122" t="n"/>
      <c r="AF64" s="122" t="n"/>
      <c r="AG64" s="122" t="inlineStr">
        <is>
          <t>Level2</t>
        </is>
      </c>
      <c r="AH64" s="182" t="n"/>
      <c r="AI64" s="182" t="n"/>
      <c r="AJ64" s="122" t="n"/>
      <c r="AK64" s="122" t="n"/>
      <c r="AL64" s="122" t="n"/>
      <c r="AM64" s="122" t="inlineStr">
        <is>
          <t>Level3</t>
        </is>
      </c>
      <c r="AN64" s="122" t="n"/>
      <c r="AO64" s="122" t="n"/>
      <c r="AP64" s="122" t="n"/>
      <c r="AQ64" s="122" t="n"/>
      <c r="AR64" s="122" t="n"/>
      <c r="AS64" s="122" t="inlineStr">
        <is>
          <t>Level4</t>
        </is>
      </c>
      <c r="AT64" s="122" t="n"/>
      <c r="AU64" s="122" t="n"/>
      <c r="AV64" s="122" t="n"/>
      <c r="AW64" s="119" t="n"/>
      <c r="AZ64" s="143" t="n"/>
      <c r="BA64" s="143" t="n"/>
      <c r="BB64" s="143" t="n"/>
      <c r="BC64" s="143" t="n"/>
      <c r="BD64" s="143" t="n"/>
    </row>
    <row r="65">
      <c r="L65" s="56" t="inlineStr">
        <is>
          <t>Level8</t>
        </is>
      </c>
      <c r="M65" s="195">
        <f>ROUND(M51*$R$59, 0)</f>
        <v/>
      </c>
      <c r="N65" s="195">
        <f>ROUND(N51*$R$59, 0)</f>
        <v/>
      </c>
      <c r="O65" s="195">
        <f>ROUND(O51*$R$59, 0)</f>
        <v/>
      </c>
      <c r="P65" s="195">
        <f>ROUND(P51*$R$59, 0)</f>
        <v/>
      </c>
      <c r="Q65" s="195">
        <f>ROUND(Q51*$R$59, 0)</f>
        <v/>
      </c>
      <c r="AA65" s="184">
        <f>P67</f>
        <v/>
      </c>
      <c r="AB65" s="185">
        <f>AA64</f>
        <v/>
      </c>
      <c r="AC65" s="185">
        <f>AB64</f>
        <v/>
      </c>
      <c r="AD65" s="185">
        <f>AC64</f>
        <v/>
      </c>
      <c r="AE65" s="185">
        <f>AD64</f>
        <v/>
      </c>
      <c r="AG65" s="184">
        <f>P68</f>
        <v/>
      </c>
      <c r="AH65" s="185">
        <f>AG64</f>
        <v/>
      </c>
      <c r="AI65" s="185">
        <f>AH64</f>
        <v/>
      </c>
      <c r="AJ65" s="185">
        <f>AI64</f>
        <v/>
      </c>
      <c r="AK65" s="185">
        <f>AJ64</f>
        <v/>
      </c>
      <c r="AM65" s="184">
        <f>P69</f>
        <v/>
      </c>
      <c r="AN65" s="185">
        <f>AM64</f>
        <v/>
      </c>
      <c r="AO65" s="185">
        <f>AN64</f>
        <v/>
      </c>
      <c r="AP65" s="185">
        <f>AO64</f>
        <v/>
      </c>
      <c r="AQ65" s="185">
        <f>AP64</f>
        <v/>
      </c>
      <c r="AS65" s="184">
        <f>P70</f>
        <v/>
      </c>
      <c r="AT65" s="185">
        <f>AS64</f>
        <v/>
      </c>
      <c r="AU65" s="185">
        <f>AT64</f>
        <v/>
      </c>
      <c r="AV65" s="185">
        <f>AU64</f>
        <v/>
      </c>
      <c r="AW65" s="185">
        <f>AV64</f>
        <v/>
      </c>
      <c r="AX65" s="143" t="n"/>
      <c r="AZ65" s="143" t="n"/>
      <c r="BA65" s="143" t="n"/>
      <c r="BB65" s="143" t="n"/>
      <c r="BC65" s="143" t="n"/>
      <c r="BD65" s="143" t="n"/>
    </row>
    <row r="66">
      <c r="M66" s="188">
        <f>SUM(M57:M64)</f>
        <v/>
      </c>
      <c r="N66" s="188">
        <f>SUM(N57:N64)</f>
        <v/>
      </c>
      <c r="O66" s="188">
        <f>SUM(O57:O64)</f>
        <v/>
      </c>
      <c r="P66" s="188">
        <f>SUM(P57:P64)</f>
        <v/>
      </c>
      <c r="Q66" s="188">
        <f>SUM(Q57:Q64)</f>
        <v/>
      </c>
      <c r="AA66" s="185">
        <f>AA64</f>
        <v/>
      </c>
      <c r="AB66" s="185">
        <f>AA65</f>
        <v/>
      </c>
      <c r="AC66" s="185">
        <f>AB65</f>
        <v/>
      </c>
      <c r="AD66" s="185">
        <f>AC65</f>
        <v/>
      </c>
      <c r="AE66" s="185">
        <f>AD65</f>
        <v/>
      </c>
      <c r="AG66" s="185">
        <f>AG64</f>
        <v/>
      </c>
      <c r="AH66" s="185">
        <f>AG65</f>
        <v/>
      </c>
      <c r="AI66" s="185">
        <f>AH65</f>
        <v/>
      </c>
      <c r="AJ66" s="185">
        <f>AI65</f>
        <v/>
      </c>
      <c r="AK66" s="185">
        <f>AJ65</f>
        <v/>
      </c>
      <c r="AM66" s="185">
        <f>AM64</f>
        <v/>
      </c>
      <c r="AN66" s="185">
        <f>AM65</f>
        <v/>
      </c>
      <c r="AO66" s="185">
        <f>AN65</f>
        <v/>
      </c>
      <c r="AP66" s="185">
        <f>AO65</f>
        <v/>
      </c>
      <c r="AQ66" s="185">
        <f>AP65</f>
        <v/>
      </c>
      <c r="AS66" s="185">
        <f>AS64</f>
        <v/>
      </c>
      <c r="AT66" s="185">
        <f>AS65</f>
        <v/>
      </c>
      <c r="AU66" s="185">
        <f>AT65</f>
        <v/>
      </c>
      <c r="AV66" s="185">
        <f>AU65</f>
        <v/>
      </c>
      <c r="AW66" s="185">
        <f>AV65</f>
        <v/>
      </c>
      <c r="AX66" s="143" t="n"/>
      <c r="AZ66" s="143" t="n"/>
      <c r="BA66" s="143" t="n"/>
      <c r="BB66" s="143" t="n"/>
      <c r="BC66" s="143" t="n"/>
      <c r="BD66" s="143" t="n"/>
    </row>
    <row r="67">
      <c r="AA67" s="185">
        <f>AA64</f>
        <v/>
      </c>
      <c r="AB67" s="185">
        <f>AA66</f>
        <v/>
      </c>
      <c r="AC67" s="185">
        <f>AB66</f>
        <v/>
      </c>
      <c r="AD67" s="185">
        <f>AC66</f>
        <v/>
      </c>
      <c r="AE67" s="185">
        <f>AD66</f>
        <v/>
      </c>
      <c r="AG67" s="185">
        <f>AG64</f>
        <v/>
      </c>
      <c r="AH67" s="185">
        <f>AG66</f>
        <v/>
      </c>
      <c r="AI67" s="185">
        <f>AH66</f>
        <v/>
      </c>
      <c r="AJ67" s="185">
        <f>AI66</f>
        <v/>
      </c>
      <c r="AK67" s="185">
        <f>AJ66</f>
        <v/>
      </c>
      <c r="AM67" s="185">
        <f>AM64</f>
        <v/>
      </c>
      <c r="AN67" s="185">
        <f>AM66</f>
        <v/>
      </c>
      <c r="AO67" s="185">
        <f>AN66</f>
        <v/>
      </c>
      <c r="AP67" s="185">
        <f>AO66</f>
        <v/>
      </c>
      <c r="AQ67" s="185">
        <f>AP66</f>
        <v/>
      </c>
      <c r="AS67" s="185">
        <f>AS64</f>
        <v/>
      </c>
      <c r="AT67" s="185">
        <f>AS66</f>
        <v/>
      </c>
      <c r="AU67" s="185">
        <f>AT66</f>
        <v/>
      </c>
      <c r="AV67" s="185">
        <f>AU66</f>
        <v/>
      </c>
      <c r="AW67" s="185">
        <f>AV66</f>
        <v/>
      </c>
      <c r="AX67" s="143" t="n"/>
      <c r="AZ67" s="143" t="n"/>
      <c r="BA67" s="143" t="n"/>
      <c r="BB67" s="143" t="n"/>
      <c r="BC67" s="143" t="n"/>
      <c r="BD67" s="143" t="n"/>
    </row>
    <row r="68">
      <c r="L68" s="56" t="inlineStr">
        <is>
          <t>Level1</t>
        </is>
      </c>
      <c r="M68" s="196">
        <f>M57</f>
        <v/>
      </c>
      <c r="N68" s="196">
        <f>N57</f>
        <v/>
      </c>
      <c r="O68" s="196">
        <f>O57</f>
        <v/>
      </c>
      <c r="P68" s="196">
        <f>P57</f>
        <v/>
      </c>
      <c r="Q68" s="196">
        <f>Q57</f>
        <v/>
      </c>
      <c r="AA68" s="185">
        <f>AA64</f>
        <v/>
      </c>
      <c r="AB68" s="185">
        <f>AA67</f>
        <v/>
      </c>
      <c r="AC68" s="185">
        <f>AB67</f>
        <v/>
      </c>
      <c r="AD68" s="185">
        <f>AC67</f>
        <v/>
      </c>
      <c r="AE68" s="185">
        <f>AD67</f>
        <v/>
      </c>
      <c r="AG68" s="185">
        <f>AG64</f>
        <v/>
      </c>
      <c r="AH68" s="185">
        <f>AG67</f>
        <v/>
      </c>
      <c r="AI68" s="185">
        <f>AH67</f>
        <v/>
      </c>
      <c r="AJ68" s="185">
        <f>AI67</f>
        <v/>
      </c>
      <c r="AK68" s="185">
        <f>AJ67</f>
        <v/>
      </c>
      <c r="AM68" s="185">
        <f>AM64</f>
        <v/>
      </c>
      <c r="AN68" s="185">
        <f>AM67</f>
        <v/>
      </c>
      <c r="AO68" s="185">
        <f>AN67</f>
        <v/>
      </c>
      <c r="AP68" s="185">
        <f>AO67</f>
        <v/>
      </c>
      <c r="AQ68" s="185">
        <f>AP67</f>
        <v/>
      </c>
      <c r="AS68" s="185">
        <f>AS64</f>
        <v/>
      </c>
      <c r="AT68" s="185">
        <f>AS67</f>
        <v/>
      </c>
      <c r="AU68" s="185">
        <f>AT67</f>
        <v/>
      </c>
      <c r="AV68" s="185">
        <f>AU67</f>
        <v/>
      </c>
      <c r="AW68" s="185">
        <f>AV67</f>
        <v/>
      </c>
      <c r="AX68" s="143" t="n"/>
      <c r="AZ68" s="143" t="n"/>
      <c r="BA68" s="143" t="n"/>
      <c r="BB68" s="143" t="n"/>
      <c r="BC68" s="143" t="n"/>
      <c r="BD68" s="143" t="n"/>
    </row>
    <row r="69">
      <c r="L69" s="56" t="inlineStr">
        <is>
          <t>Level2</t>
        </is>
      </c>
      <c r="M69" s="196">
        <f>M58</f>
        <v/>
      </c>
      <c r="N69" s="196">
        <f>N58</f>
        <v/>
      </c>
      <c r="O69" s="196">
        <f>O58</f>
        <v/>
      </c>
      <c r="P69" s="196">
        <f>P58</f>
        <v/>
      </c>
      <c r="Q69" s="196">
        <f>Q58</f>
        <v/>
      </c>
      <c r="AA69" s="185">
        <f>AA64</f>
        <v/>
      </c>
      <c r="AB69" s="185">
        <f>AA68</f>
        <v/>
      </c>
      <c r="AC69" s="185">
        <f>AB68</f>
        <v/>
      </c>
      <c r="AD69" s="185">
        <f>AC68</f>
        <v/>
      </c>
      <c r="AE69" s="185">
        <f>AD68</f>
        <v/>
      </c>
      <c r="AG69" s="185">
        <f>AG64</f>
        <v/>
      </c>
      <c r="AH69" s="185">
        <f>AG68</f>
        <v/>
      </c>
      <c r="AI69" s="185">
        <f>AH68</f>
        <v/>
      </c>
      <c r="AJ69" s="185">
        <f>AI68</f>
        <v/>
      </c>
      <c r="AK69" s="185">
        <f>AJ68</f>
        <v/>
      </c>
      <c r="AM69" s="185">
        <f>AM64</f>
        <v/>
      </c>
      <c r="AN69" s="185">
        <f>AM68</f>
        <v/>
      </c>
      <c r="AO69" s="185">
        <f>AN68</f>
        <v/>
      </c>
      <c r="AP69" s="185">
        <f>AO68</f>
        <v/>
      </c>
      <c r="AQ69" s="185">
        <f>AP68</f>
        <v/>
      </c>
      <c r="AS69" s="185">
        <f>AS64</f>
        <v/>
      </c>
      <c r="AT69" s="185">
        <f>AS68</f>
        <v/>
      </c>
      <c r="AU69" s="185">
        <f>AT68</f>
        <v/>
      </c>
      <c r="AV69" s="185">
        <f>AU68</f>
        <v/>
      </c>
      <c r="AW69" s="185">
        <f>AV68</f>
        <v/>
      </c>
      <c r="AX69" s="143" t="n"/>
      <c r="AZ69" s="143" t="n"/>
      <c r="BA69" s="143" t="n"/>
      <c r="BB69" s="143" t="n"/>
      <c r="BC69" s="143" t="n"/>
      <c r="BD69" s="143" t="n"/>
    </row>
    <row r="70">
      <c r="L70" s="56" t="inlineStr">
        <is>
          <t>Level3</t>
        </is>
      </c>
      <c r="M70" s="196">
        <f>M59</f>
        <v/>
      </c>
      <c r="N70" s="196">
        <f>N59</f>
        <v/>
      </c>
      <c r="O70" s="196">
        <f>O59</f>
        <v/>
      </c>
      <c r="P70" s="196">
        <f>P59</f>
        <v/>
      </c>
      <c r="Q70" s="196">
        <f>Q59</f>
        <v/>
      </c>
      <c r="AZ70" s="143" t="n"/>
      <c r="BA70" s="143" t="n"/>
      <c r="BB70" s="143" t="n"/>
      <c r="BC70" s="143" t="n"/>
      <c r="BD70" s="143" t="n"/>
    </row>
    <row r="71">
      <c r="L71" s="56" t="inlineStr">
        <is>
          <t>Level4</t>
        </is>
      </c>
      <c r="M71" s="196">
        <f>M60</f>
        <v/>
      </c>
      <c r="N71" s="196">
        <f>N60</f>
        <v/>
      </c>
      <c r="O71" s="196">
        <f>O60</f>
        <v/>
      </c>
      <c r="P71" s="196">
        <f>P60</f>
        <v/>
      </c>
      <c r="Q71" s="196">
        <f>Q60</f>
        <v/>
      </c>
      <c r="AA71" s="122" t="inlineStr">
        <is>
          <t>Level5</t>
        </is>
      </c>
      <c r="AB71" s="122" t="n"/>
      <c r="AC71" s="122" t="n"/>
      <c r="AD71" s="122" t="n"/>
      <c r="AE71" s="122" t="n"/>
      <c r="AF71" s="122" t="n"/>
      <c r="AG71" s="122" t="inlineStr">
        <is>
          <t>Level6</t>
        </is>
      </c>
      <c r="AH71" s="122" t="n"/>
      <c r="AI71" s="122" t="n"/>
      <c r="AJ71" s="122" t="n"/>
      <c r="AK71" s="122" t="n"/>
      <c r="AL71" s="122" t="n"/>
      <c r="AM71" s="122" t="inlineStr">
        <is>
          <t>Level7</t>
        </is>
      </c>
      <c r="AN71" s="122" t="n"/>
      <c r="AO71" s="122" t="n"/>
      <c r="AP71" s="122" t="n"/>
      <c r="AQ71" s="122" t="n"/>
      <c r="AR71" s="122" t="n"/>
      <c r="AS71" s="122" t="inlineStr">
        <is>
          <t>Level8</t>
        </is>
      </c>
      <c r="AT71" s="122" t="n"/>
      <c r="AU71" s="122" t="n"/>
      <c r="AV71" s="122" t="n"/>
      <c r="AW71" s="122" t="n"/>
      <c r="AZ71" s="143" t="n"/>
      <c r="BA71" s="143" t="n"/>
      <c r="BB71" s="143" t="n"/>
      <c r="BC71" s="143" t="n"/>
      <c r="BD71" s="143" t="n"/>
    </row>
    <row r="72">
      <c r="L72" s="56" t="inlineStr">
        <is>
          <t>Level5</t>
        </is>
      </c>
      <c r="M72" s="196">
        <f>M61</f>
        <v/>
      </c>
      <c r="N72" s="196">
        <f>N61</f>
        <v/>
      </c>
      <c r="O72" s="196">
        <f>O61</f>
        <v/>
      </c>
      <c r="P72" s="196">
        <f>P61</f>
        <v/>
      </c>
      <c r="Q72" s="196">
        <f>Q61</f>
        <v/>
      </c>
      <c r="AA72" s="184">
        <f>P71</f>
        <v/>
      </c>
      <c r="AB72" s="185">
        <f>AA71</f>
        <v/>
      </c>
      <c r="AC72" s="185">
        <f>AB71</f>
        <v/>
      </c>
      <c r="AD72" s="185">
        <f>AC71</f>
        <v/>
      </c>
      <c r="AE72" s="185">
        <f>AD71</f>
        <v/>
      </c>
      <c r="AG72" s="184">
        <f>P72</f>
        <v/>
      </c>
      <c r="AH72" s="185">
        <f>AG71</f>
        <v/>
      </c>
      <c r="AI72" s="185">
        <f>AH71</f>
        <v/>
      </c>
      <c r="AJ72" s="185">
        <f>AI71</f>
        <v/>
      </c>
      <c r="AK72" s="185">
        <f>AJ71</f>
        <v/>
      </c>
      <c r="AM72" s="184">
        <f>P73</f>
        <v/>
      </c>
      <c r="AN72" s="185">
        <f>AM71</f>
        <v/>
      </c>
      <c r="AO72" s="185">
        <f>AN71</f>
        <v/>
      </c>
      <c r="AP72" s="185">
        <f>AO71</f>
        <v/>
      </c>
      <c r="AQ72" s="185">
        <f>AP71</f>
        <v/>
      </c>
      <c r="AS72" s="184">
        <f>P74</f>
        <v/>
      </c>
      <c r="AT72" s="185">
        <f>AS71</f>
        <v/>
      </c>
      <c r="AU72" s="185">
        <f>AT71</f>
        <v/>
      </c>
      <c r="AV72" s="185">
        <f>AU71</f>
        <v/>
      </c>
      <c r="AW72" s="185">
        <f>AV71</f>
        <v/>
      </c>
      <c r="AX72" s="143" t="n"/>
      <c r="AZ72" s="143" t="n"/>
      <c r="BA72" s="143" t="n"/>
      <c r="BB72" s="143" t="n"/>
      <c r="BC72" s="143" t="n"/>
      <c r="BD72" s="143" t="n"/>
    </row>
    <row r="73">
      <c r="L73" s="56" t="inlineStr">
        <is>
          <t>Level6</t>
        </is>
      </c>
      <c r="M73" s="196">
        <f>M62</f>
        <v/>
      </c>
      <c r="N73" s="196">
        <f>N62</f>
        <v/>
      </c>
      <c r="O73" s="196">
        <f>O62</f>
        <v/>
      </c>
      <c r="P73" s="196">
        <f>P62</f>
        <v/>
      </c>
      <c r="Q73" s="196">
        <f>Q62</f>
        <v/>
      </c>
      <c r="AA73" s="185">
        <f>AA71</f>
        <v/>
      </c>
      <c r="AB73" s="185">
        <f>AA72</f>
        <v/>
      </c>
      <c r="AC73" s="185">
        <f>AB72</f>
        <v/>
      </c>
      <c r="AD73" s="185">
        <f>AC72</f>
        <v/>
      </c>
      <c r="AE73" s="185">
        <f>AD72</f>
        <v/>
      </c>
      <c r="AG73" s="185">
        <f>AG71</f>
        <v/>
      </c>
      <c r="AH73" s="185">
        <f>AG72</f>
        <v/>
      </c>
      <c r="AI73" s="185">
        <f>AH72</f>
        <v/>
      </c>
      <c r="AJ73" s="185">
        <f>AI72</f>
        <v/>
      </c>
      <c r="AK73" s="185">
        <f>AJ72</f>
        <v/>
      </c>
      <c r="AM73" s="185">
        <f>AM71</f>
        <v/>
      </c>
      <c r="AN73" s="185">
        <f>AM72</f>
        <v/>
      </c>
      <c r="AO73" s="185">
        <f>AN72</f>
        <v/>
      </c>
      <c r="AP73" s="185">
        <f>AO72</f>
        <v/>
      </c>
      <c r="AQ73" s="185">
        <f>AP72</f>
        <v/>
      </c>
      <c r="AS73" s="185">
        <f>AS71</f>
        <v/>
      </c>
      <c r="AT73" s="185">
        <f>AS72</f>
        <v/>
      </c>
      <c r="AU73" s="185">
        <f>AT72</f>
        <v/>
      </c>
      <c r="AV73" s="185">
        <f>AU72</f>
        <v/>
      </c>
      <c r="AW73" s="185">
        <f>AV72</f>
        <v/>
      </c>
      <c r="AX73" s="143" t="n"/>
      <c r="AZ73" s="143" t="n"/>
      <c r="BA73" s="143" t="n"/>
      <c r="BB73" s="143" t="n"/>
      <c r="BC73" s="143" t="n"/>
      <c r="BD73" s="143" t="n"/>
    </row>
    <row r="74">
      <c r="L74" s="56" t="inlineStr">
        <is>
          <t>Level7</t>
        </is>
      </c>
      <c r="M74" s="196">
        <f>M63</f>
        <v/>
      </c>
      <c r="N74" s="196">
        <f>N63</f>
        <v/>
      </c>
      <c r="O74" s="196">
        <f>O63</f>
        <v/>
      </c>
      <c r="P74" s="196">
        <f>P63</f>
        <v/>
      </c>
      <c r="Q74" s="196">
        <f>Q63</f>
        <v/>
      </c>
      <c r="AA74" s="185">
        <f>AA71</f>
        <v/>
      </c>
      <c r="AB74" s="185">
        <f>AA73</f>
        <v/>
      </c>
      <c r="AC74" s="185">
        <f>AB73</f>
        <v/>
      </c>
      <c r="AD74" s="185">
        <f>AC73</f>
        <v/>
      </c>
      <c r="AE74" s="185">
        <f>AD73</f>
        <v/>
      </c>
      <c r="AG74" s="185">
        <f>AG71</f>
        <v/>
      </c>
      <c r="AH74" s="185">
        <f>AG73</f>
        <v/>
      </c>
      <c r="AI74" s="185">
        <f>AH73</f>
        <v/>
      </c>
      <c r="AJ74" s="185">
        <f>AI73</f>
        <v/>
      </c>
      <c r="AK74" s="185">
        <f>AJ73</f>
        <v/>
      </c>
      <c r="AM74" s="185">
        <f>AM71</f>
        <v/>
      </c>
      <c r="AN74" s="185">
        <f>AM73</f>
        <v/>
      </c>
      <c r="AO74" s="185">
        <f>AN73</f>
        <v/>
      </c>
      <c r="AP74" s="185">
        <f>AO73</f>
        <v/>
      </c>
      <c r="AQ74" s="185">
        <f>AP73</f>
        <v/>
      </c>
      <c r="AS74" s="185">
        <f>AS71</f>
        <v/>
      </c>
      <c r="AT74" s="185">
        <f>AS73</f>
        <v/>
      </c>
      <c r="AU74" s="185">
        <f>AT73</f>
        <v/>
      </c>
      <c r="AV74" s="185">
        <f>AU73</f>
        <v/>
      </c>
      <c r="AW74" s="185">
        <f>AV73</f>
        <v/>
      </c>
      <c r="AX74" s="143" t="n"/>
      <c r="AZ74" s="143" t="n"/>
      <c r="BA74" s="143" t="n"/>
      <c r="BB74" s="143" t="n"/>
      <c r="BC74" s="143" t="n"/>
      <c r="BD74" s="143" t="n"/>
    </row>
    <row r="75">
      <c r="L75" s="56" t="inlineStr">
        <is>
          <t>Level8</t>
        </is>
      </c>
      <c r="M75" s="196">
        <f>M64</f>
        <v/>
      </c>
      <c r="N75" s="196">
        <f>N64</f>
        <v/>
      </c>
      <c r="O75" s="196">
        <f>O64</f>
        <v/>
      </c>
      <c r="P75" s="196">
        <f>P64</f>
        <v/>
      </c>
      <c r="Q75" s="196">
        <f>Q64</f>
        <v/>
      </c>
      <c r="AA75" s="185">
        <f>AA71</f>
        <v/>
      </c>
      <c r="AB75" s="185">
        <f>AA74</f>
        <v/>
      </c>
      <c r="AC75" s="185">
        <f>AB74</f>
        <v/>
      </c>
      <c r="AD75" s="185">
        <f>AC74</f>
        <v/>
      </c>
      <c r="AE75" s="185">
        <f>AD74</f>
        <v/>
      </c>
      <c r="AG75" s="185">
        <f>AG71</f>
        <v/>
      </c>
      <c r="AH75" s="185">
        <f>AG74</f>
        <v/>
      </c>
      <c r="AI75" s="185">
        <f>AH74</f>
        <v/>
      </c>
      <c r="AJ75" s="185">
        <f>AI74</f>
        <v/>
      </c>
      <c r="AK75" s="185">
        <f>AJ74</f>
        <v/>
      </c>
      <c r="AM75" s="185">
        <f>AM71</f>
        <v/>
      </c>
      <c r="AN75" s="185">
        <f>AM74</f>
        <v/>
      </c>
      <c r="AO75" s="185">
        <f>AN74</f>
        <v/>
      </c>
      <c r="AP75" s="185">
        <f>AO74</f>
        <v/>
      </c>
      <c r="AQ75" s="185">
        <f>AP74</f>
        <v/>
      </c>
      <c r="AS75" s="185">
        <f>AS71</f>
        <v/>
      </c>
      <c r="AT75" s="185">
        <f>AS74</f>
        <v/>
      </c>
      <c r="AU75" s="185">
        <f>AT74</f>
        <v/>
      </c>
      <c r="AV75" s="185">
        <f>AU74</f>
        <v/>
      </c>
      <c r="AW75" s="185">
        <f>AV74</f>
        <v/>
      </c>
      <c r="AX75" s="143" t="n"/>
      <c r="AZ75" s="143" t="n"/>
      <c r="BA75" s="143" t="n"/>
      <c r="BB75" s="143" t="n"/>
      <c r="BC75" s="143" t="n"/>
      <c r="BD75" s="143" t="n"/>
    </row>
    <row r="76">
      <c r="AA76" s="185">
        <f>AA71</f>
        <v/>
      </c>
      <c r="AB76" s="185">
        <f>AA75</f>
        <v/>
      </c>
      <c r="AC76" s="185">
        <f>AB75</f>
        <v/>
      </c>
      <c r="AD76" s="185">
        <f>AC75</f>
        <v/>
      </c>
      <c r="AE76" s="185">
        <f>AD75</f>
        <v/>
      </c>
      <c r="AG76" s="185">
        <f>AG71</f>
        <v/>
      </c>
      <c r="AH76" s="185">
        <f>AG75</f>
        <v/>
      </c>
      <c r="AI76" s="185">
        <f>AH75</f>
        <v/>
      </c>
      <c r="AJ76" s="185">
        <f>AI75</f>
        <v/>
      </c>
      <c r="AK76" s="185">
        <f>AJ75</f>
        <v/>
      </c>
      <c r="AM76" s="185">
        <f>AM71</f>
        <v/>
      </c>
      <c r="AN76" s="185">
        <f>AM75</f>
        <v/>
      </c>
      <c r="AO76" s="185">
        <f>AN75</f>
        <v/>
      </c>
      <c r="AP76" s="185">
        <f>AO75</f>
        <v/>
      </c>
      <c r="AQ76" s="185">
        <f>AP75</f>
        <v/>
      </c>
      <c r="AS76" s="185">
        <f>AS71</f>
        <v/>
      </c>
      <c r="AT76" s="185">
        <f>AS75</f>
        <v/>
      </c>
      <c r="AU76" s="185">
        <f>AT75</f>
        <v/>
      </c>
      <c r="AV76" s="185">
        <f>AU75</f>
        <v/>
      </c>
      <c r="AW76" s="185">
        <f>AV75</f>
        <v/>
      </c>
      <c r="AX76" s="143" t="n"/>
      <c r="AZ76" s="143" t="n"/>
      <c r="BA76" s="143" t="n"/>
      <c r="BB76" s="143" t="n"/>
      <c r="BC76" s="143" t="n"/>
      <c r="BD76" s="143" t="n"/>
    </row>
    <row r="77">
      <c r="L77" s="142" t="inlineStr">
        <is>
          <t>3000 Spins Basis</t>
        </is>
      </c>
      <c r="M77" s="132" t="inlineStr">
        <is>
          <t>Bet 1</t>
        </is>
      </c>
      <c r="N77" s="132" t="inlineStr">
        <is>
          <t>Bet 2</t>
        </is>
      </c>
      <c r="O77" s="132" t="inlineStr">
        <is>
          <t>Bet 3</t>
        </is>
      </c>
      <c r="P77" s="132" t="inlineStr">
        <is>
          <t>Bet 4</t>
        </is>
      </c>
      <c r="Q77" s="132" t="inlineStr">
        <is>
          <t>Bet 5</t>
        </is>
      </c>
      <c r="R77" s="126" t="inlineStr">
        <is>
          <t>Current Test</t>
        </is>
      </c>
      <c r="AZ77" s="143" t="n"/>
      <c r="BA77" s="143" t="n"/>
      <c r="BB77" s="143" t="n"/>
      <c r="BC77" s="143" t="n"/>
      <c r="BD77" s="143" t="n"/>
    </row>
    <row r="78">
      <c r="L78" s="56" t="inlineStr">
        <is>
          <t>Bet Range by Average TB</t>
        </is>
      </c>
      <c r="M78" s="195" t="n">
        <v>265714.2857142857</v>
      </c>
      <c r="N78" s="195" t="n">
        <v>471428.5714285714</v>
      </c>
      <c r="O78" s="195" t="n">
        <v>1200000</v>
      </c>
      <c r="P78" s="195" t="n">
        <v>2642857.142857143</v>
      </c>
      <c r="Q78" s="195" t="n">
        <v>16742857.14285714</v>
      </c>
      <c r="R78" s="101">
        <f>AA1</f>
        <v/>
      </c>
      <c r="AA78" s="115" t="inlineStr">
        <is>
          <t>Bet Range 5</t>
        </is>
      </c>
      <c r="AZ78" s="143" t="n"/>
      <c r="BA78" s="143" t="n"/>
      <c r="BB78" s="143" t="n"/>
      <c r="BC78" s="143" t="n"/>
      <c r="BD78" s="143" t="n"/>
    </row>
    <row r="79" ht="18.75" customHeight="1" s="161">
      <c r="L79" s="56" t="inlineStr">
        <is>
          <t>Spins</t>
        </is>
      </c>
      <c r="M79" s="195" t="n">
        <v>3000</v>
      </c>
      <c r="N79" s="195" t="n">
        <v>3000</v>
      </c>
      <c r="O79" s="195" t="n">
        <v>3000</v>
      </c>
      <c r="P79" s="195" t="n">
        <v>3000</v>
      </c>
      <c r="Q79" s="195" t="n">
        <v>3000</v>
      </c>
      <c r="Z79" s="143">
        <f>SUM(AA79:AE83,AG79:AK83,AM79:AQ83,AS79:AW83,AA86:AE90,AG86:AK90,AM86:AQ90,AS86:AW90)-SUM(AC81,AI81,AO81,AU81,AC88,AI88,AO88,AU88)</f>
        <v/>
      </c>
      <c r="AA79" s="122" t="inlineStr">
        <is>
          <t>Level1</t>
        </is>
      </c>
      <c r="AB79" s="182" t="n"/>
      <c r="AC79" s="182" t="n"/>
      <c r="AD79" s="122" t="n"/>
      <c r="AE79" s="122" t="n"/>
      <c r="AF79" s="122" t="n"/>
      <c r="AG79" s="122" t="inlineStr">
        <is>
          <t>Level2</t>
        </is>
      </c>
      <c r="AH79" s="182" t="n"/>
      <c r="AI79" s="182" t="n"/>
      <c r="AJ79" s="122" t="n"/>
      <c r="AK79" s="122" t="n"/>
      <c r="AL79" s="122" t="n"/>
      <c r="AM79" s="122" t="inlineStr">
        <is>
          <t>Level3</t>
        </is>
      </c>
      <c r="AN79" s="122" t="n"/>
      <c r="AO79" s="122" t="n"/>
      <c r="AP79" s="122" t="n"/>
      <c r="AQ79" s="122" t="n"/>
      <c r="AR79" s="122" t="n"/>
      <c r="AS79" s="122" t="inlineStr">
        <is>
          <t>Level4</t>
        </is>
      </c>
      <c r="AT79" s="122" t="n"/>
      <c r="AU79" s="122" t="n"/>
      <c r="AV79" s="122" t="n"/>
      <c r="AW79" s="119" t="n"/>
      <c r="AZ79" s="143" t="n"/>
      <c r="BA79" s="143" t="n"/>
      <c r="BB79" s="143" t="n"/>
      <c r="BC79" s="143" t="n"/>
      <c r="BD79" s="143" t="n"/>
    </row>
    <row r="80">
      <c r="L80" s="56" t="inlineStr">
        <is>
          <t>Income</t>
        </is>
      </c>
      <c r="M80" s="7" t="n">
        <v>6273160</v>
      </c>
      <c r="N80" s="0" t="n">
        <v>10066190</v>
      </c>
      <c r="O80" s="7" t="n">
        <v>18306053</v>
      </c>
      <c r="P80" s="7" t="n">
        <v>21247096</v>
      </c>
      <c r="Q80" s="7" t="n">
        <v>24481096</v>
      </c>
      <c r="AA80" s="184">
        <f>Q67</f>
        <v/>
      </c>
      <c r="AB80" s="185">
        <f>AA79</f>
        <v/>
      </c>
      <c r="AC80" s="185">
        <f>AB79</f>
        <v/>
      </c>
      <c r="AD80" s="185">
        <f>AC79</f>
        <v/>
      </c>
      <c r="AE80" s="185">
        <f>AD79</f>
        <v/>
      </c>
      <c r="AG80" s="184">
        <f>Q68</f>
        <v/>
      </c>
      <c r="AH80" s="185">
        <f>AG79</f>
        <v/>
      </c>
      <c r="AI80" s="185">
        <f>AH79</f>
        <v/>
      </c>
      <c r="AJ80" s="185">
        <f>AI79</f>
        <v/>
      </c>
      <c r="AK80" s="185">
        <f>AJ79</f>
        <v/>
      </c>
      <c r="AM80" s="184">
        <f>Q69</f>
        <v/>
      </c>
      <c r="AN80" s="185">
        <f>AM79</f>
        <v/>
      </c>
      <c r="AO80" s="185">
        <f>AN79</f>
        <v/>
      </c>
      <c r="AP80" s="185">
        <f>AO79</f>
        <v/>
      </c>
      <c r="AQ80" s="185">
        <f>AP79</f>
        <v/>
      </c>
      <c r="AS80" s="184">
        <f>Q70</f>
        <v/>
      </c>
      <c r="AT80" s="185">
        <f>AS79</f>
        <v/>
      </c>
      <c r="AU80" s="185">
        <f>AT79</f>
        <v/>
      </c>
      <c r="AV80" s="185">
        <f>AU79</f>
        <v/>
      </c>
      <c r="AW80" s="185">
        <f>AV79</f>
        <v/>
      </c>
      <c r="AX80" s="143" t="n"/>
      <c r="AZ80" s="143" t="n"/>
      <c r="BA80" s="143" t="n"/>
      <c r="BB80" s="143" t="n"/>
      <c r="BC80" s="143" t="n"/>
      <c r="BD80" s="143" t="n"/>
    </row>
    <row r="81">
      <c r="L81" s="56" t="inlineStr">
        <is>
          <t>Total Bet</t>
        </is>
      </c>
      <c r="M81" s="195">
        <f>M78*M77</f>
        <v/>
      </c>
      <c r="N81" s="195">
        <f>N78*N77</f>
        <v/>
      </c>
      <c r="O81" s="195">
        <f>O78*O77</f>
        <v/>
      </c>
      <c r="P81" s="195">
        <f>P78*P77</f>
        <v/>
      </c>
      <c r="Q81" s="195">
        <f>Q78*Q77</f>
        <v/>
      </c>
      <c r="AA81" s="185">
        <f>AA79</f>
        <v/>
      </c>
      <c r="AB81" s="185">
        <f>AA80</f>
        <v/>
      </c>
      <c r="AC81" s="185">
        <f>AB80</f>
        <v/>
      </c>
      <c r="AD81" s="185">
        <f>AC80</f>
        <v/>
      </c>
      <c r="AE81" s="185">
        <f>AD80</f>
        <v/>
      </c>
      <c r="AG81" s="185">
        <f>AG79</f>
        <v/>
      </c>
      <c r="AH81" s="185">
        <f>AG80</f>
        <v/>
      </c>
      <c r="AI81" s="185">
        <f>AH80</f>
        <v/>
      </c>
      <c r="AJ81" s="185">
        <f>AI80</f>
        <v/>
      </c>
      <c r="AK81" s="185">
        <f>AJ80</f>
        <v/>
      </c>
      <c r="AM81" s="185">
        <f>AM79</f>
        <v/>
      </c>
      <c r="AN81" s="185">
        <f>AM80</f>
        <v/>
      </c>
      <c r="AO81" s="185">
        <f>AN80</f>
        <v/>
      </c>
      <c r="AP81" s="185">
        <f>AO80</f>
        <v/>
      </c>
      <c r="AQ81" s="185">
        <f>AP80</f>
        <v/>
      </c>
      <c r="AS81" s="185">
        <f>AS79</f>
        <v/>
      </c>
      <c r="AT81" s="185">
        <f>AS80</f>
        <v/>
      </c>
      <c r="AU81" s="185">
        <f>AT80</f>
        <v/>
      </c>
      <c r="AV81" s="185">
        <f>AU80</f>
        <v/>
      </c>
      <c r="AW81" s="185">
        <f>AV80</f>
        <v/>
      </c>
      <c r="AX81" s="143" t="n"/>
      <c r="AZ81" s="143" t="n"/>
      <c r="BA81" s="143" t="n"/>
      <c r="BB81" s="143" t="n"/>
      <c r="BC81" s="143" t="n"/>
      <c r="BD81" s="143" t="n"/>
    </row>
    <row r="82">
      <c r="L82" s="134" t="inlineStr">
        <is>
          <t>RTP Margin</t>
        </is>
      </c>
      <c r="M82" s="195" t="inlineStr">
        <is>
          <t>Unreleased</t>
        </is>
      </c>
      <c r="N82" s="195" t="inlineStr">
        <is>
          <t>Unreleased</t>
        </is>
      </c>
      <c r="O82" s="195" t="inlineStr">
        <is>
          <t>Unreleased</t>
        </is>
      </c>
      <c r="P82" s="195" t="inlineStr">
        <is>
          <t>Unreleased</t>
        </is>
      </c>
      <c r="Q82" s="195" t="inlineStr">
        <is>
          <t>Unreleased</t>
        </is>
      </c>
      <c r="AA82" s="185">
        <f>AA79</f>
        <v/>
      </c>
      <c r="AB82" s="185">
        <f>AA81</f>
        <v/>
      </c>
      <c r="AC82" s="185">
        <f>AB81</f>
        <v/>
      </c>
      <c r="AD82" s="185">
        <f>AC81</f>
        <v/>
      </c>
      <c r="AE82" s="185">
        <f>AD81</f>
        <v/>
      </c>
      <c r="AG82" s="185">
        <f>AG79</f>
        <v/>
      </c>
      <c r="AH82" s="185">
        <f>AG81</f>
        <v/>
      </c>
      <c r="AI82" s="185">
        <f>AH81</f>
        <v/>
      </c>
      <c r="AJ82" s="185">
        <f>AI81</f>
        <v/>
      </c>
      <c r="AK82" s="185">
        <f>AJ81</f>
        <v/>
      </c>
      <c r="AM82" s="185">
        <f>AM79</f>
        <v/>
      </c>
      <c r="AN82" s="185">
        <f>AM81</f>
        <v/>
      </c>
      <c r="AO82" s="185">
        <f>AN81</f>
        <v/>
      </c>
      <c r="AP82" s="185">
        <f>AO81</f>
        <v/>
      </c>
      <c r="AQ82" s="185">
        <f>AP81</f>
        <v/>
      </c>
      <c r="AS82" s="185">
        <f>AS79</f>
        <v/>
      </c>
      <c r="AT82" s="185">
        <f>AS81</f>
        <v/>
      </c>
      <c r="AU82" s="185">
        <f>AT81</f>
        <v/>
      </c>
      <c r="AV82" s="185">
        <f>AU81</f>
        <v/>
      </c>
      <c r="AW82" s="185">
        <f>AV81</f>
        <v/>
      </c>
      <c r="AX82" s="143" t="n"/>
      <c r="AZ82" s="143" t="n"/>
      <c r="BA82" s="143" t="n"/>
      <c r="BB82" s="143" t="n"/>
      <c r="BC82" s="143" t="n"/>
      <c r="BD82" s="143" t="n"/>
    </row>
    <row r="83">
      <c r="L83" s="56" t="inlineStr">
        <is>
          <t>Bingo Average Win</t>
        </is>
      </c>
      <c r="M83" s="197">
        <f>M79/M93</f>
        <v/>
      </c>
      <c r="N83" s="197">
        <f>N79/N93</f>
        <v/>
      </c>
      <c r="O83" s="197">
        <f>O79/O93</f>
        <v/>
      </c>
      <c r="P83" s="197">
        <f>P79/P93</f>
        <v/>
      </c>
      <c r="Q83" s="197">
        <f>Q79/Q93</f>
        <v/>
      </c>
      <c r="R83" s="164" t="n"/>
      <c r="AA83" s="185">
        <f>AA79</f>
        <v/>
      </c>
      <c r="AB83" s="185">
        <f>AA82</f>
        <v/>
      </c>
      <c r="AC83" s="185">
        <f>AB82</f>
        <v/>
      </c>
      <c r="AD83" s="185">
        <f>AC82</f>
        <v/>
      </c>
      <c r="AE83" s="185">
        <f>AD82</f>
        <v/>
      </c>
      <c r="AG83" s="185">
        <f>AG79</f>
        <v/>
      </c>
      <c r="AH83" s="185">
        <f>AG82</f>
        <v/>
      </c>
      <c r="AI83" s="185">
        <f>AH82</f>
        <v/>
      </c>
      <c r="AJ83" s="185">
        <f>AI82</f>
        <v/>
      </c>
      <c r="AK83" s="185">
        <f>AJ82</f>
        <v/>
      </c>
      <c r="AM83" s="185">
        <f>AM79</f>
        <v/>
      </c>
      <c r="AN83" s="185">
        <f>AM82</f>
        <v/>
      </c>
      <c r="AO83" s="185">
        <f>AN82</f>
        <v/>
      </c>
      <c r="AP83" s="185">
        <f>AO82</f>
        <v/>
      </c>
      <c r="AQ83" s="185">
        <f>AP82</f>
        <v/>
      </c>
      <c r="AS83" s="185">
        <f>AS79</f>
        <v/>
      </c>
      <c r="AT83" s="185">
        <f>AS82</f>
        <v/>
      </c>
      <c r="AU83" s="185">
        <f>AT82</f>
        <v/>
      </c>
      <c r="AV83" s="185">
        <f>AU82</f>
        <v/>
      </c>
      <c r="AW83" s="185">
        <f>AV82</f>
        <v/>
      </c>
      <c r="AX83" s="143" t="n"/>
      <c r="AZ83" s="143" t="n"/>
      <c r="BA83" s="143" t="n"/>
      <c r="BB83" s="143" t="n"/>
      <c r="BC83" s="143" t="n"/>
      <c r="BD83" s="143" t="n"/>
    </row>
    <row r="84">
      <c r="L84" s="56" t="inlineStr">
        <is>
          <t>RTP Margin Payout Rate</t>
        </is>
      </c>
      <c r="M84" s="195" t="inlineStr">
        <is>
          <t>Unreleased</t>
        </is>
      </c>
      <c r="N84" s="195" t="inlineStr">
        <is>
          <t>Unreleased</t>
        </is>
      </c>
      <c r="O84" s="195" t="inlineStr">
        <is>
          <t>Unreleased</t>
        </is>
      </c>
      <c r="P84" s="195" t="inlineStr">
        <is>
          <t>Unreleased</t>
        </is>
      </c>
      <c r="Q84" s="195" t="inlineStr">
        <is>
          <t>Unreleased</t>
        </is>
      </c>
      <c r="AA84" s="185">
        <f>AA79</f>
        <v/>
      </c>
      <c r="AB84" s="185">
        <f>AA83</f>
        <v/>
      </c>
      <c r="AC84" s="185">
        <f>AB83</f>
        <v/>
      </c>
      <c r="AD84" s="185">
        <f>AC83</f>
        <v/>
      </c>
      <c r="AE84" s="185">
        <f>AD83</f>
        <v/>
      </c>
      <c r="AG84" s="185">
        <f>AG79</f>
        <v/>
      </c>
      <c r="AH84" s="185">
        <f>AG83</f>
        <v/>
      </c>
      <c r="AI84" s="185">
        <f>AH83</f>
        <v/>
      </c>
      <c r="AJ84" s="185">
        <f>AI83</f>
        <v/>
      </c>
      <c r="AK84" s="185">
        <f>AJ83</f>
        <v/>
      </c>
      <c r="AM84" s="185">
        <f>AM79</f>
        <v/>
      </c>
      <c r="AN84" s="185">
        <f>AM83</f>
        <v/>
      </c>
      <c r="AO84" s="185">
        <f>AN83</f>
        <v/>
      </c>
      <c r="AP84" s="185">
        <f>AO83</f>
        <v/>
      </c>
      <c r="AQ84" s="185">
        <f>AP83</f>
        <v/>
      </c>
      <c r="AS84" s="185">
        <f>AS79</f>
        <v/>
      </c>
      <c r="AT84" s="185">
        <f>AS83</f>
        <v/>
      </c>
      <c r="AU84" s="185">
        <f>AT83</f>
        <v/>
      </c>
      <c r="AV84" s="185">
        <f>AU83</f>
        <v/>
      </c>
      <c r="AW84" s="185">
        <f>AV83</f>
        <v/>
      </c>
      <c r="AX84" s="143" t="n"/>
      <c r="AZ84" s="143" t="n"/>
      <c r="BA84" s="143" t="n"/>
      <c r="BB84" s="143" t="n"/>
      <c r="BC84" s="143" t="n"/>
      <c r="BD84" s="143" t="n"/>
    </row>
    <row r="85">
      <c r="L85" s="56" t="inlineStr">
        <is>
          <t>vs Total RTP</t>
        </is>
      </c>
      <c r="M85" s="195" t="inlineStr">
        <is>
          <t>Unreleased</t>
        </is>
      </c>
      <c r="N85" s="195" t="inlineStr">
        <is>
          <t>Unreleased</t>
        </is>
      </c>
      <c r="O85" s="195" t="inlineStr">
        <is>
          <t>Unreleased</t>
        </is>
      </c>
      <c r="P85" s="195" t="inlineStr">
        <is>
          <t>Unreleased</t>
        </is>
      </c>
      <c r="Q85" s="195" t="inlineStr">
        <is>
          <t>Unreleased</t>
        </is>
      </c>
      <c r="AZ85" s="143" t="n"/>
      <c r="BA85" s="143" t="n"/>
      <c r="BB85" s="143" t="n"/>
      <c r="BC85" s="143" t="n"/>
      <c r="BD85" s="143" t="n"/>
    </row>
    <row r="86">
      <c r="L86" s="56" t="inlineStr">
        <is>
          <t>Bingo Avg Spins</t>
        </is>
      </c>
      <c r="M86" s="198">
        <f>M78/M93</f>
        <v/>
      </c>
      <c r="N86" s="198">
        <f>N78/N93</f>
        <v/>
      </c>
      <c r="O86" s="198">
        <f>O78/O93</f>
        <v/>
      </c>
      <c r="P86" s="198">
        <f>P78/P93</f>
        <v/>
      </c>
      <c r="Q86" s="198">
        <f>Q78/Q93</f>
        <v/>
      </c>
      <c r="AA86" s="122" t="inlineStr">
        <is>
          <t>Level5</t>
        </is>
      </c>
      <c r="AB86" s="122" t="n"/>
      <c r="AC86" s="122" t="n"/>
      <c r="AD86" s="122" t="n"/>
      <c r="AE86" s="122" t="n"/>
      <c r="AF86" s="122" t="n"/>
      <c r="AG86" s="122" t="inlineStr">
        <is>
          <t>Level6</t>
        </is>
      </c>
      <c r="AH86" s="122" t="n"/>
      <c r="AI86" s="122" t="n"/>
      <c r="AJ86" s="122" t="n"/>
      <c r="AK86" s="122" t="n"/>
      <c r="AL86" s="122" t="n"/>
      <c r="AM86" s="122" t="inlineStr">
        <is>
          <t>Level7</t>
        </is>
      </c>
      <c r="AN86" s="122" t="n"/>
      <c r="AO86" s="122" t="n"/>
      <c r="AP86" s="122" t="n"/>
      <c r="AQ86" s="122" t="n"/>
      <c r="AR86" s="122" t="n"/>
      <c r="AS86" s="122" t="inlineStr">
        <is>
          <t>Level8</t>
        </is>
      </c>
      <c r="AT86" s="122" t="n"/>
      <c r="AU86" s="122" t="n"/>
      <c r="AV86" s="122" t="n"/>
      <c r="AW86" s="122" t="n"/>
      <c r="AZ86" s="143" t="n"/>
      <c r="BA86" s="143" t="n"/>
      <c r="BB86" s="143" t="n"/>
      <c r="BC86" s="143" t="n"/>
      <c r="BD86" s="143" t="n"/>
    </row>
    <row r="87">
      <c r="L87" s="56" t="inlineStr">
        <is>
          <t>by Class AverageSpins</t>
        </is>
      </c>
      <c r="M87" s="199" t="n">
        <v>300</v>
      </c>
      <c r="N87" s="199" t="n">
        <v>300</v>
      </c>
      <c r="O87" s="199" t="n">
        <v>300</v>
      </c>
      <c r="P87" s="199" t="n">
        <v>300</v>
      </c>
      <c r="Q87" s="199" t="n">
        <v>300</v>
      </c>
      <c r="AA87" s="184">
        <f>Q71</f>
        <v/>
      </c>
      <c r="AB87" s="185">
        <f>AA86</f>
        <v/>
      </c>
      <c r="AC87" s="185">
        <f>AB86</f>
        <v/>
      </c>
      <c r="AD87" s="185">
        <f>AC86</f>
        <v/>
      </c>
      <c r="AE87" s="185">
        <f>AD86</f>
        <v/>
      </c>
      <c r="AG87" s="184">
        <f>Q72</f>
        <v/>
      </c>
      <c r="AH87" s="185">
        <f>AG86</f>
        <v/>
      </c>
      <c r="AI87" s="185">
        <f>AH86</f>
        <v/>
      </c>
      <c r="AJ87" s="185">
        <f>AI86</f>
        <v/>
      </c>
      <c r="AK87" s="185">
        <f>AJ86</f>
        <v/>
      </c>
      <c r="AM87" s="184">
        <f>Q73</f>
        <v/>
      </c>
      <c r="AN87" s="185">
        <f>AM86</f>
        <v/>
      </c>
      <c r="AO87" s="185">
        <f>AN86</f>
        <v/>
      </c>
      <c r="AP87" s="185">
        <f>AO86</f>
        <v/>
      </c>
      <c r="AQ87" s="185">
        <f>AP86</f>
        <v/>
      </c>
      <c r="AS87" s="184">
        <f>Q74</f>
        <v/>
      </c>
      <c r="AT87" s="185">
        <f>AS86</f>
        <v/>
      </c>
      <c r="AU87" s="185">
        <f>AT86</f>
        <v/>
      </c>
      <c r="AV87" s="185">
        <f>AU86</f>
        <v/>
      </c>
      <c r="AW87" s="185">
        <f>AV86</f>
        <v/>
      </c>
      <c r="AX87" s="143" t="n"/>
      <c r="AZ87" s="143" t="n"/>
      <c r="BA87" s="143" t="n"/>
      <c r="BB87" s="143" t="n"/>
      <c r="BC87" s="143" t="n"/>
      <c r="BD87" s="143" t="n"/>
    </row>
    <row r="88">
      <c r="L88" s="56" t="inlineStr">
        <is>
          <t>16 Days Expected Attendance</t>
        </is>
      </c>
      <c r="M88" s="199" t="n">
        <v>8</v>
      </c>
      <c r="N88" s="199" t="n">
        <v>8</v>
      </c>
      <c r="O88" s="199" t="n">
        <v>8</v>
      </c>
      <c r="P88" s="199" t="n">
        <v>8</v>
      </c>
      <c r="Q88" s="199" t="n">
        <v>8</v>
      </c>
      <c r="AA88" s="185">
        <f>AA86</f>
        <v/>
      </c>
      <c r="AB88" s="185">
        <f>AA87</f>
        <v/>
      </c>
      <c r="AC88" s="185">
        <f>AB87</f>
        <v/>
      </c>
      <c r="AD88" s="185">
        <f>AC87</f>
        <v/>
      </c>
      <c r="AE88" s="185">
        <f>AD87</f>
        <v/>
      </c>
      <c r="AG88" s="185">
        <f>AG86</f>
        <v/>
      </c>
      <c r="AH88" s="185">
        <f>AG87</f>
        <v/>
      </c>
      <c r="AI88" s="185">
        <f>AH87</f>
        <v/>
      </c>
      <c r="AJ88" s="185">
        <f>AI87</f>
        <v/>
      </c>
      <c r="AK88" s="185">
        <f>AJ87</f>
        <v/>
      </c>
      <c r="AM88" s="185">
        <f>AM86</f>
        <v/>
      </c>
      <c r="AN88" s="185">
        <f>AM87</f>
        <v/>
      </c>
      <c r="AO88" s="185">
        <f>AN87</f>
        <v/>
      </c>
      <c r="AP88" s="185">
        <f>AO87</f>
        <v/>
      </c>
      <c r="AQ88" s="185">
        <f>AP87</f>
        <v/>
      </c>
      <c r="AS88" s="185">
        <f>AS86</f>
        <v/>
      </c>
      <c r="AT88" s="185">
        <f>AS87</f>
        <v/>
      </c>
      <c r="AU88" s="185">
        <f>AT87</f>
        <v/>
      </c>
      <c r="AV88" s="185">
        <f>AU87</f>
        <v/>
      </c>
      <c r="AW88" s="185">
        <f>AV87</f>
        <v/>
      </c>
      <c r="AX88" s="143" t="n"/>
      <c r="AZ88" s="143" t="n"/>
      <c r="BA88" s="143" t="n"/>
      <c r="BB88" s="143" t="n"/>
      <c r="BC88" s="143" t="n"/>
      <c r="BD88" s="143" t="n"/>
    </row>
    <row r="89">
      <c r="L89" s="56" t="inlineStr">
        <is>
          <t>Event Total Expected Spins</t>
        </is>
      </c>
      <c r="M89" s="200">
        <f>M86*M87</f>
        <v/>
      </c>
      <c r="N89" s="200">
        <f>N86*N87</f>
        <v/>
      </c>
      <c r="O89" s="200">
        <f>O86*O87</f>
        <v/>
      </c>
      <c r="P89" s="200">
        <f>P86*P87</f>
        <v/>
      </c>
      <c r="Q89" s="200">
        <f>Q86*Q87</f>
        <v/>
      </c>
      <c r="AA89" s="185">
        <f>AA86</f>
        <v/>
      </c>
      <c r="AB89" s="185">
        <f>AA88</f>
        <v/>
      </c>
      <c r="AC89" s="185">
        <f>AB88</f>
        <v/>
      </c>
      <c r="AD89" s="185">
        <f>AC88</f>
        <v/>
      </c>
      <c r="AE89" s="185">
        <f>AD88</f>
        <v/>
      </c>
      <c r="AG89" s="185">
        <f>AG86</f>
        <v/>
      </c>
      <c r="AH89" s="185">
        <f>AG88</f>
        <v/>
      </c>
      <c r="AI89" s="185">
        <f>AH88</f>
        <v/>
      </c>
      <c r="AJ89" s="185">
        <f>AI88</f>
        <v/>
      </c>
      <c r="AK89" s="185">
        <f>AJ88</f>
        <v/>
      </c>
      <c r="AM89" s="185">
        <f>AM86</f>
        <v/>
      </c>
      <c r="AN89" s="185">
        <f>AM88</f>
        <v/>
      </c>
      <c r="AO89" s="185">
        <f>AN88</f>
        <v/>
      </c>
      <c r="AP89" s="185">
        <f>AO88</f>
        <v/>
      </c>
      <c r="AQ89" s="185">
        <f>AP88</f>
        <v/>
      </c>
      <c r="AS89" s="185">
        <f>AS86</f>
        <v/>
      </c>
      <c r="AT89" s="185">
        <f>AS88</f>
        <v/>
      </c>
      <c r="AU89" s="185">
        <f>AT88</f>
        <v/>
      </c>
      <c r="AV89" s="185">
        <f>AU88</f>
        <v/>
      </c>
      <c r="AW89" s="185">
        <f>AV88</f>
        <v/>
      </c>
      <c r="AX89" s="143" t="n"/>
      <c r="AZ89" s="143" t="n"/>
      <c r="BA89" s="143" t="n"/>
      <c r="BB89" s="143" t="n"/>
      <c r="BC89" s="143" t="n"/>
      <c r="BD89" s="143" t="n"/>
    </row>
    <row r="90">
      <c r="L90" s="56" t="inlineStr">
        <is>
          <t>Total Expected Win</t>
        </is>
      </c>
      <c r="M90" s="201">
        <f>(M88/M85)*M82</f>
        <v/>
      </c>
      <c r="N90" s="201">
        <f>(N88/N85)*N82</f>
        <v/>
      </c>
      <c r="O90" s="201">
        <f>(O88/O85)*O82</f>
        <v/>
      </c>
      <c r="P90" s="201">
        <f>(P88/P85)*P82</f>
        <v/>
      </c>
      <c r="Q90" s="201">
        <f>(Q88/Q85)*Q82</f>
        <v/>
      </c>
      <c r="AA90" s="185">
        <f>AA86</f>
        <v/>
      </c>
      <c r="AB90" s="185">
        <f>AA89</f>
        <v/>
      </c>
      <c r="AC90" s="185">
        <f>AB89</f>
        <v/>
      </c>
      <c r="AD90" s="185">
        <f>AC89</f>
        <v/>
      </c>
      <c r="AE90" s="185">
        <f>AD89</f>
        <v/>
      </c>
      <c r="AG90" s="185">
        <f>AG86</f>
        <v/>
      </c>
      <c r="AH90" s="185">
        <f>AG89</f>
        <v/>
      </c>
      <c r="AI90" s="185">
        <f>AH89</f>
        <v/>
      </c>
      <c r="AJ90" s="185">
        <f>AI89</f>
        <v/>
      </c>
      <c r="AK90" s="185">
        <f>AJ89</f>
        <v/>
      </c>
      <c r="AM90" s="185">
        <f>AM86</f>
        <v/>
      </c>
      <c r="AN90" s="185">
        <f>AM89</f>
        <v/>
      </c>
      <c r="AO90" s="185">
        <f>AN89</f>
        <v/>
      </c>
      <c r="AP90" s="185">
        <f>AO89</f>
        <v/>
      </c>
      <c r="AQ90" s="185">
        <f>AP89</f>
        <v/>
      </c>
      <c r="AS90" s="185">
        <f>AS86</f>
        <v/>
      </c>
      <c r="AT90" s="185">
        <f>AS89</f>
        <v/>
      </c>
      <c r="AU90" s="185">
        <f>AT89</f>
        <v/>
      </c>
      <c r="AV90" s="185">
        <f>AU89</f>
        <v/>
      </c>
      <c r="AW90" s="185">
        <f>AV89</f>
        <v/>
      </c>
      <c r="AX90" s="143" t="n"/>
      <c r="AZ90" s="143" t="n"/>
      <c r="BA90" s="143" t="n"/>
      <c r="BB90" s="143" t="n"/>
      <c r="BC90" s="143" t="n"/>
      <c r="BD90" s="143" t="n"/>
    </row>
    <row r="91">
      <c r="L91" s="56" t="inlineStr">
        <is>
          <t>Per Attendance Day Expected Win</t>
        </is>
      </c>
      <c r="M91" s="201">
        <f>M89/M87</f>
        <v/>
      </c>
      <c r="N91" s="201">
        <f>N89/N87</f>
        <v/>
      </c>
      <c r="O91" s="201">
        <f>O89/O87</f>
        <v/>
      </c>
      <c r="P91" s="201">
        <f>P89/P87</f>
        <v/>
      </c>
      <c r="Q91" s="201">
        <f>Q89/Q87</f>
        <v/>
      </c>
      <c r="AA91" s="185">
        <f>AA86</f>
        <v/>
      </c>
      <c r="AB91" s="185">
        <f>AA90</f>
        <v/>
      </c>
      <c r="AC91" s="185">
        <f>AB90</f>
        <v/>
      </c>
      <c r="AD91" s="185">
        <f>AC90</f>
        <v/>
      </c>
      <c r="AE91" s="185">
        <f>AD90</f>
        <v/>
      </c>
      <c r="AG91" s="185">
        <f>AG86</f>
        <v/>
      </c>
      <c r="AH91" s="185">
        <f>AG90</f>
        <v/>
      </c>
      <c r="AI91" s="185">
        <f>AH90</f>
        <v/>
      </c>
      <c r="AJ91" s="185">
        <f>AI90</f>
        <v/>
      </c>
      <c r="AK91" s="185">
        <f>AJ90</f>
        <v/>
      </c>
      <c r="AM91" s="185">
        <f>AM86</f>
        <v/>
      </c>
      <c r="AN91" s="185">
        <f>AM90</f>
        <v/>
      </c>
      <c r="AO91" s="185">
        <f>AN90</f>
        <v/>
      </c>
      <c r="AP91" s="185">
        <f>AO90</f>
        <v/>
      </c>
      <c r="AQ91" s="185">
        <f>AP90</f>
        <v/>
      </c>
      <c r="AS91" s="185">
        <f>AS86</f>
        <v/>
      </c>
      <c r="AT91" s="185">
        <f>AS90</f>
        <v/>
      </c>
      <c r="AU91" s="185">
        <f>AT90</f>
        <v/>
      </c>
      <c r="AV91" s="185">
        <f>AU90</f>
        <v/>
      </c>
      <c r="AW91" s="185">
        <f>AV90</f>
        <v/>
      </c>
      <c r="AX91" s="143" t="n"/>
      <c r="AZ91" s="143" t="n"/>
      <c r="BA91" s="143" t="n"/>
      <c r="BB91" s="143" t="n"/>
      <c r="BC91" s="143" t="n"/>
      <c r="BD91" s="143" t="n"/>
    </row>
    <row r="92">
      <c r="AZ92" s="143" t="n"/>
      <c r="BA92" s="143" t="n"/>
      <c r="BB92" s="143" t="n"/>
      <c r="BC92" s="143" t="n"/>
      <c r="BD92" s="143" t="n"/>
    </row>
    <row r="93">
      <c r="L93" s="142" t="inlineStr">
        <is>
          <t>Bingo Win Count</t>
        </is>
      </c>
      <c r="M93" s="132" t="inlineStr">
        <is>
          <t>Bet 1</t>
        </is>
      </c>
      <c r="N93" s="132" t="inlineStr">
        <is>
          <t>Bet 2</t>
        </is>
      </c>
      <c r="O93" s="132" t="inlineStr">
        <is>
          <t>Bet 3</t>
        </is>
      </c>
      <c r="P93" s="132" t="inlineStr">
        <is>
          <t>Bet 4</t>
        </is>
      </c>
      <c r="Q93" s="132" t="inlineStr">
        <is>
          <t>Bet 5</t>
        </is>
      </c>
    </row>
    <row r="94">
      <c r="L94" s="46" t="inlineStr">
        <is>
          <t>Bingo Total</t>
        </is>
      </c>
      <c r="M94" s="141">
        <f>SUM(M94:M101)</f>
        <v/>
      </c>
      <c r="N94" s="141">
        <f>SUM(N94:N101)</f>
        <v/>
      </c>
      <c r="O94" s="141">
        <f>SUM(O94:O101)</f>
        <v/>
      </c>
      <c r="P94" s="141">
        <f>SUM(P94:P101)</f>
        <v/>
      </c>
      <c r="Q94" s="141">
        <f>SUM(Q94:Q101)</f>
        <v/>
      </c>
    </row>
    <row r="95">
      <c r="L95" s="56" t="inlineStr">
        <is>
          <t>Level1</t>
        </is>
      </c>
      <c r="M95" s="56" t="n">
        <v>4</v>
      </c>
      <c r="N95" s="56" t="n">
        <v>1</v>
      </c>
      <c r="O95" s="56" t="n"/>
      <c r="P95" s="56" t="n"/>
      <c r="Q95" s="56" t="n"/>
    </row>
    <row r="96">
      <c r="L96" s="56" t="inlineStr">
        <is>
          <t>Level2</t>
        </is>
      </c>
      <c r="M96" s="56" t="n">
        <v>2</v>
      </c>
      <c r="N96" s="56" t="n">
        <v>1</v>
      </c>
      <c r="O96" s="56" t="n"/>
      <c r="P96" s="56" t="n"/>
      <c r="Q96" s="56" t="n"/>
    </row>
    <row r="97">
      <c r="L97" s="56" t="inlineStr">
        <is>
          <t>Level3</t>
        </is>
      </c>
      <c r="M97" s="56" t="n">
        <v>2</v>
      </c>
      <c r="N97" s="56" t="n">
        <v>2</v>
      </c>
      <c r="O97" s="56" t="n"/>
      <c r="P97" s="56" t="n"/>
      <c r="Q97" s="56" t="n"/>
    </row>
    <row r="98">
      <c r="L98" s="56" t="inlineStr">
        <is>
          <t>Level4</t>
        </is>
      </c>
      <c r="M98" s="56" t="n"/>
      <c r="N98" s="56" t="n">
        <v>2</v>
      </c>
      <c r="O98" s="56" t="n">
        <v>2</v>
      </c>
      <c r="P98" s="56" t="n"/>
      <c r="Q98" s="56" t="n"/>
    </row>
    <row r="99">
      <c r="L99" s="56" t="inlineStr">
        <is>
          <t>Level5</t>
        </is>
      </c>
      <c r="M99" s="56" t="n"/>
      <c r="N99" s="56" t="n">
        <v>1</v>
      </c>
      <c r="O99" s="56" t="n">
        <v>1</v>
      </c>
      <c r="P99" s="56" t="n">
        <v>2</v>
      </c>
      <c r="Q99" s="56" t="n"/>
    </row>
    <row r="100">
      <c r="L100" s="56" t="inlineStr">
        <is>
          <t>Level6</t>
        </is>
      </c>
      <c r="M100" s="56" t="n"/>
      <c r="N100" s="56" t="n"/>
      <c r="O100" s="56" t="n">
        <v>1</v>
      </c>
      <c r="P100" s="56" t="n">
        <v>1</v>
      </c>
      <c r="Q100" s="56" t="n">
        <v>2</v>
      </c>
    </row>
    <row r="101">
      <c r="L101" s="56" t="inlineStr">
        <is>
          <t>Level7</t>
        </is>
      </c>
      <c r="M101" s="56" t="n"/>
      <c r="N101" s="56" t="n"/>
      <c r="O101" s="56" t="n">
        <v>1</v>
      </c>
      <c r="P101" s="56" t="n">
        <v>2</v>
      </c>
      <c r="Q101" s="56" t="n">
        <v>2</v>
      </c>
    </row>
    <row r="102">
      <c r="L102" s="56" t="inlineStr">
        <is>
          <t>Level8</t>
        </is>
      </c>
      <c r="M102" s="56" t="n"/>
      <c r="N102" s="56" t="n"/>
      <c r="O102" s="56" t="n">
        <v>1</v>
      </c>
      <c r="P102" s="56" t="n">
        <v>1</v>
      </c>
      <c r="Q102" s="56" t="n">
        <v>5</v>
      </c>
    </row>
    <row r="117" customFormat="1" s="143"/>
    <row r="118" customFormat="1" s="143"/>
    <row r="119" customFormat="1" s="143"/>
    <row r="120" customFormat="1" s="143"/>
    <row r="121" customFormat="1" s="143"/>
    <row r="122" customFormat="1" s="143"/>
    <row r="123" customFormat="1" s="143"/>
    <row r="124" customFormat="1" s="143"/>
    <row r="125" customFormat="1" s="143"/>
    <row r="126" customFormat="1" s="143"/>
    <row r="127" customFormat="1" s="143"/>
    <row r="128" customFormat="1" s="143"/>
    <row r="129" customFormat="1" s="143"/>
    <row r="130" customFormat="1" s="143"/>
    <row r="131" customFormat="1" s="143"/>
    <row r="132" customFormat="1" s="143"/>
    <row r="133" customFormat="1" s="143"/>
    <row r="134" customFormat="1" s="143"/>
    <row r="135" customFormat="1" s="143"/>
    <row r="136" customFormat="1" s="143"/>
    <row r="137" customFormat="1" s="143"/>
    <row r="138" customFormat="1" s="143"/>
    <row r="139" customFormat="1" s="143"/>
    <row r="140" customFormat="1" s="143"/>
    <row r="141" customFormat="1" s="143"/>
    <row r="142" customFormat="1" s="143"/>
    <row r="143" customFormat="1" s="143"/>
    <row r="144" customFormat="1" s="143"/>
    <row r="145" customFormat="1" s="143"/>
    <row r="146" customFormat="1" s="143"/>
    <row r="147" customFormat="1" s="143"/>
    <row r="148" customFormat="1" s="143"/>
    <row r="149" customFormat="1" s="143"/>
    <row r="150" customFormat="1" s="143"/>
    <row r="151" customFormat="1" s="143"/>
    <row r="152" customFormat="1" s="143"/>
    <row r="153" customFormat="1" s="143"/>
  </sheetData>
  <mergeCells count="1">
    <mergeCell ref="A1:AX1"/>
  </mergeCells>
  <conditionalFormatting sqref="M44:Q51">
    <cfRule type="dataBar" priority="1">
      <dataBar>
        <cfvo type="min"/>
        <cfvo type="max"/>
        <color rgb="FF63C384"/>
      </dataBar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S477"/>
  <sheetViews>
    <sheetView workbookViewId="0">
      <selection activeCell="S1" sqref="S1"/>
    </sheetView>
  </sheetViews>
  <sheetFormatPr baseColWidth="8" defaultRowHeight="13.5"/>
  <cols>
    <col width="79.75" customWidth="1" style="143" min="1" max="1"/>
    <col width="3" customWidth="1" style="143" min="2" max="16"/>
    <col width="7.125" bestFit="1" customWidth="1" style="143" min="17" max="17"/>
    <col width="3" customWidth="1" style="143" min="18" max="18"/>
    <col width="67.5" customWidth="1" style="143" min="19" max="19"/>
    <col width="9" customWidth="1" style="143" min="20" max="16384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A2" s="15" t="inlineStr">
        <is>
          <t>Simul.html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</row>
    <row r="3">
      <c r="A3" s="143" t="inlineStr">
        <is>
          <t>Default Diamond Amount</t>
        </is>
      </c>
    </row>
    <row r="4">
      <c r="A4" s="143">
        <f>CONCATENATE(B3,C3,D3,E3,F3,G3,H3,I3,J3,K3,L3,M3,N3,O3,P3,Q3,R3)</f>
        <v/>
      </c>
      <c r="B4" s="143" t="inlineStr">
        <is>
          <t>var CENTER_SYMBOL = [</t>
        </is>
      </c>
      <c r="C4" s="130">
        <f>'Control Panel'!M10</f>
        <v/>
      </c>
      <c r="D4" s="143" t="inlineStr">
        <is>
          <t>,</t>
        </is>
      </c>
      <c r="E4" s="130">
        <f>'Control Panel'!M11</f>
        <v/>
      </c>
      <c r="F4" s="143" t="inlineStr">
        <is>
          <t>,</t>
        </is>
      </c>
      <c r="G4" s="130">
        <f>'Control Panel'!M12</f>
        <v/>
      </c>
      <c r="H4" s="143" t="inlineStr">
        <is>
          <t>,</t>
        </is>
      </c>
      <c r="I4" s="130">
        <f>'Control Panel'!M13</f>
        <v/>
      </c>
      <c r="J4" s="143" t="inlineStr">
        <is>
          <t>,</t>
        </is>
      </c>
      <c r="K4" s="130">
        <f>'Control Panel'!M14</f>
        <v/>
      </c>
      <c r="L4" s="143" t="inlineStr">
        <is>
          <t>,</t>
        </is>
      </c>
      <c r="M4" s="130">
        <f>'Control Panel'!M15</f>
        <v/>
      </c>
      <c r="N4" s="143" t="inlineStr">
        <is>
          <t>,</t>
        </is>
      </c>
      <c r="O4" s="130">
        <f>'Control Panel'!M16</f>
        <v/>
      </c>
      <c r="P4" s="143" t="inlineStr">
        <is>
          <t>,</t>
        </is>
      </c>
      <c r="Q4" s="130">
        <f>'Control Panel'!M17</f>
        <v/>
      </c>
      <c r="R4" s="143" t="inlineStr">
        <is>
          <t>];</t>
        </is>
      </c>
      <c r="S4" s="19">
        <f>A3</f>
        <v/>
      </c>
    </row>
    <row r="5">
      <c r="C5" s="130" t="n"/>
      <c r="E5" s="130" t="n"/>
      <c r="G5" s="130" t="n"/>
      <c r="I5" s="130" t="n"/>
      <c r="K5" s="130" t="n"/>
      <c r="M5" s="130" t="n"/>
      <c r="O5" s="130" t="n"/>
      <c r="Q5" s="130" t="n"/>
    </row>
    <row r="6">
      <c r="A6" s="15" t="inlineStr">
        <is>
          <t>Simul.js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</row>
    <row r="7">
      <c r="A7" s="143" t="inlineStr">
        <is>
          <t>Jackpot Amount by Level</t>
        </is>
      </c>
    </row>
    <row r="8">
      <c r="A8" s="143">
        <f>CONCATENATE(C7,D7,E7)</f>
        <v/>
      </c>
      <c r="C8" s="143" t="inlineStr">
        <is>
          <t xml:space="preserve">var JACKPOT_GRAND = </t>
        </is>
      </c>
      <c r="D8" s="130">
        <f>'Control Panel'!N10</f>
        <v/>
      </c>
      <c r="E8" s="143" t="inlineStr">
        <is>
          <t>;</t>
        </is>
      </c>
      <c r="S8" s="19">
        <f>A7</f>
        <v/>
      </c>
    </row>
    <row r="9">
      <c r="S9" s="19" t="n"/>
    </row>
    <row r="10">
      <c r="A10" s="143" t="inlineStr">
        <is>
          <t>var JACKPOT_VALUE =</t>
        </is>
      </c>
      <c r="S10" s="19">
        <f>A9</f>
        <v/>
      </c>
    </row>
    <row r="11">
      <c r="A11" s="143">
        <f>CONCATENATE(C10,D10,E10,F10,G10,H10,I10,J10,K10,L10,M10)</f>
        <v/>
      </c>
      <c r="C11" s="143" t="inlineStr">
        <is>
          <t>[</t>
        </is>
      </c>
      <c r="D11" s="143" t="inlineStr">
        <is>
          <t>[</t>
        </is>
      </c>
      <c r="E11" s="130">
        <f>'Control Panel'!R10</f>
        <v/>
      </c>
      <c r="F11" s="143" t="inlineStr">
        <is>
          <t>,</t>
        </is>
      </c>
      <c r="G11" s="130">
        <f>'Control Panel'!Q10</f>
        <v/>
      </c>
      <c r="H11" s="143" t="inlineStr">
        <is>
          <t>,</t>
        </is>
      </c>
      <c r="I11" s="130">
        <f>'Control Panel'!P10</f>
        <v/>
      </c>
      <c r="J11" s="143" t="inlineStr">
        <is>
          <t>,</t>
        </is>
      </c>
      <c r="K11" s="130">
        <f>'Control Panel'!O10</f>
        <v/>
      </c>
      <c r="L11" s="143" t="inlineStr">
        <is>
          <t>]</t>
        </is>
      </c>
      <c r="M11" s="143" t="inlineStr">
        <is>
          <t>,</t>
        </is>
      </c>
      <c r="S11" s="19">
        <f>A10</f>
        <v/>
      </c>
    </row>
    <row r="12">
      <c r="A12" s="143">
        <f>CONCATENATE(C11,D11,E11,F11,G11,H11,I11,J11,K11,L11,M11)</f>
        <v/>
      </c>
      <c r="D12" s="143" t="inlineStr">
        <is>
          <t>[</t>
        </is>
      </c>
      <c r="E12" s="130">
        <f>'Control Panel'!R11</f>
        <v/>
      </c>
      <c r="F12" s="143" t="inlineStr">
        <is>
          <t>,</t>
        </is>
      </c>
      <c r="G12" s="130">
        <f>'Control Panel'!Q11</f>
        <v/>
      </c>
      <c r="H12" s="143" t="inlineStr">
        <is>
          <t>,</t>
        </is>
      </c>
      <c r="I12" s="130">
        <f>'Control Panel'!P11</f>
        <v/>
      </c>
      <c r="J12" s="143" t="inlineStr">
        <is>
          <t>,</t>
        </is>
      </c>
      <c r="K12" s="130">
        <f>'Control Panel'!O11</f>
        <v/>
      </c>
      <c r="L12" s="143" t="inlineStr">
        <is>
          <t>]</t>
        </is>
      </c>
      <c r="M12" s="143" t="inlineStr">
        <is>
          <t>,</t>
        </is>
      </c>
      <c r="S12" s="19">
        <f>A11</f>
        <v/>
      </c>
    </row>
    <row r="13">
      <c r="A13" s="143">
        <f>CONCATENATE(C12,D12,E12,F12,G12,H12,I12,J12,K12,L12,M12)</f>
        <v/>
      </c>
      <c r="D13" s="143" t="inlineStr">
        <is>
          <t>[</t>
        </is>
      </c>
      <c r="E13" s="130">
        <f>'Control Panel'!R12</f>
        <v/>
      </c>
      <c r="F13" s="143" t="inlineStr">
        <is>
          <t>,</t>
        </is>
      </c>
      <c r="G13" s="130">
        <f>'Control Panel'!Q12</f>
        <v/>
      </c>
      <c r="H13" s="143" t="inlineStr">
        <is>
          <t>,</t>
        </is>
      </c>
      <c r="I13" s="130">
        <f>'Control Panel'!P12</f>
        <v/>
      </c>
      <c r="J13" s="143" t="inlineStr">
        <is>
          <t>,</t>
        </is>
      </c>
      <c r="K13" s="130">
        <f>'Control Panel'!O12</f>
        <v/>
      </c>
      <c r="L13" s="143" t="inlineStr">
        <is>
          <t>]</t>
        </is>
      </c>
      <c r="M13" s="143" t="inlineStr">
        <is>
          <t>,</t>
        </is>
      </c>
      <c r="S13" s="19">
        <f>A12</f>
        <v/>
      </c>
    </row>
    <row r="14">
      <c r="A14" s="143">
        <f>CONCATENATE(C13,D13,E13,F13,G13,H13,I13,J13,K13,L13,M13)</f>
        <v/>
      </c>
      <c r="D14" s="143" t="inlineStr">
        <is>
          <t>[</t>
        </is>
      </c>
      <c r="E14" s="130">
        <f>'Control Panel'!R13</f>
        <v/>
      </c>
      <c r="F14" s="143" t="inlineStr">
        <is>
          <t>,</t>
        </is>
      </c>
      <c r="G14" s="130">
        <f>'Control Panel'!Q13</f>
        <v/>
      </c>
      <c r="H14" s="143" t="inlineStr">
        <is>
          <t>,</t>
        </is>
      </c>
      <c r="I14" s="130">
        <f>'Control Panel'!P13</f>
        <v/>
      </c>
      <c r="J14" s="143" t="inlineStr">
        <is>
          <t>,</t>
        </is>
      </c>
      <c r="K14" s="130">
        <f>'Control Panel'!O13</f>
        <v/>
      </c>
      <c r="L14" s="143" t="inlineStr">
        <is>
          <t>]</t>
        </is>
      </c>
      <c r="M14" s="143" t="inlineStr">
        <is>
          <t>,</t>
        </is>
      </c>
      <c r="S14" s="19">
        <f>A13</f>
        <v/>
      </c>
    </row>
    <row r="15">
      <c r="A15" s="143">
        <f>CONCATENATE(C14,D14,E14,F14,G14,H14,I14,J14,K14,L14,M14)</f>
        <v/>
      </c>
      <c r="D15" s="143" t="inlineStr">
        <is>
          <t>[</t>
        </is>
      </c>
      <c r="E15" s="130">
        <f>'Control Panel'!R14</f>
        <v/>
      </c>
      <c r="F15" s="143" t="inlineStr">
        <is>
          <t>,</t>
        </is>
      </c>
      <c r="G15" s="130">
        <f>'Control Panel'!Q14</f>
        <v/>
      </c>
      <c r="H15" s="143" t="inlineStr">
        <is>
          <t>,</t>
        </is>
      </c>
      <c r="I15" s="130">
        <f>'Control Panel'!P14</f>
        <v/>
      </c>
      <c r="J15" s="143" t="inlineStr">
        <is>
          <t>,</t>
        </is>
      </c>
      <c r="K15" s="130">
        <f>'Control Panel'!O14</f>
        <v/>
      </c>
      <c r="L15" s="143" t="inlineStr">
        <is>
          <t>]</t>
        </is>
      </c>
      <c r="M15" s="143" t="inlineStr">
        <is>
          <t>,</t>
        </is>
      </c>
      <c r="S15" s="19">
        <f>A14</f>
        <v/>
      </c>
    </row>
    <row r="16">
      <c r="A16" s="143">
        <f>CONCATENATE(C15,D15,E15,F15,G15,H15,I15,J15,K15,L15,M15)</f>
        <v/>
      </c>
      <c r="D16" s="143" t="inlineStr">
        <is>
          <t>[</t>
        </is>
      </c>
      <c r="E16" s="130">
        <f>'Control Panel'!R15</f>
        <v/>
      </c>
      <c r="F16" s="143" t="inlineStr">
        <is>
          <t>,</t>
        </is>
      </c>
      <c r="G16" s="130">
        <f>'Control Panel'!Q15</f>
        <v/>
      </c>
      <c r="H16" s="143" t="inlineStr">
        <is>
          <t>,</t>
        </is>
      </c>
      <c r="I16" s="130">
        <f>'Control Panel'!P15</f>
        <v/>
      </c>
      <c r="J16" s="143" t="inlineStr">
        <is>
          <t>,</t>
        </is>
      </c>
      <c r="K16" s="130">
        <f>'Control Panel'!O15</f>
        <v/>
      </c>
      <c r="L16" s="143" t="inlineStr">
        <is>
          <t>]</t>
        </is>
      </c>
      <c r="M16" s="143" t="inlineStr">
        <is>
          <t>,</t>
        </is>
      </c>
      <c r="S16" s="19">
        <f>A15</f>
        <v/>
      </c>
    </row>
    <row r="17">
      <c r="A17" s="143">
        <f>CONCATENATE(C16,D16,E16,F16,G16,H16,I16,J16,K16,L16,M16)</f>
        <v/>
      </c>
      <c r="D17" s="143" t="inlineStr">
        <is>
          <t>[</t>
        </is>
      </c>
      <c r="E17" s="130">
        <f>'Control Panel'!R16</f>
        <v/>
      </c>
      <c r="F17" s="143" t="inlineStr">
        <is>
          <t>,</t>
        </is>
      </c>
      <c r="G17" s="130">
        <f>'Control Panel'!Q16</f>
        <v/>
      </c>
      <c r="H17" s="143" t="inlineStr">
        <is>
          <t>,</t>
        </is>
      </c>
      <c r="I17" s="130">
        <f>'Control Panel'!P16</f>
        <v/>
      </c>
      <c r="J17" s="143" t="inlineStr">
        <is>
          <t>,</t>
        </is>
      </c>
      <c r="K17" s="130">
        <f>'Control Panel'!O16</f>
        <v/>
      </c>
      <c r="L17" s="143" t="inlineStr">
        <is>
          <t>]</t>
        </is>
      </c>
      <c r="M17" s="143" t="inlineStr">
        <is>
          <t>,</t>
        </is>
      </c>
      <c r="S17" s="19">
        <f>A16</f>
        <v/>
      </c>
    </row>
    <row r="18">
      <c r="A18" s="143">
        <f>CONCATENATE(C17,D17,E17,F17,G17,H17,I17,J17,K17,L17,M17)</f>
        <v/>
      </c>
      <c r="D18" s="143" t="inlineStr">
        <is>
          <t>[</t>
        </is>
      </c>
      <c r="E18" s="130">
        <f>'Control Panel'!R17</f>
        <v/>
      </c>
      <c r="F18" s="143" t="inlineStr">
        <is>
          <t>,</t>
        </is>
      </c>
      <c r="G18" s="130">
        <f>'Control Panel'!Q17</f>
        <v/>
      </c>
      <c r="H18" s="143" t="inlineStr">
        <is>
          <t>,</t>
        </is>
      </c>
      <c r="I18" s="130">
        <f>'Control Panel'!P17</f>
        <v/>
      </c>
      <c r="J18" s="143" t="inlineStr">
        <is>
          <t>,</t>
        </is>
      </c>
      <c r="K18" s="130">
        <f>'Control Panel'!O17</f>
        <v/>
      </c>
      <c r="L18" s="143" t="inlineStr">
        <is>
          <t>]</t>
        </is>
      </c>
      <c r="M18" s="143" t="inlineStr">
        <is>
          <t>,</t>
        </is>
      </c>
      <c r="S18" s="19">
        <f>A17</f>
        <v/>
      </c>
    </row>
    <row r="19">
      <c r="A19" s="143">
        <f>CONCATENATE(C18,D18,E18,F18,G18,H18,I18,J18,K18,L18,M18)</f>
        <v/>
      </c>
      <c r="C19" s="143" t="inlineStr">
        <is>
          <t>];</t>
        </is>
      </c>
      <c r="S19" s="19">
        <f>A18</f>
        <v/>
      </c>
    </row>
    <row r="20">
      <c r="S20" s="19" t="n"/>
    </row>
    <row r="21">
      <c r="A21" s="143" t="inlineStr">
        <is>
          <t>Win Probability by Class and Bet Amount</t>
        </is>
      </c>
      <c r="S21" s="19" t="n"/>
    </row>
    <row r="22">
      <c r="A22" s="143" t="inlineStr">
        <is>
          <t>var HitCheckTable_Max = 1000;</t>
        </is>
      </c>
      <c r="S22" s="19">
        <f>A21</f>
        <v/>
      </c>
    </row>
    <row r="23">
      <c r="A23" s="143" t="inlineStr">
        <is>
          <t>var HitCheckTable = [];</t>
        </is>
      </c>
      <c r="S23" s="19">
        <f>A22</f>
        <v/>
      </c>
    </row>
    <row r="24">
      <c r="A24" s="143">
        <f>CONCATENATE(B23)</f>
        <v/>
      </c>
      <c r="B24" s="143" t="inlineStr">
        <is>
          <t xml:space="preserve">HitCheckTable[0] = </t>
        </is>
      </c>
      <c r="S24" s="19">
        <f>A23</f>
        <v/>
      </c>
    </row>
    <row r="25">
      <c r="A25" s="143">
        <f>CONCATENATE(B24)</f>
        <v/>
      </c>
      <c r="B25" s="143" t="inlineStr">
        <is>
          <t>[</t>
        </is>
      </c>
      <c r="S25" s="19">
        <f>A24</f>
        <v/>
      </c>
    </row>
    <row r="26">
      <c r="A26" s="143">
        <f>CONCATENATE(B25,C25,D25,E25)</f>
        <v/>
      </c>
      <c r="B26" s="143" t="inlineStr">
        <is>
          <t xml:space="preserve">[0,  </t>
        </is>
      </c>
      <c r="C26" s="143">
        <f>IF('Control Panel'!C10&gt;0,'Control Panel'!C1,0)</f>
        <v/>
      </c>
      <c r="D26" s="143" t="inlineStr">
        <is>
          <t>]</t>
        </is>
      </c>
      <c r="E26" s="143" t="inlineStr">
        <is>
          <t>,</t>
        </is>
      </c>
      <c r="S26" s="19">
        <f>A25</f>
        <v/>
      </c>
    </row>
    <row r="27">
      <c r="A27" s="143">
        <f>CONCATENATE(B26,C26,D26,E26)</f>
        <v/>
      </c>
      <c r="B27" s="143" t="inlineStr">
        <is>
          <t xml:space="preserve">[9999, </t>
        </is>
      </c>
      <c r="C27" s="143">
        <f>IF('Control Panel'!C11&gt;0,'Control Panel'!C1,0)</f>
        <v/>
      </c>
      <c r="D27" s="143" t="inlineStr">
        <is>
          <t>]</t>
        </is>
      </c>
      <c r="E27" s="143" t="inlineStr">
        <is>
          <t>,</t>
        </is>
      </c>
      <c r="F27" s="143" t="n">
        <v>2500</v>
      </c>
      <c r="S27" s="19">
        <f>A26</f>
        <v/>
      </c>
    </row>
    <row r="28">
      <c r="A28" s="143">
        <f>CONCATENATE(B27,C27,D27,E27)</f>
        <v/>
      </c>
      <c r="B28" s="143" t="inlineStr">
        <is>
          <t xml:space="preserve">[49999, </t>
        </is>
      </c>
      <c r="C28" s="143">
        <f>IF('Control Panel'!C12&gt;0,'Control Panel'!C1,0)</f>
        <v/>
      </c>
      <c r="D28" s="143" t="inlineStr">
        <is>
          <t>]</t>
        </is>
      </c>
      <c r="E28" s="143" t="inlineStr">
        <is>
          <t>,</t>
        </is>
      </c>
      <c r="F28" s="143" t="n">
        <v>11</v>
      </c>
      <c r="S28" s="19">
        <f>A27</f>
        <v/>
      </c>
    </row>
    <row r="29">
      <c r="A29" s="143">
        <f>CONCATENATE(B28,C28,D28,E28)</f>
        <v/>
      </c>
      <c r="B29" s="143" t="inlineStr">
        <is>
          <t xml:space="preserve">[99999, </t>
        </is>
      </c>
      <c r="C29" s="143">
        <f>IF('Control Panel'!C13&gt;0,'Control Panel'!C1,0)</f>
        <v/>
      </c>
      <c r="D29" s="143" t="inlineStr">
        <is>
          <t>]</t>
        </is>
      </c>
      <c r="E29" s="143" t="inlineStr">
        <is>
          <t>,</t>
        </is>
      </c>
      <c r="F29" s="143">
        <f>F26/F27</f>
        <v/>
      </c>
      <c r="S29" s="19">
        <f>A28</f>
        <v/>
      </c>
    </row>
    <row r="30">
      <c r="A30" s="143">
        <f>CONCATENATE(B29,C29,D29,E29)</f>
        <v/>
      </c>
      <c r="B30" s="143" t="inlineStr">
        <is>
          <t xml:space="preserve">[199999,  </t>
        </is>
      </c>
      <c r="C30" s="143">
        <f>IF('Control Panel'!C14&gt;0,'Control Panel'!C1,0)</f>
        <v/>
      </c>
      <c r="D30" s="143" t="inlineStr">
        <is>
          <t>]</t>
        </is>
      </c>
      <c r="E30" s="143" t="inlineStr">
        <is>
          <t>,</t>
        </is>
      </c>
      <c r="S30" s="19">
        <f>A29</f>
        <v/>
      </c>
    </row>
    <row r="31">
      <c r="A31" s="143">
        <f>CONCATENATE(B30,C30,D30,E30)</f>
        <v/>
      </c>
      <c r="B31" s="143" t="inlineStr">
        <is>
          <t xml:space="preserve">[299999,  </t>
        </is>
      </c>
      <c r="C31" s="143">
        <f>IF('Control Panel'!C15&gt;0,'Control Panel'!C1,0)</f>
        <v/>
      </c>
      <c r="D31" s="143" t="inlineStr">
        <is>
          <t>]</t>
        </is>
      </c>
      <c r="E31" s="143" t="inlineStr">
        <is>
          <t>,</t>
        </is>
      </c>
      <c r="S31" s="19">
        <f>A30</f>
        <v/>
      </c>
    </row>
    <row r="32">
      <c r="A32" s="143">
        <f>CONCATENATE(B31,C31,D31,E31)</f>
        <v/>
      </c>
      <c r="B32" s="143" t="inlineStr">
        <is>
          <t xml:space="preserve">[499999,  </t>
        </is>
      </c>
      <c r="C32" s="143">
        <f>IF('Control Panel'!C16&gt;0,'Control Panel'!C1,0)</f>
        <v/>
      </c>
      <c r="D32" s="143" t="inlineStr">
        <is>
          <t>]</t>
        </is>
      </c>
      <c r="E32" s="143" t="inlineStr">
        <is>
          <t>,</t>
        </is>
      </c>
      <c r="S32" s="19">
        <f>A31</f>
        <v/>
      </c>
    </row>
    <row r="33">
      <c r="A33" s="143">
        <f>CONCATENATE(B32,C32,D32,E32)</f>
        <v/>
      </c>
      <c r="B33" s="143" t="inlineStr">
        <is>
          <t xml:space="preserve">[999999,  </t>
        </is>
      </c>
      <c r="C33" s="143">
        <f>IF('Control Panel'!C17&gt;0,'Control Panel'!C1,0)</f>
        <v/>
      </c>
      <c r="D33" s="143" t="inlineStr">
        <is>
          <t>]</t>
        </is>
      </c>
      <c r="E33" s="143" t="inlineStr">
        <is>
          <t>,</t>
        </is>
      </c>
      <c r="S33" s="19">
        <f>A32</f>
        <v/>
      </c>
    </row>
    <row r="34">
      <c r="A34" s="143">
        <f>CONCATENATE(B33,C33,D33,E33)</f>
        <v/>
      </c>
      <c r="B34" s="143" t="inlineStr">
        <is>
          <t xml:space="preserve">[4999999,  </t>
        </is>
      </c>
      <c r="C34" s="143">
        <f>IF('Control Panel'!C18&gt;0,'Control Panel'!C1,0)</f>
        <v/>
      </c>
      <c r="D34" s="143" t="inlineStr">
        <is>
          <t>]</t>
        </is>
      </c>
      <c r="E34" s="143" t="inlineStr">
        <is>
          <t>,</t>
        </is>
      </c>
      <c r="H34" s="143" t="n">
        <v>8</v>
      </c>
      <c r="I34" s="143">
        <f>H37/H33</f>
        <v/>
      </c>
      <c r="S34" s="19">
        <f>A33</f>
        <v/>
      </c>
    </row>
    <row r="35">
      <c r="A35" s="143">
        <f>CONCATENATE(B34,C34,D34,E34)</f>
        <v/>
      </c>
      <c r="B35" s="143" t="inlineStr">
        <is>
          <t xml:space="preserve">[9999999,  </t>
        </is>
      </c>
      <c r="C35" s="143">
        <f>IF('Control Panel'!C19&gt;0,'Control Panel'!C1,0)</f>
        <v/>
      </c>
      <c r="D35" s="143" t="inlineStr">
        <is>
          <t>]</t>
        </is>
      </c>
      <c r="E35" s="143" t="inlineStr">
        <is>
          <t>,</t>
        </is>
      </c>
      <c r="H35" s="143" t="n">
        <v>9</v>
      </c>
      <c r="I35" s="143">
        <f>H37/H34</f>
        <v/>
      </c>
      <c r="S35" s="19">
        <f>A34</f>
        <v/>
      </c>
    </row>
    <row r="36">
      <c r="A36" s="143">
        <f>CONCATENATE(B35,C35,D35,E35)</f>
        <v/>
      </c>
      <c r="B36" s="143" t="inlineStr">
        <is>
          <t xml:space="preserve">[49999999,  </t>
        </is>
      </c>
      <c r="C36" s="143">
        <f>IF('Control Panel'!C20&gt;0,'Control Panel'!C1,0)</f>
        <v/>
      </c>
      <c r="D36" s="143" t="inlineStr">
        <is>
          <t>]</t>
        </is>
      </c>
      <c r="E36" s="143" t="inlineStr">
        <is>
          <t>,</t>
        </is>
      </c>
      <c r="H36" s="143" t="n">
        <v>10</v>
      </c>
      <c r="I36" s="143">
        <f>H37/H35</f>
        <v/>
      </c>
      <c r="S36" s="19">
        <f>A35</f>
        <v/>
      </c>
    </row>
    <row r="37">
      <c r="A37" s="143">
        <f>CONCATENATE(B36,C36,D36,E36)</f>
        <v/>
      </c>
      <c r="B37" s="143" t="inlineStr">
        <is>
          <t xml:space="preserve">[99999999,  </t>
        </is>
      </c>
      <c r="C37" s="143">
        <f>IF('Control Panel'!C21&gt;0,'Control Panel'!C1,0)</f>
        <v/>
      </c>
      <c r="D37" s="143" t="inlineStr">
        <is>
          <t>]</t>
        </is>
      </c>
      <c r="E37" s="143" t="inlineStr">
        <is>
          <t>,</t>
        </is>
      </c>
      <c r="H37" s="143" t="n">
        <v>11</v>
      </c>
      <c r="I37" s="143">
        <f>H37/H36</f>
        <v/>
      </c>
      <c r="S37" s="19">
        <f>A36</f>
        <v/>
      </c>
    </row>
    <row r="38">
      <c r="A38" s="143">
        <f>CONCATENATE(B37,C37,D37,E37)</f>
        <v/>
      </c>
      <c r="B38" s="143" t="inlineStr">
        <is>
          <t>];</t>
        </is>
      </c>
      <c r="H38" s="143">
        <f>H33*H34*H35*H36</f>
        <v/>
      </c>
      <c r="S38" s="19">
        <f>A37</f>
        <v/>
      </c>
    </row>
    <row r="39">
      <c r="A39" s="143">
        <f>CONCATENATE(B38,C38,D38,E38)</f>
        <v/>
      </c>
      <c r="S39" s="19">
        <f>A38</f>
        <v/>
      </c>
    </row>
    <row r="40">
      <c r="A40" s="143">
        <f>CONCATENATE(B39,C39,D39,E39)</f>
        <v/>
      </c>
      <c r="B40" s="143" t="inlineStr">
        <is>
          <t xml:space="preserve">HitCheckTable[1] = </t>
        </is>
      </c>
      <c r="S40" s="19">
        <f>A39</f>
        <v/>
      </c>
    </row>
    <row r="41">
      <c r="A41" s="143">
        <f>CONCATENATE(B40,C40,D40,E40)</f>
        <v/>
      </c>
      <c r="B41" s="143" t="inlineStr">
        <is>
          <t>[</t>
        </is>
      </c>
      <c r="S41" s="19">
        <f>A40</f>
        <v/>
      </c>
    </row>
    <row r="42">
      <c r="A42" s="143">
        <f>CONCATENATE(B41,C41,D41,E41)</f>
        <v/>
      </c>
      <c r="B42" s="143" t="inlineStr">
        <is>
          <t xml:space="preserve">[0,  </t>
        </is>
      </c>
      <c r="C42" s="143">
        <f>IF('Control Panel'!D10&gt;0,'Control Panel'!C1,0)</f>
        <v/>
      </c>
      <c r="D42" s="143" t="inlineStr">
        <is>
          <t>]</t>
        </is>
      </c>
      <c r="E42" s="143" t="inlineStr">
        <is>
          <t>,</t>
        </is>
      </c>
      <c r="S42" s="19">
        <f>A41</f>
        <v/>
      </c>
    </row>
    <row r="43">
      <c r="A43" s="143">
        <f>CONCATENATE(B42,C42,D42,E42)</f>
        <v/>
      </c>
      <c r="B43" s="143" t="inlineStr">
        <is>
          <t xml:space="preserve">[9999, </t>
        </is>
      </c>
      <c r="C43" s="143">
        <f>IF('Control Panel'!D11&gt;0,'Control Panel'!C1,0)</f>
        <v/>
      </c>
      <c r="D43" s="143" t="inlineStr">
        <is>
          <t>]</t>
        </is>
      </c>
      <c r="E43" s="143" t="inlineStr">
        <is>
          <t>,</t>
        </is>
      </c>
      <c r="S43" s="19">
        <f>A42</f>
        <v/>
      </c>
    </row>
    <row r="44">
      <c r="A44" s="143">
        <f>CONCATENATE(B43,C43,D43,E43)</f>
        <v/>
      </c>
      <c r="B44" s="143" t="inlineStr">
        <is>
          <t xml:space="preserve">[49999, </t>
        </is>
      </c>
      <c r="C44" s="143">
        <f>IF('Control Panel'!D12&gt;0,'Control Panel'!C1,0)</f>
        <v/>
      </c>
      <c r="D44" s="143" t="inlineStr">
        <is>
          <t>]</t>
        </is>
      </c>
      <c r="E44" s="143" t="inlineStr">
        <is>
          <t>,</t>
        </is>
      </c>
      <c r="S44" s="19">
        <f>A43</f>
        <v/>
      </c>
    </row>
    <row r="45">
      <c r="A45" s="143">
        <f>CONCATENATE(B44,C44,D44,E44)</f>
        <v/>
      </c>
      <c r="B45" s="143" t="inlineStr">
        <is>
          <t xml:space="preserve">[99999, </t>
        </is>
      </c>
      <c r="C45" s="143">
        <f>IF('Control Panel'!D13&gt;0,'Control Panel'!C1,0)</f>
        <v/>
      </c>
      <c r="D45" s="143" t="inlineStr">
        <is>
          <t>]</t>
        </is>
      </c>
      <c r="E45" s="143" t="inlineStr">
        <is>
          <t>,</t>
        </is>
      </c>
      <c r="S45" s="19">
        <f>A44</f>
        <v/>
      </c>
    </row>
    <row r="46">
      <c r="A46" s="143">
        <f>CONCATENATE(B45,C45,D45,E45)</f>
        <v/>
      </c>
      <c r="B46" s="143" t="inlineStr">
        <is>
          <t xml:space="preserve">[199999,  </t>
        </is>
      </c>
      <c r="C46" s="143">
        <f>IF('Control Panel'!D14&gt;0,'Control Panel'!C1,0)</f>
        <v/>
      </c>
      <c r="D46" s="143" t="inlineStr">
        <is>
          <t>]</t>
        </is>
      </c>
      <c r="E46" s="143" t="inlineStr">
        <is>
          <t>,</t>
        </is>
      </c>
      <c r="S46" s="19">
        <f>A45</f>
        <v/>
      </c>
    </row>
    <row r="47">
      <c r="A47" s="143">
        <f>CONCATENATE(B46,C46,D46,E46)</f>
        <v/>
      </c>
      <c r="B47" s="143" t="inlineStr">
        <is>
          <t xml:space="preserve">[299999,  </t>
        </is>
      </c>
      <c r="C47" s="143">
        <f>IF('Control Panel'!D15&gt;0,'Control Panel'!C1,0)</f>
        <v/>
      </c>
      <c r="D47" s="143" t="inlineStr">
        <is>
          <t>]</t>
        </is>
      </c>
      <c r="E47" s="143" t="inlineStr">
        <is>
          <t>,</t>
        </is>
      </c>
      <c r="S47" s="19">
        <f>A46</f>
        <v/>
      </c>
    </row>
    <row r="48">
      <c r="A48" s="143">
        <f>CONCATENATE(B47,C47,D47,E47)</f>
        <v/>
      </c>
      <c r="B48" s="143" t="inlineStr">
        <is>
          <t xml:space="preserve">[499999,  </t>
        </is>
      </c>
      <c r="C48" s="143">
        <f>IF('Control Panel'!D16&gt;0,'Control Panel'!C1,0)</f>
        <v/>
      </c>
      <c r="D48" s="143" t="inlineStr">
        <is>
          <t>]</t>
        </is>
      </c>
      <c r="E48" s="143" t="inlineStr">
        <is>
          <t>,</t>
        </is>
      </c>
      <c r="S48" s="19">
        <f>A47</f>
        <v/>
      </c>
    </row>
    <row r="49">
      <c r="A49" s="143">
        <f>CONCATENATE(B48,C48,D48,E48)</f>
        <v/>
      </c>
      <c r="B49" s="143" t="inlineStr">
        <is>
          <t xml:space="preserve">[999999,  </t>
        </is>
      </c>
      <c r="C49" s="143">
        <f>IF('Control Panel'!D17&gt;0,'Control Panel'!C1,0)</f>
        <v/>
      </c>
      <c r="D49" s="143" t="inlineStr">
        <is>
          <t>]</t>
        </is>
      </c>
      <c r="E49" s="143" t="inlineStr">
        <is>
          <t>,</t>
        </is>
      </c>
      <c r="S49" s="19">
        <f>A48</f>
        <v/>
      </c>
    </row>
    <row r="50">
      <c r="A50" s="143">
        <f>CONCATENATE(B49,C49,D49,E49)</f>
        <v/>
      </c>
      <c r="B50" s="143" t="inlineStr">
        <is>
          <t xml:space="preserve">[4999999,  </t>
        </is>
      </c>
      <c r="C50" s="143">
        <f>IF('Control Panel'!D18&gt;0,'Control Panel'!C1,0)</f>
        <v/>
      </c>
      <c r="D50" s="143" t="inlineStr">
        <is>
          <t>]</t>
        </is>
      </c>
      <c r="E50" s="143" t="inlineStr">
        <is>
          <t>,</t>
        </is>
      </c>
      <c r="S50" s="19">
        <f>A49</f>
        <v/>
      </c>
    </row>
    <row r="51">
      <c r="A51" s="143">
        <f>CONCATENATE(B50,C50,D50,E50)</f>
        <v/>
      </c>
      <c r="B51" s="143" t="inlineStr">
        <is>
          <t xml:space="preserve">[9999999,  </t>
        </is>
      </c>
      <c r="C51" s="143">
        <f>IF('Control Panel'!D19&gt;0,'Control Panel'!C1,0)</f>
        <v/>
      </c>
      <c r="D51" s="143" t="inlineStr">
        <is>
          <t>]</t>
        </is>
      </c>
      <c r="E51" s="143" t="inlineStr">
        <is>
          <t>,</t>
        </is>
      </c>
      <c r="S51" s="19">
        <f>A50</f>
        <v/>
      </c>
    </row>
    <row r="52">
      <c r="A52" s="143">
        <f>CONCATENATE(B51,C51,D51,E51)</f>
        <v/>
      </c>
      <c r="B52" s="143" t="inlineStr">
        <is>
          <t xml:space="preserve">[49999999,  </t>
        </is>
      </c>
      <c r="C52" s="143">
        <f>IF('Control Panel'!D20&gt;0,'Control Panel'!C1,0)</f>
        <v/>
      </c>
      <c r="D52" s="143" t="inlineStr">
        <is>
          <t>]</t>
        </is>
      </c>
      <c r="E52" s="143" t="inlineStr">
        <is>
          <t>,</t>
        </is>
      </c>
      <c r="S52" s="19">
        <f>A51</f>
        <v/>
      </c>
    </row>
    <row r="53">
      <c r="A53" s="143">
        <f>CONCATENATE(B52,C52,D52,E52)</f>
        <v/>
      </c>
      <c r="B53" s="143" t="inlineStr">
        <is>
          <t xml:space="preserve">[99999999,  </t>
        </is>
      </c>
      <c r="C53" s="143">
        <f>IF('Control Panel'!D21&gt;0,'Control Panel'!C1,0)</f>
        <v/>
      </c>
      <c r="D53" s="143" t="inlineStr">
        <is>
          <t>]</t>
        </is>
      </c>
      <c r="E53" s="143" t="inlineStr">
        <is>
          <t>,</t>
        </is>
      </c>
      <c r="S53" s="19">
        <f>A52</f>
        <v/>
      </c>
    </row>
    <row r="54">
      <c r="A54" s="143">
        <f>CONCATENATE(B53,C53,D53,E53)</f>
        <v/>
      </c>
      <c r="B54" s="143" t="inlineStr">
        <is>
          <t>];</t>
        </is>
      </c>
      <c r="S54" s="19">
        <f>A53</f>
        <v/>
      </c>
    </row>
    <row r="55">
      <c r="A55" s="143">
        <f>CONCATENATE(B54,C54,D54,E54)</f>
        <v/>
      </c>
      <c r="S55" s="19">
        <f>A54</f>
        <v/>
      </c>
    </row>
    <row r="56">
      <c r="A56" s="143">
        <f>CONCATENATE(B55,C55,D55,E55)</f>
        <v/>
      </c>
      <c r="B56" s="143" t="inlineStr">
        <is>
          <t xml:space="preserve">HitCheckTable[2] = </t>
        </is>
      </c>
      <c r="S56" s="19">
        <f>A55</f>
        <v/>
      </c>
    </row>
    <row r="57">
      <c r="A57" s="143">
        <f>CONCATENATE(B56,C56,D56,E56)</f>
        <v/>
      </c>
      <c r="B57" s="143" t="inlineStr">
        <is>
          <t>[</t>
        </is>
      </c>
      <c r="S57" s="19">
        <f>A56</f>
        <v/>
      </c>
    </row>
    <row r="58">
      <c r="A58" s="143">
        <f>CONCATENATE(B57,C57,D57,E57)</f>
        <v/>
      </c>
      <c r="B58" s="143" t="inlineStr">
        <is>
          <t xml:space="preserve">[0,  </t>
        </is>
      </c>
      <c r="C58" s="143">
        <f>IF('Control Panel'!E10&gt;0,'Control Panel'!C1,0)</f>
        <v/>
      </c>
      <c r="D58" s="143" t="inlineStr">
        <is>
          <t>]</t>
        </is>
      </c>
      <c r="E58" s="143" t="inlineStr">
        <is>
          <t>,</t>
        </is>
      </c>
      <c r="S58" s="19">
        <f>A57</f>
        <v/>
      </c>
    </row>
    <row r="59">
      <c r="A59" s="143">
        <f>CONCATENATE(B58,C58,D58,E58)</f>
        <v/>
      </c>
      <c r="B59" s="143" t="inlineStr">
        <is>
          <t xml:space="preserve">[9999, </t>
        </is>
      </c>
      <c r="C59" s="143">
        <f>IF('Control Panel'!E11&gt;0,'Control Panel'!C1,0)</f>
        <v/>
      </c>
      <c r="D59" s="143" t="inlineStr">
        <is>
          <t>]</t>
        </is>
      </c>
      <c r="E59" s="143" t="inlineStr">
        <is>
          <t>,</t>
        </is>
      </c>
      <c r="S59" s="19">
        <f>A58</f>
        <v/>
      </c>
    </row>
    <row r="60">
      <c r="A60" s="143">
        <f>CONCATENATE(B59,C59,D59,E59)</f>
        <v/>
      </c>
      <c r="B60" s="143" t="inlineStr">
        <is>
          <t xml:space="preserve">[49999, </t>
        </is>
      </c>
      <c r="C60" s="143">
        <f>IF('Control Panel'!E12&gt;0,'Control Panel'!C1,0)</f>
        <v/>
      </c>
      <c r="D60" s="143" t="inlineStr">
        <is>
          <t>]</t>
        </is>
      </c>
      <c r="E60" s="143" t="inlineStr">
        <is>
          <t>,</t>
        </is>
      </c>
      <c r="S60" s="19">
        <f>A59</f>
        <v/>
      </c>
    </row>
    <row r="61">
      <c r="A61" s="143">
        <f>CONCATENATE(B60,C60,D60,E60)</f>
        <v/>
      </c>
      <c r="B61" s="143" t="inlineStr">
        <is>
          <t xml:space="preserve">[99999, </t>
        </is>
      </c>
      <c r="C61" s="143">
        <f>IF('Control Panel'!E13&gt;0,'Control Panel'!C1,0)</f>
        <v/>
      </c>
      <c r="D61" s="143" t="inlineStr">
        <is>
          <t>]</t>
        </is>
      </c>
      <c r="E61" s="143" t="inlineStr">
        <is>
          <t>,</t>
        </is>
      </c>
      <c r="S61" s="19">
        <f>A60</f>
        <v/>
      </c>
    </row>
    <row r="62">
      <c r="A62" s="143">
        <f>CONCATENATE(B61,C61,D61,E61)</f>
        <v/>
      </c>
      <c r="B62" s="143" t="inlineStr">
        <is>
          <t xml:space="preserve">[199999,  </t>
        </is>
      </c>
      <c r="C62" s="143">
        <f>IF('Control Panel'!E14&gt;0,'Control Panel'!C1,0)</f>
        <v/>
      </c>
      <c r="D62" s="143" t="inlineStr">
        <is>
          <t>]</t>
        </is>
      </c>
      <c r="E62" s="143" t="inlineStr">
        <is>
          <t>,</t>
        </is>
      </c>
      <c r="S62" s="19">
        <f>A61</f>
        <v/>
      </c>
    </row>
    <row r="63">
      <c r="A63" s="143">
        <f>CONCATENATE(B62,C62,D62,E62)</f>
        <v/>
      </c>
      <c r="B63" s="143" t="inlineStr">
        <is>
          <t xml:space="preserve">[299999,  </t>
        </is>
      </c>
      <c r="C63" s="143">
        <f>IF('Control Panel'!E15&gt;0,'Control Panel'!C1,0)</f>
        <v/>
      </c>
      <c r="D63" s="143" t="inlineStr">
        <is>
          <t>]</t>
        </is>
      </c>
      <c r="E63" s="143" t="inlineStr">
        <is>
          <t>,</t>
        </is>
      </c>
      <c r="S63" s="19">
        <f>A62</f>
        <v/>
      </c>
    </row>
    <row r="64">
      <c r="A64" s="143">
        <f>CONCATENATE(B63,C63,D63,E63)</f>
        <v/>
      </c>
      <c r="B64" s="143" t="inlineStr">
        <is>
          <t xml:space="preserve">[499999,  </t>
        </is>
      </c>
      <c r="C64" s="143">
        <f>IF('Control Panel'!E16&gt;0,'Control Panel'!C1,0)</f>
        <v/>
      </c>
      <c r="D64" s="143" t="inlineStr">
        <is>
          <t>]</t>
        </is>
      </c>
      <c r="E64" s="143" t="inlineStr">
        <is>
          <t>,</t>
        </is>
      </c>
      <c r="S64" s="19">
        <f>A63</f>
        <v/>
      </c>
    </row>
    <row r="65">
      <c r="A65" s="143">
        <f>CONCATENATE(B64,C64,D64,E64)</f>
        <v/>
      </c>
      <c r="B65" s="143" t="inlineStr">
        <is>
          <t xml:space="preserve">[999999,  </t>
        </is>
      </c>
      <c r="C65" s="143">
        <f>IF('Control Panel'!E17&gt;0,'Control Panel'!C1,0)</f>
        <v/>
      </c>
      <c r="D65" s="143" t="inlineStr">
        <is>
          <t>]</t>
        </is>
      </c>
      <c r="E65" s="143" t="inlineStr">
        <is>
          <t>,</t>
        </is>
      </c>
      <c r="S65" s="19">
        <f>A64</f>
        <v/>
      </c>
    </row>
    <row r="66">
      <c r="A66" s="143">
        <f>CONCATENATE(B65,C65,D65,E65)</f>
        <v/>
      </c>
      <c r="B66" s="143" t="inlineStr">
        <is>
          <t xml:space="preserve">[4999999,  </t>
        </is>
      </c>
      <c r="C66" s="143">
        <f>IF('Control Panel'!E18&gt;0,'Control Panel'!C1,0)</f>
        <v/>
      </c>
      <c r="D66" s="143" t="inlineStr">
        <is>
          <t>]</t>
        </is>
      </c>
      <c r="E66" s="143" t="inlineStr">
        <is>
          <t>,</t>
        </is>
      </c>
      <c r="S66" s="19">
        <f>A65</f>
        <v/>
      </c>
    </row>
    <row r="67">
      <c r="A67" s="143">
        <f>CONCATENATE(B66,C66,D66,E66)</f>
        <v/>
      </c>
      <c r="B67" s="143" t="inlineStr">
        <is>
          <t xml:space="preserve">[9999999,  </t>
        </is>
      </c>
      <c r="C67" s="143">
        <f>IF('Control Panel'!E19&gt;0,'Control Panel'!C1,0)</f>
        <v/>
      </c>
      <c r="D67" s="143" t="inlineStr">
        <is>
          <t>]</t>
        </is>
      </c>
      <c r="E67" s="143" t="inlineStr">
        <is>
          <t>,</t>
        </is>
      </c>
      <c r="S67" s="19">
        <f>A66</f>
        <v/>
      </c>
    </row>
    <row r="68">
      <c r="A68" s="143">
        <f>CONCATENATE(B67,C67,D67,E67)</f>
        <v/>
      </c>
      <c r="B68" s="143" t="inlineStr">
        <is>
          <t xml:space="preserve">[49999999,  </t>
        </is>
      </c>
      <c r="C68" s="143">
        <f>IF('Control Panel'!E20&gt;0,'Control Panel'!C1,0)</f>
        <v/>
      </c>
      <c r="D68" s="143" t="inlineStr">
        <is>
          <t>]</t>
        </is>
      </c>
      <c r="E68" s="143" t="inlineStr">
        <is>
          <t>,</t>
        </is>
      </c>
      <c r="S68" s="19">
        <f>A67</f>
        <v/>
      </c>
    </row>
    <row r="69">
      <c r="A69" s="143">
        <f>CONCATENATE(B68,C68,D68,E68)</f>
        <v/>
      </c>
      <c r="B69" s="143" t="inlineStr">
        <is>
          <t xml:space="preserve">[99999999,  </t>
        </is>
      </c>
      <c r="C69" s="143">
        <f>IF('Control Panel'!E21&gt;0,'Control Panel'!C1,0)</f>
        <v/>
      </c>
      <c r="D69" s="143" t="inlineStr">
        <is>
          <t>]</t>
        </is>
      </c>
      <c r="E69" s="143" t="inlineStr">
        <is>
          <t>,</t>
        </is>
      </c>
      <c r="S69" s="19">
        <f>A68</f>
        <v/>
      </c>
    </row>
    <row r="70">
      <c r="A70" s="143">
        <f>CONCATENATE(B69,C69,D69,E69)</f>
        <v/>
      </c>
      <c r="B70" s="143" t="inlineStr">
        <is>
          <t>];</t>
        </is>
      </c>
      <c r="S70" s="19">
        <f>A69</f>
        <v/>
      </c>
    </row>
    <row r="71">
      <c r="A71" s="143">
        <f>CONCATENATE(B70,C70,D70,E70)</f>
        <v/>
      </c>
      <c r="S71" s="19">
        <f>A70</f>
        <v/>
      </c>
    </row>
    <row r="72">
      <c r="A72" s="143">
        <f>CONCATENATE(B71,C71,D71,E71)</f>
        <v/>
      </c>
      <c r="B72" s="143" t="inlineStr">
        <is>
          <t xml:space="preserve">HitCheckTable[3] = </t>
        </is>
      </c>
      <c r="S72" s="19">
        <f>A71</f>
        <v/>
      </c>
    </row>
    <row r="73">
      <c r="A73" s="143">
        <f>CONCATENATE(B72,C72,D72,E72)</f>
        <v/>
      </c>
      <c r="B73" s="143" t="inlineStr">
        <is>
          <t>[</t>
        </is>
      </c>
      <c r="S73" s="19">
        <f>A72</f>
        <v/>
      </c>
    </row>
    <row r="74">
      <c r="A74" s="143">
        <f>CONCATENATE(B73,C73,D73,E73)</f>
        <v/>
      </c>
      <c r="B74" s="143" t="inlineStr">
        <is>
          <t xml:space="preserve">[0,  </t>
        </is>
      </c>
      <c r="C74" s="143">
        <f>IF('Control Panel'!F10&gt;0,'Control Panel'!C1,0)</f>
        <v/>
      </c>
      <c r="D74" s="143" t="inlineStr">
        <is>
          <t>]</t>
        </is>
      </c>
      <c r="E74" s="143" t="inlineStr">
        <is>
          <t>,</t>
        </is>
      </c>
      <c r="S74" s="19">
        <f>A73</f>
        <v/>
      </c>
    </row>
    <row r="75">
      <c r="A75" s="143">
        <f>CONCATENATE(B74,C74,D74,E74)</f>
        <v/>
      </c>
      <c r="B75" s="143" t="inlineStr">
        <is>
          <t xml:space="preserve">[9999, </t>
        </is>
      </c>
      <c r="C75" s="143">
        <f>IF('Control Panel'!F11&gt;0,'Control Panel'!C1,0)</f>
        <v/>
      </c>
      <c r="D75" s="143" t="inlineStr">
        <is>
          <t>]</t>
        </is>
      </c>
      <c r="E75" s="143" t="inlineStr">
        <is>
          <t>,</t>
        </is>
      </c>
      <c r="S75" s="19">
        <f>A74</f>
        <v/>
      </c>
    </row>
    <row r="76">
      <c r="A76" s="143">
        <f>CONCATENATE(B75,C75,D75,E75)</f>
        <v/>
      </c>
      <c r="B76" s="143" t="inlineStr">
        <is>
          <t xml:space="preserve">[49999, </t>
        </is>
      </c>
      <c r="C76" s="143">
        <f>IF('Control Panel'!F12&gt;0,'Control Panel'!C1,0)</f>
        <v/>
      </c>
      <c r="D76" s="143" t="inlineStr">
        <is>
          <t>]</t>
        </is>
      </c>
      <c r="E76" s="143" t="inlineStr">
        <is>
          <t>,</t>
        </is>
      </c>
      <c r="S76" s="19">
        <f>A75</f>
        <v/>
      </c>
    </row>
    <row r="77">
      <c r="A77" s="143">
        <f>CONCATENATE(B76,C76,D76,E76)</f>
        <v/>
      </c>
      <c r="B77" s="143" t="inlineStr">
        <is>
          <t xml:space="preserve">[99999, </t>
        </is>
      </c>
      <c r="C77" s="143">
        <f>IF('Control Panel'!F13&gt;0,'Control Panel'!C1,0)</f>
        <v/>
      </c>
      <c r="D77" s="143" t="inlineStr">
        <is>
          <t>]</t>
        </is>
      </c>
      <c r="E77" s="143" t="inlineStr">
        <is>
          <t>,</t>
        </is>
      </c>
      <c r="S77" s="19">
        <f>A76</f>
        <v/>
      </c>
    </row>
    <row r="78">
      <c r="A78" s="143">
        <f>CONCATENATE(B77,C77,D77,E77)</f>
        <v/>
      </c>
      <c r="B78" s="143" t="inlineStr">
        <is>
          <t xml:space="preserve">[199999,  </t>
        </is>
      </c>
      <c r="C78" s="143">
        <f>IF('Control Panel'!F14&gt;0,'Control Panel'!C1,0)</f>
        <v/>
      </c>
      <c r="D78" s="143" t="inlineStr">
        <is>
          <t>]</t>
        </is>
      </c>
      <c r="E78" s="143" t="inlineStr">
        <is>
          <t>,</t>
        </is>
      </c>
      <c r="S78" s="19">
        <f>A77</f>
        <v/>
      </c>
    </row>
    <row r="79">
      <c r="A79" s="143">
        <f>CONCATENATE(B78,C78,D78,E78)</f>
        <v/>
      </c>
      <c r="B79" s="143" t="inlineStr">
        <is>
          <t xml:space="preserve">[299999,  </t>
        </is>
      </c>
      <c r="C79" s="143">
        <f>IF('Control Panel'!F15&gt;0,'Control Panel'!C1,0)</f>
        <v/>
      </c>
      <c r="D79" s="143" t="inlineStr">
        <is>
          <t>]</t>
        </is>
      </c>
      <c r="E79" s="143" t="inlineStr">
        <is>
          <t>,</t>
        </is>
      </c>
      <c r="S79" s="19">
        <f>A78</f>
        <v/>
      </c>
    </row>
    <row r="80">
      <c r="A80" s="143">
        <f>CONCATENATE(B79,C79,D79,E79)</f>
        <v/>
      </c>
      <c r="B80" s="143" t="inlineStr">
        <is>
          <t xml:space="preserve">[499999,  </t>
        </is>
      </c>
      <c r="C80" s="143">
        <f>IF('Control Panel'!F16&gt;0,'Control Panel'!C1,0)</f>
        <v/>
      </c>
      <c r="D80" s="143" t="inlineStr">
        <is>
          <t>]</t>
        </is>
      </c>
      <c r="E80" s="143" t="inlineStr">
        <is>
          <t>,</t>
        </is>
      </c>
      <c r="S80" s="19">
        <f>A79</f>
        <v/>
      </c>
    </row>
    <row r="81">
      <c r="A81" s="143">
        <f>CONCATENATE(B80,C80,D80,E80)</f>
        <v/>
      </c>
      <c r="B81" s="143" t="inlineStr">
        <is>
          <t xml:space="preserve">[999999,  </t>
        </is>
      </c>
      <c r="C81" s="143">
        <f>IF('Control Panel'!F17&gt;0,'Control Panel'!C1,0)</f>
        <v/>
      </c>
      <c r="D81" s="143" t="inlineStr">
        <is>
          <t>]</t>
        </is>
      </c>
      <c r="E81" s="143" t="inlineStr">
        <is>
          <t>,</t>
        </is>
      </c>
      <c r="S81" s="19">
        <f>A80</f>
        <v/>
      </c>
    </row>
    <row r="82">
      <c r="A82" s="143">
        <f>CONCATENATE(B81,C81,D81,E81)</f>
        <v/>
      </c>
      <c r="B82" s="143" t="inlineStr">
        <is>
          <t xml:space="preserve">[4999999,  </t>
        </is>
      </c>
      <c r="C82" s="143">
        <f>IF('Control Panel'!F18&gt;0,'Control Panel'!C1,0)</f>
        <v/>
      </c>
      <c r="D82" s="143" t="inlineStr">
        <is>
          <t>]</t>
        </is>
      </c>
      <c r="E82" s="143" t="inlineStr">
        <is>
          <t>,</t>
        </is>
      </c>
      <c r="S82" s="19">
        <f>A81</f>
        <v/>
      </c>
    </row>
    <row r="83">
      <c r="A83" s="143">
        <f>CONCATENATE(B82,C82,D82,E82)</f>
        <v/>
      </c>
      <c r="B83" s="143" t="inlineStr">
        <is>
          <t xml:space="preserve">[9999999,  </t>
        </is>
      </c>
      <c r="C83" s="143">
        <f>IF('Control Panel'!F19&gt;0,'Control Panel'!C1,0)</f>
        <v/>
      </c>
      <c r="D83" s="143" t="inlineStr">
        <is>
          <t>]</t>
        </is>
      </c>
      <c r="E83" s="143" t="inlineStr">
        <is>
          <t>,</t>
        </is>
      </c>
      <c r="S83" s="19">
        <f>A82</f>
        <v/>
      </c>
    </row>
    <row r="84">
      <c r="A84" s="143">
        <f>CONCATENATE(B83,C83,D83,E83)</f>
        <v/>
      </c>
      <c r="B84" s="143" t="inlineStr">
        <is>
          <t xml:space="preserve">[49999999,  </t>
        </is>
      </c>
      <c r="C84" s="143">
        <f>IF('Control Panel'!F20&gt;0,'Control Panel'!C1,0)</f>
        <v/>
      </c>
      <c r="D84" s="143" t="inlineStr">
        <is>
          <t>]</t>
        </is>
      </c>
      <c r="E84" s="143" t="inlineStr">
        <is>
          <t>,</t>
        </is>
      </c>
      <c r="S84" s="19">
        <f>A83</f>
        <v/>
      </c>
    </row>
    <row r="85">
      <c r="A85" s="143">
        <f>CONCATENATE(B84,C84,D84,E84)</f>
        <v/>
      </c>
      <c r="B85" s="143" t="inlineStr">
        <is>
          <t xml:space="preserve">[99999999,  </t>
        </is>
      </c>
      <c r="C85" s="143">
        <f>IF('Control Panel'!F21&gt;0,'Control Panel'!C1,0)</f>
        <v/>
      </c>
      <c r="D85" s="143" t="inlineStr">
        <is>
          <t>]</t>
        </is>
      </c>
      <c r="E85" s="143" t="inlineStr">
        <is>
          <t>,</t>
        </is>
      </c>
      <c r="S85" s="19">
        <f>A84</f>
        <v/>
      </c>
    </row>
    <row r="86">
      <c r="A86" s="143">
        <f>CONCATENATE(B85,C85,D85,E85)</f>
        <v/>
      </c>
      <c r="B86" s="143" t="inlineStr">
        <is>
          <t>];</t>
        </is>
      </c>
      <c r="S86" s="19">
        <f>A85</f>
        <v/>
      </c>
    </row>
    <row r="87">
      <c r="A87" s="143">
        <f>CONCATENATE(B86,C86,D86,E86)</f>
        <v/>
      </c>
      <c r="S87" s="19">
        <f>A86</f>
        <v/>
      </c>
    </row>
    <row r="88">
      <c r="A88" s="143">
        <f>CONCATENATE(B87,C87,D87,E87)</f>
        <v/>
      </c>
      <c r="B88" s="143" t="inlineStr">
        <is>
          <t xml:space="preserve">HitCheckTable[4] = </t>
        </is>
      </c>
      <c r="S88" s="19">
        <f>A87</f>
        <v/>
      </c>
    </row>
    <row r="89">
      <c r="A89" s="143">
        <f>CONCATENATE(B88,C88,D88,E88)</f>
        <v/>
      </c>
      <c r="B89" s="143" t="inlineStr">
        <is>
          <t>[</t>
        </is>
      </c>
      <c r="S89" s="19">
        <f>A88</f>
        <v/>
      </c>
    </row>
    <row r="90">
      <c r="A90" s="143">
        <f>CONCATENATE(B89,C89,D89,E89)</f>
        <v/>
      </c>
      <c r="B90" s="143" t="inlineStr">
        <is>
          <t xml:space="preserve">[0,  </t>
        </is>
      </c>
      <c r="C90" s="143">
        <f>IF('Control Panel'!G10&gt;0,'Control Panel'!C1,0)</f>
        <v/>
      </c>
      <c r="D90" s="143" t="inlineStr">
        <is>
          <t>]</t>
        </is>
      </c>
      <c r="E90" s="143" t="inlineStr">
        <is>
          <t>,</t>
        </is>
      </c>
      <c r="S90" s="19">
        <f>A89</f>
        <v/>
      </c>
    </row>
    <row r="91">
      <c r="A91" s="143">
        <f>CONCATENATE(B90,C90,D90,E90)</f>
        <v/>
      </c>
      <c r="B91" s="143" t="inlineStr">
        <is>
          <t xml:space="preserve">[9999, </t>
        </is>
      </c>
      <c r="C91" s="143">
        <f>IF('Control Panel'!G11&gt;0,'Control Panel'!C1,0)</f>
        <v/>
      </c>
      <c r="D91" s="143" t="inlineStr">
        <is>
          <t>]</t>
        </is>
      </c>
      <c r="E91" s="143" t="inlineStr">
        <is>
          <t>,</t>
        </is>
      </c>
      <c r="S91" s="19">
        <f>A90</f>
        <v/>
      </c>
    </row>
    <row r="92">
      <c r="A92" s="143">
        <f>CONCATENATE(B91,C91,D91,E91)</f>
        <v/>
      </c>
      <c r="B92" s="143" t="inlineStr">
        <is>
          <t xml:space="preserve">[49999, </t>
        </is>
      </c>
      <c r="C92" s="143">
        <f>IF('Control Panel'!G12&gt;0,'Control Panel'!C1,0)</f>
        <v/>
      </c>
      <c r="D92" s="143" t="inlineStr">
        <is>
          <t>]</t>
        </is>
      </c>
      <c r="E92" s="143" t="inlineStr">
        <is>
          <t>,</t>
        </is>
      </c>
      <c r="S92" s="19">
        <f>A91</f>
        <v/>
      </c>
    </row>
    <row r="93">
      <c r="A93" s="143">
        <f>CONCATENATE(B92,C92,D92,E92)</f>
        <v/>
      </c>
      <c r="B93" s="143" t="inlineStr">
        <is>
          <t xml:space="preserve">[99999, </t>
        </is>
      </c>
      <c r="C93" s="143">
        <f>IF('Control Panel'!G13&gt;0,'Control Panel'!C1,0)</f>
        <v/>
      </c>
      <c r="D93" s="143" t="inlineStr">
        <is>
          <t>]</t>
        </is>
      </c>
      <c r="E93" s="143" t="inlineStr">
        <is>
          <t>,</t>
        </is>
      </c>
      <c r="S93" s="19">
        <f>A92</f>
        <v/>
      </c>
    </row>
    <row r="94">
      <c r="A94" s="143">
        <f>CONCATENATE(B93,C93,D93,E93)</f>
        <v/>
      </c>
      <c r="B94" s="143" t="inlineStr">
        <is>
          <t xml:space="preserve">[199999,  </t>
        </is>
      </c>
      <c r="C94" s="143">
        <f>IF('Control Panel'!G14&gt;0,'Control Panel'!C1,0)</f>
        <v/>
      </c>
      <c r="D94" s="143" t="inlineStr">
        <is>
          <t>]</t>
        </is>
      </c>
      <c r="E94" s="143" t="inlineStr">
        <is>
          <t>,</t>
        </is>
      </c>
      <c r="S94" s="19">
        <f>A93</f>
        <v/>
      </c>
    </row>
    <row r="95">
      <c r="A95" s="143">
        <f>CONCATENATE(B94,C94,D94,E94)</f>
        <v/>
      </c>
      <c r="B95" s="143" t="inlineStr">
        <is>
          <t xml:space="preserve">[299999,  </t>
        </is>
      </c>
      <c r="C95" s="143">
        <f>IF('Control Panel'!G15&gt;0,'Control Panel'!C1,0)</f>
        <v/>
      </c>
      <c r="D95" s="143" t="inlineStr">
        <is>
          <t>]</t>
        </is>
      </c>
      <c r="E95" s="143" t="inlineStr">
        <is>
          <t>,</t>
        </is>
      </c>
      <c r="S95" s="19">
        <f>A94</f>
        <v/>
      </c>
    </row>
    <row r="96">
      <c r="A96" s="143">
        <f>CONCATENATE(B95,C95,D95,E95)</f>
        <v/>
      </c>
      <c r="B96" s="143" t="inlineStr">
        <is>
          <t xml:space="preserve">[499999,  </t>
        </is>
      </c>
      <c r="C96" s="143">
        <f>IF('Control Panel'!G16&gt;0,'Control Panel'!C1,0)</f>
        <v/>
      </c>
      <c r="D96" s="143" t="inlineStr">
        <is>
          <t>]</t>
        </is>
      </c>
      <c r="E96" s="143" t="inlineStr">
        <is>
          <t>,</t>
        </is>
      </c>
      <c r="S96" s="19">
        <f>A95</f>
        <v/>
      </c>
    </row>
    <row r="97">
      <c r="A97" s="143">
        <f>CONCATENATE(B96,C96,D96,E96)</f>
        <v/>
      </c>
      <c r="B97" s="143" t="inlineStr">
        <is>
          <t xml:space="preserve">[999999,  </t>
        </is>
      </c>
      <c r="C97" s="143">
        <f>IF('Control Panel'!G17&gt;0,'Control Panel'!C1,0)</f>
        <v/>
      </c>
      <c r="D97" s="143" t="inlineStr">
        <is>
          <t>]</t>
        </is>
      </c>
      <c r="E97" s="143" t="inlineStr">
        <is>
          <t>,</t>
        </is>
      </c>
      <c r="S97" s="19">
        <f>A96</f>
        <v/>
      </c>
    </row>
    <row r="98">
      <c r="A98" s="143">
        <f>CONCATENATE(B97,C97,D97,E97)</f>
        <v/>
      </c>
      <c r="B98" s="143" t="inlineStr">
        <is>
          <t xml:space="preserve">[4999999,  </t>
        </is>
      </c>
      <c r="C98" s="143">
        <f>IF('Control Panel'!G18&gt;0,'Control Panel'!C1,0)</f>
        <v/>
      </c>
      <c r="D98" s="143" t="inlineStr">
        <is>
          <t>]</t>
        </is>
      </c>
      <c r="E98" s="143" t="inlineStr">
        <is>
          <t>,</t>
        </is>
      </c>
      <c r="S98" s="19">
        <f>A97</f>
        <v/>
      </c>
    </row>
    <row r="99">
      <c r="A99" s="143">
        <f>CONCATENATE(B98,C98,D98,E98)</f>
        <v/>
      </c>
      <c r="B99" s="143" t="inlineStr">
        <is>
          <t xml:space="preserve">[9999999,  </t>
        </is>
      </c>
      <c r="C99" s="143">
        <f>IF('Control Panel'!G19&gt;0,'Control Panel'!C1,0)</f>
        <v/>
      </c>
      <c r="D99" s="143" t="inlineStr">
        <is>
          <t>]</t>
        </is>
      </c>
      <c r="E99" s="143" t="inlineStr">
        <is>
          <t>,</t>
        </is>
      </c>
      <c r="S99" s="19">
        <f>A98</f>
        <v/>
      </c>
    </row>
    <row r="100">
      <c r="A100" s="143">
        <f>CONCATENATE(B99,C99,D99,E99)</f>
        <v/>
      </c>
      <c r="B100" s="143" t="inlineStr">
        <is>
          <t xml:space="preserve">[49999999,  </t>
        </is>
      </c>
      <c r="C100" s="143">
        <f>IF('Control Panel'!G20&gt;0,'Control Panel'!C1,0)</f>
        <v/>
      </c>
      <c r="D100" s="143" t="inlineStr">
        <is>
          <t>]</t>
        </is>
      </c>
      <c r="E100" s="143" t="inlineStr">
        <is>
          <t>,</t>
        </is>
      </c>
      <c r="S100" s="19">
        <f>A99</f>
        <v/>
      </c>
    </row>
    <row r="101">
      <c r="A101" s="143">
        <f>CONCATENATE(B100,C100,D100,E100)</f>
        <v/>
      </c>
      <c r="B101" s="143" t="inlineStr">
        <is>
          <t xml:space="preserve">[99999999,  </t>
        </is>
      </c>
      <c r="C101" s="143">
        <f>IF('Control Panel'!G21&gt;0,'Control Panel'!C1,0)</f>
        <v/>
      </c>
      <c r="D101" s="143" t="inlineStr">
        <is>
          <t>]</t>
        </is>
      </c>
      <c r="E101" s="143" t="inlineStr">
        <is>
          <t>,</t>
        </is>
      </c>
      <c r="S101" s="19">
        <f>A100</f>
        <v/>
      </c>
    </row>
    <row r="102">
      <c r="A102" s="143">
        <f>CONCATENATE(B101,C101,D101,E101)</f>
        <v/>
      </c>
      <c r="B102" s="143" t="inlineStr">
        <is>
          <t>];</t>
        </is>
      </c>
      <c r="S102" s="19">
        <f>A101</f>
        <v/>
      </c>
    </row>
    <row r="103">
      <c r="A103" s="143">
        <f>CONCATENATE(B102,C102,D102,E102)</f>
        <v/>
      </c>
      <c r="S103" s="19">
        <f>A102</f>
        <v/>
      </c>
    </row>
    <row r="104">
      <c r="A104" s="143">
        <f>CONCATENATE(B103,C103,D103,E103)</f>
        <v/>
      </c>
      <c r="B104" s="143" t="inlineStr">
        <is>
          <t xml:space="preserve">HitCheckTable[5] = </t>
        </is>
      </c>
      <c r="S104" s="19">
        <f>A103</f>
        <v/>
      </c>
    </row>
    <row r="105">
      <c r="A105" s="143">
        <f>CONCATENATE(B104,C104,D104,E104)</f>
        <v/>
      </c>
      <c r="B105" s="143" t="inlineStr">
        <is>
          <t>[</t>
        </is>
      </c>
      <c r="S105" s="19">
        <f>A104</f>
        <v/>
      </c>
    </row>
    <row r="106">
      <c r="A106" s="143">
        <f>CONCATENATE(B105,C105,D105,E105)</f>
        <v/>
      </c>
      <c r="B106" s="143" t="inlineStr">
        <is>
          <t xml:space="preserve">[0,  </t>
        </is>
      </c>
      <c r="C106" s="143">
        <f>IF('Control Panel'!H10&gt;0,'Control Panel'!C1,0)</f>
        <v/>
      </c>
      <c r="D106" s="143" t="inlineStr">
        <is>
          <t>]</t>
        </is>
      </c>
      <c r="E106" s="143" t="inlineStr">
        <is>
          <t>,</t>
        </is>
      </c>
      <c r="S106" s="19">
        <f>A105</f>
        <v/>
      </c>
    </row>
    <row r="107">
      <c r="A107" s="143">
        <f>CONCATENATE(B106,C106,D106,E106)</f>
        <v/>
      </c>
      <c r="B107" s="143" t="inlineStr">
        <is>
          <t xml:space="preserve">[9999, </t>
        </is>
      </c>
      <c r="C107" s="143">
        <f>IF('Control Panel'!H11&gt;0,'Control Panel'!C1,0)</f>
        <v/>
      </c>
      <c r="D107" s="143" t="inlineStr">
        <is>
          <t>]</t>
        </is>
      </c>
      <c r="E107" s="143" t="inlineStr">
        <is>
          <t>,</t>
        </is>
      </c>
      <c r="S107" s="19">
        <f>A106</f>
        <v/>
      </c>
    </row>
    <row r="108">
      <c r="A108" s="143">
        <f>CONCATENATE(B107,C107,D107,E107)</f>
        <v/>
      </c>
      <c r="B108" s="143" t="inlineStr">
        <is>
          <t xml:space="preserve">[49999, </t>
        </is>
      </c>
      <c r="C108" s="143">
        <f>IF('Control Panel'!H12&gt;0,'Control Panel'!C1,0)</f>
        <v/>
      </c>
      <c r="D108" s="143" t="inlineStr">
        <is>
          <t>]</t>
        </is>
      </c>
      <c r="E108" s="143" t="inlineStr">
        <is>
          <t>,</t>
        </is>
      </c>
      <c r="S108" s="19">
        <f>A107</f>
        <v/>
      </c>
    </row>
    <row r="109">
      <c r="A109" s="143">
        <f>CONCATENATE(B108,C108,D108,E108)</f>
        <v/>
      </c>
      <c r="B109" s="143" t="inlineStr">
        <is>
          <t xml:space="preserve">[99999, </t>
        </is>
      </c>
      <c r="C109" s="143">
        <f>IF('Control Panel'!H13&gt;0,'Control Panel'!C1,0)</f>
        <v/>
      </c>
      <c r="D109" s="143" t="inlineStr">
        <is>
          <t>]</t>
        </is>
      </c>
      <c r="E109" s="143" t="inlineStr">
        <is>
          <t>,</t>
        </is>
      </c>
      <c r="S109" s="19">
        <f>A108</f>
        <v/>
      </c>
    </row>
    <row r="110">
      <c r="A110" s="143">
        <f>CONCATENATE(B109,C109,D109,E109)</f>
        <v/>
      </c>
      <c r="B110" s="143" t="inlineStr">
        <is>
          <t xml:space="preserve">[199999,  </t>
        </is>
      </c>
      <c r="C110" s="143">
        <f>IF('Control Panel'!H14&gt;0,'Control Panel'!C1,0)</f>
        <v/>
      </c>
      <c r="D110" s="143" t="inlineStr">
        <is>
          <t>]</t>
        </is>
      </c>
      <c r="E110" s="143" t="inlineStr">
        <is>
          <t>,</t>
        </is>
      </c>
      <c r="S110" s="19">
        <f>A109</f>
        <v/>
      </c>
    </row>
    <row r="111">
      <c r="A111" s="143">
        <f>CONCATENATE(B110,C110,D110,E110)</f>
        <v/>
      </c>
      <c r="B111" s="143" t="inlineStr">
        <is>
          <t xml:space="preserve">[299999,  </t>
        </is>
      </c>
      <c r="C111" s="143">
        <f>IF('Control Panel'!H15&gt;0,'Control Panel'!C1,0)</f>
        <v/>
      </c>
      <c r="D111" s="143" t="inlineStr">
        <is>
          <t>]</t>
        </is>
      </c>
      <c r="E111" s="143" t="inlineStr">
        <is>
          <t>,</t>
        </is>
      </c>
      <c r="S111" s="19">
        <f>A110</f>
        <v/>
      </c>
    </row>
    <row r="112">
      <c r="A112" s="143">
        <f>CONCATENATE(B111,C111,D111,E111)</f>
        <v/>
      </c>
      <c r="B112" s="143" t="inlineStr">
        <is>
          <t xml:space="preserve">[499999,  </t>
        </is>
      </c>
      <c r="C112" s="143">
        <f>IF('Control Panel'!H16&gt;0,'Control Panel'!C1,0)</f>
        <v/>
      </c>
      <c r="D112" s="143" t="inlineStr">
        <is>
          <t>]</t>
        </is>
      </c>
      <c r="E112" s="143" t="inlineStr">
        <is>
          <t>,</t>
        </is>
      </c>
      <c r="S112" s="19">
        <f>A111</f>
        <v/>
      </c>
    </row>
    <row r="113">
      <c r="A113" s="143">
        <f>CONCATENATE(B112,C112,D112,E112)</f>
        <v/>
      </c>
      <c r="B113" s="143" t="inlineStr">
        <is>
          <t xml:space="preserve">[999999,  </t>
        </is>
      </c>
      <c r="C113" s="143">
        <f>IF('Control Panel'!H17&gt;0,'Control Panel'!C1,0)</f>
        <v/>
      </c>
      <c r="D113" s="143" t="inlineStr">
        <is>
          <t>]</t>
        </is>
      </c>
      <c r="E113" s="143" t="inlineStr">
        <is>
          <t>,</t>
        </is>
      </c>
      <c r="S113" s="19">
        <f>A112</f>
        <v/>
      </c>
    </row>
    <row r="114">
      <c r="A114" s="143">
        <f>CONCATENATE(B113,C113,D113,E113)</f>
        <v/>
      </c>
      <c r="B114" s="143" t="inlineStr">
        <is>
          <t xml:space="preserve">[4999999,  </t>
        </is>
      </c>
      <c r="C114" s="143">
        <f>IF('Control Panel'!H18&gt;0,'Control Panel'!C1,0)</f>
        <v/>
      </c>
      <c r="D114" s="143" t="inlineStr">
        <is>
          <t>]</t>
        </is>
      </c>
      <c r="E114" s="143" t="inlineStr">
        <is>
          <t>,</t>
        </is>
      </c>
      <c r="S114" s="19">
        <f>A113</f>
        <v/>
      </c>
    </row>
    <row r="115">
      <c r="A115" s="143">
        <f>CONCATENATE(B114,C114,D114,E114)</f>
        <v/>
      </c>
      <c r="B115" s="143" t="inlineStr">
        <is>
          <t xml:space="preserve">[9999999,  </t>
        </is>
      </c>
      <c r="C115" s="143">
        <f>IF('Control Panel'!H19&gt;0,'Control Panel'!C1,0)</f>
        <v/>
      </c>
      <c r="D115" s="143" t="inlineStr">
        <is>
          <t>]</t>
        </is>
      </c>
      <c r="E115" s="143" t="inlineStr">
        <is>
          <t>,</t>
        </is>
      </c>
      <c r="S115" s="19">
        <f>A114</f>
        <v/>
      </c>
    </row>
    <row r="116">
      <c r="A116" s="143">
        <f>CONCATENATE(B115,C115,D115,E115)</f>
        <v/>
      </c>
      <c r="B116" s="143" t="inlineStr">
        <is>
          <t xml:space="preserve">[49999999,  </t>
        </is>
      </c>
      <c r="C116" s="143">
        <f>IF('Control Panel'!H20&gt;0,'Control Panel'!C1,0)</f>
        <v/>
      </c>
      <c r="D116" s="143" t="inlineStr">
        <is>
          <t>]</t>
        </is>
      </c>
      <c r="E116" s="143" t="inlineStr">
        <is>
          <t>,</t>
        </is>
      </c>
      <c r="S116" s="19">
        <f>A115</f>
        <v/>
      </c>
    </row>
    <row r="117">
      <c r="A117" s="143">
        <f>CONCATENATE(B116,C116,D116,E116)</f>
        <v/>
      </c>
      <c r="B117" s="143" t="inlineStr">
        <is>
          <t xml:space="preserve">[99999999,  </t>
        </is>
      </c>
      <c r="C117" s="143">
        <f>IF('Control Panel'!H21&gt;0,'Control Panel'!C1,0)</f>
        <v/>
      </c>
      <c r="D117" s="143" t="inlineStr">
        <is>
          <t>]</t>
        </is>
      </c>
      <c r="E117" s="143" t="inlineStr">
        <is>
          <t>,</t>
        </is>
      </c>
      <c r="S117" s="19">
        <f>A116</f>
        <v/>
      </c>
    </row>
    <row r="118">
      <c r="A118" s="143">
        <f>CONCATENATE(B117,C117,D117,E117)</f>
        <v/>
      </c>
      <c r="B118" s="143" t="inlineStr">
        <is>
          <t>];</t>
        </is>
      </c>
      <c r="S118" s="19">
        <f>A117</f>
        <v/>
      </c>
    </row>
    <row r="119">
      <c r="A119" s="143">
        <f>CONCATENATE(B118,C118,D118,E118)</f>
        <v/>
      </c>
      <c r="S119" s="19">
        <f>A118</f>
        <v/>
      </c>
    </row>
    <row r="120">
      <c r="A120" s="143">
        <f>CONCATENATE(B119,C119,D119,E119)</f>
        <v/>
      </c>
      <c r="B120" s="143" t="inlineStr">
        <is>
          <t xml:space="preserve">HitCheckTable[6] = </t>
        </is>
      </c>
      <c r="S120" s="19">
        <f>A119</f>
        <v/>
      </c>
    </row>
    <row r="121">
      <c r="A121" s="143">
        <f>CONCATENATE(B120,C120,D120,E120)</f>
        <v/>
      </c>
      <c r="B121" s="143" t="inlineStr">
        <is>
          <t>[</t>
        </is>
      </c>
      <c r="S121" s="19">
        <f>A120</f>
        <v/>
      </c>
    </row>
    <row r="122">
      <c r="A122" s="143">
        <f>CONCATENATE(B121,C121,D121,E121)</f>
        <v/>
      </c>
      <c r="B122" s="143" t="inlineStr">
        <is>
          <t xml:space="preserve">[0,  </t>
        </is>
      </c>
      <c r="C122" s="143">
        <f>IF('Control Panel'!I10&gt;0,'Control Panel'!C1,0)</f>
        <v/>
      </c>
      <c r="D122" s="143" t="inlineStr">
        <is>
          <t>]</t>
        </is>
      </c>
      <c r="E122" s="143" t="inlineStr">
        <is>
          <t>,</t>
        </is>
      </c>
      <c r="S122" s="19">
        <f>A121</f>
        <v/>
      </c>
    </row>
    <row r="123">
      <c r="A123" s="143">
        <f>CONCATENATE(B122,C122,D122,E122)</f>
        <v/>
      </c>
      <c r="B123" s="143" t="inlineStr">
        <is>
          <t xml:space="preserve">[9999, </t>
        </is>
      </c>
      <c r="C123" s="143">
        <f>IF('Control Panel'!I11&gt;0,'Control Panel'!C1,0)</f>
        <v/>
      </c>
      <c r="D123" s="143" t="inlineStr">
        <is>
          <t>]</t>
        </is>
      </c>
      <c r="E123" s="143" t="inlineStr">
        <is>
          <t>,</t>
        </is>
      </c>
      <c r="S123" s="19">
        <f>A122</f>
        <v/>
      </c>
    </row>
    <row r="124">
      <c r="A124" s="143">
        <f>CONCATENATE(B123,C123,D123,E123)</f>
        <v/>
      </c>
      <c r="B124" s="143" t="inlineStr">
        <is>
          <t xml:space="preserve">[49999, </t>
        </is>
      </c>
      <c r="C124" s="143">
        <f>IF('Control Panel'!I12&gt;0,'Control Panel'!C1,0)</f>
        <v/>
      </c>
      <c r="D124" s="143" t="inlineStr">
        <is>
          <t>]</t>
        </is>
      </c>
      <c r="E124" s="143" t="inlineStr">
        <is>
          <t>,</t>
        </is>
      </c>
      <c r="S124" s="19">
        <f>A123</f>
        <v/>
      </c>
    </row>
    <row r="125">
      <c r="A125" s="143">
        <f>CONCATENATE(B124,C124,D124,E124)</f>
        <v/>
      </c>
      <c r="B125" s="143" t="inlineStr">
        <is>
          <t xml:space="preserve">[99999, </t>
        </is>
      </c>
      <c r="C125" s="143">
        <f>IF('Control Panel'!I13&gt;0,'Control Panel'!C1,0)</f>
        <v/>
      </c>
      <c r="D125" s="143" t="inlineStr">
        <is>
          <t>]</t>
        </is>
      </c>
      <c r="E125" s="143" t="inlineStr">
        <is>
          <t>,</t>
        </is>
      </c>
      <c r="S125" s="19">
        <f>A124</f>
        <v/>
      </c>
    </row>
    <row r="126">
      <c r="A126" s="143">
        <f>CONCATENATE(B125,C125,D125,E125)</f>
        <v/>
      </c>
      <c r="B126" s="143" t="inlineStr">
        <is>
          <t xml:space="preserve">[199999,  </t>
        </is>
      </c>
      <c r="C126" s="143">
        <f>IF('Control Panel'!I14&gt;0,'Control Panel'!C1,0)</f>
        <v/>
      </c>
      <c r="D126" s="143" t="inlineStr">
        <is>
          <t>]</t>
        </is>
      </c>
      <c r="E126" s="143" t="inlineStr">
        <is>
          <t>,</t>
        </is>
      </c>
      <c r="S126" s="19">
        <f>A125</f>
        <v/>
      </c>
    </row>
    <row r="127">
      <c r="A127" s="143">
        <f>CONCATENATE(B126,C126,D126,E126)</f>
        <v/>
      </c>
      <c r="B127" s="143" t="inlineStr">
        <is>
          <t xml:space="preserve">[299999,  </t>
        </is>
      </c>
      <c r="C127" s="143">
        <f>IF('Control Panel'!I15&gt;0,'Control Panel'!C1,0)</f>
        <v/>
      </c>
      <c r="D127" s="143" t="inlineStr">
        <is>
          <t>]</t>
        </is>
      </c>
      <c r="E127" s="143" t="inlineStr">
        <is>
          <t>,</t>
        </is>
      </c>
      <c r="S127" s="19">
        <f>A126</f>
        <v/>
      </c>
    </row>
    <row r="128">
      <c r="A128" s="143">
        <f>CONCATENATE(B127,C127,D127,E127)</f>
        <v/>
      </c>
      <c r="B128" s="143" t="inlineStr">
        <is>
          <t xml:space="preserve">[499999,  </t>
        </is>
      </c>
      <c r="C128" s="143">
        <f>IF('Control Panel'!I16&gt;0,'Control Panel'!C1,0)</f>
        <v/>
      </c>
      <c r="D128" s="143" t="inlineStr">
        <is>
          <t>]</t>
        </is>
      </c>
      <c r="E128" s="143" t="inlineStr">
        <is>
          <t>,</t>
        </is>
      </c>
      <c r="S128" s="19">
        <f>A127</f>
        <v/>
      </c>
    </row>
    <row r="129">
      <c r="A129" s="143">
        <f>CONCATENATE(B128,C128,D128,E128)</f>
        <v/>
      </c>
      <c r="B129" s="143" t="inlineStr">
        <is>
          <t xml:space="preserve">[999999,  </t>
        </is>
      </c>
      <c r="C129" s="143">
        <f>IF('Control Panel'!I17&gt;0,'Control Panel'!C1,0)</f>
        <v/>
      </c>
      <c r="D129" s="143" t="inlineStr">
        <is>
          <t>]</t>
        </is>
      </c>
      <c r="E129" s="143" t="inlineStr">
        <is>
          <t>,</t>
        </is>
      </c>
      <c r="S129" s="19">
        <f>A128</f>
        <v/>
      </c>
    </row>
    <row r="130">
      <c r="A130" s="143">
        <f>CONCATENATE(B129,C129,D129,E129)</f>
        <v/>
      </c>
      <c r="B130" s="143" t="inlineStr">
        <is>
          <t xml:space="preserve">[4999999,  </t>
        </is>
      </c>
      <c r="C130" s="143">
        <f>IF('Control Panel'!I18&gt;0,'Control Panel'!C1,0)</f>
        <v/>
      </c>
      <c r="D130" s="143" t="inlineStr">
        <is>
          <t>]</t>
        </is>
      </c>
      <c r="E130" s="143" t="inlineStr">
        <is>
          <t>,</t>
        </is>
      </c>
      <c r="S130" s="19">
        <f>A129</f>
        <v/>
      </c>
    </row>
    <row r="131">
      <c r="A131" s="143">
        <f>CONCATENATE(B130,C130,D130,E130)</f>
        <v/>
      </c>
      <c r="B131" s="143" t="inlineStr">
        <is>
          <t xml:space="preserve">[9999999,  </t>
        </is>
      </c>
      <c r="C131" s="143">
        <f>IF('Control Panel'!I19&gt;0,'Control Panel'!C1,0)</f>
        <v/>
      </c>
      <c r="D131" s="143" t="inlineStr">
        <is>
          <t>]</t>
        </is>
      </c>
      <c r="E131" s="143" t="inlineStr">
        <is>
          <t>,</t>
        </is>
      </c>
      <c r="S131" s="19">
        <f>A130</f>
        <v/>
      </c>
    </row>
    <row r="132">
      <c r="A132" s="143">
        <f>CONCATENATE(B131,C131,D131,E131)</f>
        <v/>
      </c>
      <c r="B132" s="143" t="inlineStr">
        <is>
          <t xml:space="preserve">[49999999,  </t>
        </is>
      </c>
      <c r="C132" s="143">
        <f>IF('Control Panel'!I20&gt;0,'Control Panel'!C1,0)</f>
        <v/>
      </c>
      <c r="D132" s="143" t="inlineStr">
        <is>
          <t>]</t>
        </is>
      </c>
      <c r="E132" s="143" t="inlineStr">
        <is>
          <t>,</t>
        </is>
      </c>
      <c r="S132" s="19">
        <f>A131</f>
        <v/>
      </c>
    </row>
    <row r="133">
      <c r="A133" s="143">
        <f>CONCATENATE(B132,C132,D132,E132)</f>
        <v/>
      </c>
      <c r="B133" s="143" t="inlineStr">
        <is>
          <t xml:space="preserve">[99999999,  </t>
        </is>
      </c>
      <c r="C133" s="143">
        <f>IF('Control Panel'!I21&gt;0,'Control Panel'!C1,0)</f>
        <v/>
      </c>
      <c r="D133" s="143" t="inlineStr">
        <is>
          <t>]</t>
        </is>
      </c>
      <c r="E133" s="143" t="inlineStr">
        <is>
          <t>,</t>
        </is>
      </c>
      <c r="S133" s="19">
        <f>A132</f>
        <v/>
      </c>
    </row>
    <row r="134">
      <c r="A134" s="143">
        <f>CONCATENATE(B133,C133,D133)</f>
        <v/>
      </c>
      <c r="B134" s="143" t="inlineStr">
        <is>
          <t>];</t>
        </is>
      </c>
      <c r="S134" s="19">
        <f>A133</f>
        <v/>
      </c>
    </row>
    <row r="135">
      <c r="S135" s="19" t="n"/>
    </row>
    <row r="136">
      <c r="A136" s="143" t="inlineStr">
        <is>
          <t>Bingo Reward Levelby Probability Table</t>
        </is>
      </c>
      <c r="S136" s="19" t="n"/>
    </row>
    <row r="137">
      <c r="S137" s="19" t="n"/>
    </row>
    <row r="138">
      <c r="A138" s="143" t="inlineStr">
        <is>
          <t>var SymbolFixTable = [];</t>
        </is>
      </c>
      <c r="S138" s="19">
        <f>A137</f>
        <v/>
      </c>
    </row>
    <row r="139">
      <c r="A139" s="143" t="inlineStr">
        <is>
          <t>// Symbol Drop Ratio of Stage 1</t>
        </is>
      </c>
      <c r="S139" s="19">
        <f>A138</f>
        <v/>
      </c>
    </row>
    <row r="140">
      <c r="S140" s="19" t="n"/>
    </row>
    <row r="141">
      <c r="A141" s="143">
        <f>CONCATENATE(B140,C140,D140,E140,F140,G140,H140)</f>
        <v/>
      </c>
      <c r="B141" s="143" t="inlineStr">
        <is>
          <t>SymbolFixTable[0] =</t>
        </is>
      </c>
      <c r="S141" s="19">
        <f>A140</f>
        <v/>
      </c>
    </row>
    <row r="142">
      <c r="A142" s="143">
        <f>CONCATENATE(B141,C141,D141,E141,F141,G141,H141)</f>
        <v/>
      </c>
      <c r="B142" s="143" t="inlineStr">
        <is>
          <t>[</t>
        </is>
      </c>
      <c r="S142" s="19">
        <f>A141</f>
        <v/>
      </c>
    </row>
    <row r="143">
      <c r="A143" s="143">
        <f>CONCATENATE(B142,C142,D142,E142,F142,G142,H142)</f>
        <v/>
      </c>
      <c r="C143" s="143" t="inlineStr">
        <is>
          <t>[</t>
        </is>
      </c>
      <c r="D143" s="130">
        <f>'Control Panel'!S10</f>
        <v/>
      </c>
      <c r="E143" s="143" t="inlineStr">
        <is>
          <t>,</t>
        </is>
      </c>
      <c r="F143" s="143">
        <f>'Control Panel'!R4</f>
        <v/>
      </c>
      <c r="G143" s="143" t="inlineStr">
        <is>
          <t>]</t>
        </is>
      </c>
      <c r="H143" s="143" t="inlineStr">
        <is>
          <t>,</t>
        </is>
      </c>
      <c r="S143" s="19">
        <f>A142</f>
        <v/>
      </c>
    </row>
    <row r="144">
      <c r="A144" s="143">
        <f>CONCATENATE(B143,C143,D143,E143,F143,G143,H143)</f>
        <v/>
      </c>
      <c r="C144" s="143" t="inlineStr">
        <is>
          <t>[</t>
        </is>
      </c>
      <c r="D144" s="130">
        <f>'Control Panel'!T10</f>
        <v/>
      </c>
      <c r="E144" s="143" t="inlineStr">
        <is>
          <t>,</t>
        </is>
      </c>
      <c r="F144" s="143">
        <f>'Control Panel'!S4</f>
        <v/>
      </c>
      <c r="G144" s="143" t="inlineStr">
        <is>
          <t>]</t>
        </is>
      </c>
      <c r="H144" s="143" t="inlineStr">
        <is>
          <t>,</t>
        </is>
      </c>
      <c r="S144" s="19">
        <f>A143</f>
        <v/>
      </c>
    </row>
    <row r="145">
      <c r="A145" s="143">
        <f>CONCATENATE(B144,C144,D144,E144,F144,G144,H144)</f>
        <v/>
      </c>
      <c r="C145" s="143" t="inlineStr">
        <is>
          <t>[</t>
        </is>
      </c>
      <c r="D145" s="130">
        <f>'Control Panel'!U10</f>
        <v/>
      </c>
      <c r="E145" s="143" t="inlineStr">
        <is>
          <t>,</t>
        </is>
      </c>
      <c r="F145" s="143">
        <f>'Control Panel'!T4</f>
        <v/>
      </c>
      <c r="G145" s="143" t="inlineStr">
        <is>
          <t>]</t>
        </is>
      </c>
      <c r="H145" s="143" t="inlineStr">
        <is>
          <t>,</t>
        </is>
      </c>
      <c r="S145" s="19">
        <f>A144</f>
        <v/>
      </c>
    </row>
    <row r="146">
      <c r="A146" s="143">
        <f>CONCATENATE(B145,C145,D145,E145,F145,G145,H145)</f>
        <v/>
      </c>
      <c r="C146" s="143" t="inlineStr">
        <is>
          <t>[</t>
        </is>
      </c>
      <c r="D146" s="143" t="n">
        <v>-1</v>
      </c>
      <c r="E146" s="143" t="inlineStr">
        <is>
          <t>,</t>
        </is>
      </c>
      <c r="F146" s="143">
        <f>'Control Panel'!Q4</f>
        <v/>
      </c>
      <c r="G146" s="143" t="inlineStr">
        <is>
          <t>]</t>
        </is>
      </c>
      <c r="H146" s="143" t="inlineStr">
        <is>
          <t>,</t>
        </is>
      </c>
      <c r="S146" s="19">
        <f>A145</f>
        <v/>
      </c>
    </row>
    <row r="147">
      <c r="A147" s="143">
        <f>CONCATENATE(B146,C146,D146,E146,F146,G146,H146)</f>
        <v/>
      </c>
      <c r="C147" s="143" t="inlineStr">
        <is>
          <t>[</t>
        </is>
      </c>
      <c r="D147" s="143" t="n">
        <v>-2</v>
      </c>
      <c r="E147" s="143" t="inlineStr">
        <is>
          <t>,</t>
        </is>
      </c>
      <c r="F147" s="143">
        <f>'Control Panel'!P4</f>
        <v/>
      </c>
      <c r="G147" s="143" t="inlineStr">
        <is>
          <t>]</t>
        </is>
      </c>
      <c r="H147" s="143" t="inlineStr">
        <is>
          <t>,</t>
        </is>
      </c>
      <c r="S147" s="19">
        <f>A146</f>
        <v/>
      </c>
    </row>
    <row r="148">
      <c r="A148" s="143">
        <f>CONCATENATE(B147,C147,D147,E147,F147,G147,H147)</f>
        <v/>
      </c>
      <c r="C148" s="143" t="inlineStr">
        <is>
          <t>[</t>
        </is>
      </c>
      <c r="D148" s="143" t="n">
        <v>-3</v>
      </c>
      <c r="E148" s="143" t="inlineStr">
        <is>
          <t>,</t>
        </is>
      </c>
      <c r="F148" s="143">
        <f>'Control Panel'!O4</f>
        <v/>
      </c>
      <c r="G148" s="143" t="inlineStr">
        <is>
          <t>]</t>
        </is>
      </c>
      <c r="H148" s="143" t="inlineStr">
        <is>
          <t>,</t>
        </is>
      </c>
      <c r="S148" s="19">
        <f>A147</f>
        <v/>
      </c>
    </row>
    <row r="149">
      <c r="A149" s="143">
        <f>CONCATENATE(B148,C148,D148,E148,F148,G148,H148)</f>
        <v/>
      </c>
      <c r="C149" s="143" t="inlineStr">
        <is>
          <t>[</t>
        </is>
      </c>
      <c r="D149" s="143" t="n">
        <v>-4</v>
      </c>
      <c r="E149" s="143" t="inlineStr">
        <is>
          <t>,</t>
        </is>
      </c>
      <c r="F149" s="143">
        <f>'Control Panel'!N4</f>
        <v/>
      </c>
      <c r="G149" s="143" t="inlineStr">
        <is>
          <t>]</t>
        </is>
      </c>
      <c r="H149" s="143" t="inlineStr">
        <is>
          <t>,</t>
        </is>
      </c>
      <c r="S149" s="19">
        <f>A148</f>
        <v/>
      </c>
    </row>
    <row r="150">
      <c r="A150" s="143">
        <f>CONCATENATE(B149,C149,D149,E149,F149,G149,H149)</f>
        <v/>
      </c>
      <c r="C150" s="143" t="inlineStr">
        <is>
          <t>[</t>
        </is>
      </c>
      <c r="D150" s="143" t="n">
        <v>-5</v>
      </c>
      <c r="E150" s="143" t="inlineStr">
        <is>
          <t>,</t>
        </is>
      </c>
      <c r="F150" s="143">
        <f>'Control Panel'!M4</f>
        <v/>
      </c>
      <c r="G150" s="143" t="inlineStr">
        <is>
          <t>]</t>
        </is>
      </c>
      <c r="H150" s="143" t="inlineStr">
        <is>
          <t>,</t>
        </is>
      </c>
      <c r="S150" s="19">
        <f>A149</f>
        <v/>
      </c>
    </row>
    <row r="151">
      <c r="A151" s="143">
        <f>CONCATENATE(B150,C150,D150,E150,F150,G150,H150)</f>
        <v/>
      </c>
      <c r="B151" s="143" t="inlineStr">
        <is>
          <t>];</t>
        </is>
      </c>
      <c r="S151" s="19">
        <f>A150</f>
        <v/>
      </c>
    </row>
    <row r="152">
      <c r="A152" s="143">
        <f>CONCATENATE(B151,C151,D151,E151,F151,G151,H151)</f>
        <v/>
      </c>
      <c r="S152" s="19">
        <f>A151</f>
        <v/>
      </c>
    </row>
    <row r="153">
      <c r="A153" s="143">
        <f>CONCATENATE(B152,C152,D152,E152,F152,G152,H152)</f>
        <v/>
      </c>
      <c r="B153" s="143" t="inlineStr">
        <is>
          <t>SymbolFixTable[1] =</t>
        </is>
      </c>
      <c r="S153" s="19">
        <f>A152</f>
        <v/>
      </c>
    </row>
    <row r="154">
      <c r="A154" s="143">
        <f>CONCATENATE(B153,C153,D153,E153,F153,G153,H153)</f>
        <v/>
      </c>
      <c r="B154" s="143" t="inlineStr">
        <is>
          <t>[</t>
        </is>
      </c>
      <c r="S154" s="19">
        <f>A153</f>
        <v/>
      </c>
    </row>
    <row r="155">
      <c r="A155" s="143">
        <f>CONCATENATE(B154,C154,D154,E154,F154,G154,H154)</f>
        <v/>
      </c>
      <c r="C155" s="143" t="inlineStr">
        <is>
          <t>[</t>
        </is>
      </c>
      <c r="D155" s="130">
        <f>'Control Panel'!S11</f>
        <v/>
      </c>
      <c r="E155" s="143" t="inlineStr">
        <is>
          <t>,</t>
        </is>
      </c>
      <c r="F155" s="143">
        <f>'Control Panel'!R4</f>
        <v/>
      </c>
      <c r="G155" s="143" t="inlineStr">
        <is>
          <t>]</t>
        </is>
      </c>
      <c r="H155" s="143" t="inlineStr">
        <is>
          <t>,</t>
        </is>
      </c>
      <c r="S155" s="19">
        <f>A154</f>
        <v/>
      </c>
    </row>
    <row r="156">
      <c r="A156" s="143">
        <f>CONCATENATE(B155,C155,D155,E155,F155,G155,H155)</f>
        <v/>
      </c>
      <c r="C156" s="143" t="inlineStr">
        <is>
          <t>[</t>
        </is>
      </c>
      <c r="D156" s="130">
        <f>'Control Panel'!T11</f>
        <v/>
      </c>
      <c r="E156" s="143" t="inlineStr">
        <is>
          <t>,</t>
        </is>
      </c>
      <c r="F156" s="143">
        <f>'Control Panel'!S4</f>
        <v/>
      </c>
      <c r="G156" s="143" t="inlineStr">
        <is>
          <t>]</t>
        </is>
      </c>
      <c r="H156" s="143" t="inlineStr">
        <is>
          <t>,</t>
        </is>
      </c>
      <c r="S156" s="19">
        <f>A155</f>
        <v/>
      </c>
    </row>
    <row r="157">
      <c r="A157" s="143">
        <f>CONCATENATE(B156,C156,D156,E156,F156,G156,H156)</f>
        <v/>
      </c>
      <c r="C157" s="143" t="inlineStr">
        <is>
          <t>[</t>
        </is>
      </c>
      <c r="D157" s="130">
        <f>'Control Panel'!U11</f>
        <v/>
      </c>
      <c r="E157" s="143" t="inlineStr">
        <is>
          <t>,</t>
        </is>
      </c>
      <c r="F157" s="143">
        <f>'Control Panel'!T4</f>
        <v/>
      </c>
      <c r="G157" s="143" t="inlineStr">
        <is>
          <t>]</t>
        </is>
      </c>
      <c r="H157" s="143" t="inlineStr">
        <is>
          <t>,</t>
        </is>
      </c>
      <c r="S157" s="19">
        <f>A156</f>
        <v/>
      </c>
    </row>
    <row r="158">
      <c r="A158" s="143">
        <f>CONCATENATE(B157,C157,D157,E157,F157,G157,H157)</f>
        <v/>
      </c>
      <c r="C158" s="143" t="inlineStr">
        <is>
          <t>[</t>
        </is>
      </c>
      <c r="D158" s="143" t="n">
        <v>-1</v>
      </c>
      <c r="E158" s="143" t="inlineStr">
        <is>
          <t>,</t>
        </is>
      </c>
      <c r="F158" s="143">
        <f>'Control Panel'!Q4</f>
        <v/>
      </c>
      <c r="G158" s="143" t="inlineStr">
        <is>
          <t>]</t>
        </is>
      </c>
      <c r="H158" s="143" t="inlineStr">
        <is>
          <t>,</t>
        </is>
      </c>
      <c r="S158" s="19">
        <f>A157</f>
        <v/>
      </c>
    </row>
    <row r="159">
      <c r="A159" s="143">
        <f>CONCATENATE(B158,C158,D158,E158,F158,G158,H158)</f>
        <v/>
      </c>
      <c r="C159" s="143" t="inlineStr">
        <is>
          <t>[</t>
        </is>
      </c>
      <c r="D159" s="143" t="n">
        <v>-2</v>
      </c>
      <c r="E159" s="143" t="inlineStr">
        <is>
          <t>,</t>
        </is>
      </c>
      <c r="F159" s="143">
        <f>'Control Panel'!P4</f>
        <v/>
      </c>
      <c r="G159" s="143" t="inlineStr">
        <is>
          <t>]</t>
        </is>
      </c>
      <c r="H159" s="143" t="inlineStr">
        <is>
          <t>,</t>
        </is>
      </c>
      <c r="S159" s="19">
        <f>A158</f>
        <v/>
      </c>
    </row>
    <row r="160">
      <c r="A160" s="143">
        <f>CONCATENATE(B159,C159,D159,E159,F159,G159,H159)</f>
        <v/>
      </c>
      <c r="C160" s="143" t="inlineStr">
        <is>
          <t>[</t>
        </is>
      </c>
      <c r="D160" s="143" t="n">
        <v>-3</v>
      </c>
      <c r="E160" s="143" t="inlineStr">
        <is>
          <t>,</t>
        </is>
      </c>
      <c r="F160" s="143">
        <f>'Control Panel'!O4</f>
        <v/>
      </c>
      <c r="G160" s="143" t="inlineStr">
        <is>
          <t>]</t>
        </is>
      </c>
      <c r="H160" s="143" t="inlineStr">
        <is>
          <t>,</t>
        </is>
      </c>
      <c r="S160" s="19">
        <f>A159</f>
        <v/>
      </c>
    </row>
    <row r="161">
      <c r="A161" s="143">
        <f>CONCATENATE(B160,C160,D160,E160,F160,G160,H160)</f>
        <v/>
      </c>
      <c r="C161" s="143" t="inlineStr">
        <is>
          <t>[</t>
        </is>
      </c>
      <c r="D161" s="143" t="n">
        <v>-4</v>
      </c>
      <c r="E161" s="143" t="inlineStr">
        <is>
          <t>,</t>
        </is>
      </c>
      <c r="F161" s="143">
        <f>'Control Panel'!N4</f>
        <v/>
      </c>
      <c r="G161" s="143" t="inlineStr">
        <is>
          <t>]</t>
        </is>
      </c>
      <c r="H161" s="143" t="inlineStr">
        <is>
          <t>,</t>
        </is>
      </c>
      <c r="S161" s="19">
        <f>A160</f>
        <v/>
      </c>
    </row>
    <row r="162">
      <c r="A162" s="143">
        <f>CONCATENATE(B161,C161,D161,E161,F161,G161,H161)</f>
        <v/>
      </c>
      <c r="C162" s="143" t="inlineStr">
        <is>
          <t>[</t>
        </is>
      </c>
      <c r="D162" s="143" t="n">
        <v>-5</v>
      </c>
      <c r="E162" s="143" t="inlineStr">
        <is>
          <t>,</t>
        </is>
      </c>
      <c r="F162" s="143">
        <f>'Control Panel'!M4</f>
        <v/>
      </c>
      <c r="G162" s="143" t="inlineStr">
        <is>
          <t>]</t>
        </is>
      </c>
      <c r="H162" s="143" t="inlineStr">
        <is>
          <t>,</t>
        </is>
      </c>
      <c r="S162" s="19">
        <f>A161</f>
        <v/>
      </c>
    </row>
    <row r="163">
      <c r="A163" s="143">
        <f>CONCATENATE(B162,C162,D162,E162,F162,G162,H162)</f>
        <v/>
      </c>
      <c r="B163" s="143" t="inlineStr">
        <is>
          <t>];</t>
        </is>
      </c>
      <c r="S163" s="19">
        <f>A162</f>
        <v/>
      </c>
    </row>
    <row r="164">
      <c r="A164" s="143">
        <f>CONCATENATE(B163,C163,D163,E163,F163,G163,H163)</f>
        <v/>
      </c>
      <c r="B164" s="143" t="inlineStr">
        <is>
          <t>SymbolFixTable[2] =</t>
        </is>
      </c>
      <c r="S164" s="19">
        <f>A163</f>
        <v/>
      </c>
    </row>
    <row r="165">
      <c r="A165" s="143">
        <f>CONCATENATE(B164,C164,D164,E164,F164,G164,H164)</f>
        <v/>
      </c>
      <c r="B165" s="143" t="inlineStr">
        <is>
          <t>[</t>
        </is>
      </c>
      <c r="S165" s="19">
        <f>A164</f>
        <v/>
      </c>
    </row>
    <row r="166">
      <c r="A166" s="143">
        <f>CONCATENATE(B165,C165,D165,E165,F165,G165,H165)</f>
        <v/>
      </c>
      <c r="C166" s="143" t="inlineStr">
        <is>
          <t>[</t>
        </is>
      </c>
      <c r="D166" s="130">
        <f>'Control Panel'!S12</f>
        <v/>
      </c>
      <c r="E166" s="143" t="inlineStr">
        <is>
          <t>,</t>
        </is>
      </c>
      <c r="F166" s="143">
        <f>'Control Panel'!R4</f>
        <v/>
      </c>
      <c r="G166" s="143" t="inlineStr">
        <is>
          <t>]</t>
        </is>
      </c>
      <c r="H166" s="143" t="inlineStr">
        <is>
          <t>,</t>
        </is>
      </c>
      <c r="S166" s="19">
        <f>A165</f>
        <v/>
      </c>
    </row>
    <row r="167">
      <c r="A167" s="143">
        <f>CONCATENATE(B166,C166,D166,E166,F166,G166,H166)</f>
        <v/>
      </c>
      <c r="C167" s="143" t="inlineStr">
        <is>
          <t>[</t>
        </is>
      </c>
      <c r="D167" s="130">
        <f>'Control Panel'!T12</f>
        <v/>
      </c>
      <c r="E167" s="143" t="inlineStr">
        <is>
          <t>,</t>
        </is>
      </c>
      <c r="F167" s="143">
        <f>'Control Panel'!S4</f>
        <v/>
      </c>
      <c r="G167" s="143" t="inlineStr">
        <is>
          <t>]</t>
        </is>
      </c>
      <c r="H167" s="143" t="inlineStr">
        <is>
          <t>,</t>
        </is>
      </c>
      <c r="S167" s="19">
        <f>A166</f>
        <v/>
      </c>
    </row>
    <row r="168">
      <c r="A168" s="143">
        <f>CONCATENATE(B167,C167,D167,E167,F167,G167,H167)</f>
        <v/>
      </c>
      <c r="C168" s="143" t="inlineStr">
        <is>
          <t>[</t>
        </is>
      </c>
      <c r="D168" s="130">
        <f>'Control Panel'!U12</f>
        <v/>
      </c>
      <c r="E168" s="143" t="inlineStr">
        <is>
          <t>,</t>
        </is>
      </c>
      <c r="F168" s="143">
        <f>'Control Panel'!T4</f>
        <v/>
      </c>
      <c r="G168" s="143" t="inlineStr">
        <is>
          <t>]</t>
        </is>
      </c>
      <c r="H168" s="143" t="inlineStr">
        <is>
          <t>,</t>
        </is>
      </c>
      <c r="S168" s="19">
        <f>A167</f>
        <v/>
      </c>
    </row>
    <row r="169">
      <c r="A169" s="143">
        <f>CONCATENATE(B168,C168,D168,E168,F168,G168,H168)</f>
        <v/>
      </c>
      <c r="C169" s="143" t="inlineStr">
        <is>
          <t>[</t>
        </is>
      </c>
      <c r="D169" s="143" t="n">
        <v>-1</v>
      </c>
      <c r="E169" s="143" t="inlineStr">
        <is>
          <t>,</t>
        </is>
      </c>
      <c r="F169" s="143">
        <f>'Control Panel'!Q4</f>
        <v/>
      </c>
      <c r="G169" s="143" t="inlineStr">
        <is>
          <t>]</t>
        </is>
      </c>
      <c r="H169" s="143" t="inlineStr">
        <is>
          <t>,</t>
        </is>
      </c>
      <c r="S169" s="19">
        <f>A168</f>
        <v/>
      </c>
    </row>
    <row r="170">
      <c r="A170" s="143">
        <f>CONCATENATE(B169,C169,D169,E169,F169,G169,H169)</f>
        <v/>
      </c>
      <c r="C170" s="143" t="inlineStr">
        <is>
          <t>[</t>
        </is>
      </c>
      <c r="D170" s="143" t="n">
        <v>-2</v>
      </c>
      <c r="E170" s="143" t="inlineStr">
        <is>
          <t>,</t>
        </is>
      </c>
      <c r="F170" s="143">
        <f>'Control Panel'!P4</f>
        <v/>
      </c>
      <c r="G170" s="143" t="inlineStr">
        <is>
          <t>]</t>
        </is>
      </c>
      <c r="H170" s="143" t="inlineStr">
        <is>
          <t>,</t>
        </is>
      </c>
      <c r="S170" s="19">
        <f>A169</f>
        <v/>
      </c>
    </row>
    <row r="171">
      <c r="A171" s="143">
        <f>CONCATENATE(B170,C170,D170,E170,F170,G170,H170)</f>
        <v/>
      </c>
      <c r="C171" s="143" t="inlineStr">
        <is>
          <t>[</t>
        </is>
      </c>
      <c r="D171" s="143" t="n">
        <v>-3</v>
      </c>
      <c r="E171" s="143" t="inlineStr">
        <is>
          <t>,</t>
        </is>
      </c>
      <c r="F171" s="143">
        <f>'Control Panel'!O4</f>
        <v/>
      </c>
      <c r="G171" s="143" t="inlineStr">
        <is>
          <t>]</t>
        </is>
      </c>
      <c r="H171" s="143" t="inlineStr">
        <is>
          <t>,</t>
        </is>
      </c>
      <c r="S171" s="19">
        <f>A170</f>
        <v/>
      </c>
    </row>
    <row r="172">
      <c r="A172" s="143">
        <f>CONCATENATE(B171,C171,D171,E171,F171,G171,H171)</f>
        <v/>
      </c>
      <c r="C172" s="143" t="inlineStr">
        <is>
          <t>[</t>
        </is>
      </c>
      <c r="D172" s="143" t="n">
        <v>-4</v>
      </c>
      <c r="E172" s="143" t="inlineStr">
        <is>
          <t>,</t>
        </is>
      </c>
      <c r="F172" s="143">
        <f>'Control Panel'!N4</f>
        <v/>
      </c>
      <c r="G172" s="143" t="inlineStr">
        <is>
          <t>]</t>
        </is>
      </c>
      <c r="H172" s="143" t="inlineStr">
        <is>
          <t>,</t>
        </is>
      </c>
      <c r="S172" s="19">
        <f>A171</f>
        <v/>
      </c>
    </row>
    <row r="173">
      <c r="A173" s="143">
        <f>CONCATENATE(B172,C172,D172,E172,F172,G172,H172)</f>
        <v/>
      </c>
      <c r="C173" s="143" t="inlineStr">
        <is>
          <t>[</t>
        </is>
      </c>
      <c r="D173" s="143" t="n">
        <v>-5</v>
      </c>
      <c r="E173" s="143" t="inlineStr">
        <is>
          <t>,</t>
        </is>
      </c>
      <c r="F173" s="143">
        <f>'Control Panel'!M4</f>
        <v/>
      </c>
      <c r="G173" s="143" t="inlineStr">
        <is>
          <t>]</t>
        </is>
      </c>
      <c r="H173" s="143" t="inlineStr">
        <is>
          <t>,</t>
        </is>
      </c>
      <c r="S173" s="19">
        <f>A172</f>
        <v/>
      </c>
    </row>
    <row r="174">
      <c r="A174" s="143">
        <f>CONCATENATE(B173,C173,D173,E173,F173,G173,H173)</f>
        <v/>
      </c>
      <c r="B174" s="143" t="inlineStr">
        <is>
          <t>];</t>
        </is>
      </c>
      <c r="S174" s="19">
        <f>A173</f>
        <v/>
      </c>
    </row>
    <row r="175">
      <c r="A175" s="143">
        <f>CONCATENATE(B174,C174,D174,E174,F174,G174,H174)</f>
        <v/>
      </c>
      <c r="B175" s="143" t="inlineStr">
        <is>
          <t>SymbolFixTable[3] =</t>
        </is>
      </c>
      <c r="S175" s="19">
        <f>A174</f>
        <v/>
      </c>
    </row>
    <row r="176">
      <c r="A176" s="143">
        <f>CONCATENATE(B175,C175,D175,E175,F175,G175,H175)</f>
        <v/>
      </c>
      <c r="B176" s="143" t="inlineStr">
        <is>
          <t>[</t>
        </is>
      </c>
      <c r="S176" s="19">
        <f>A175</f>
        <v/>
      </c>
    </row>
    <row r="177">
      <c r="A177" s="143">
        <f>CONCATENATE(B176,C176,D176,E176,F176,G176,H176)</f>
        <v/>
      </c>
      <c r="C177" s="143" t="inlineStr">
        <is>
          <t>[</t>
        </is>
      </c>
      <c r="D177" s="130">
        <f>'Control Panel'!S13</f>
        <v/>
      </c>
      <c r="E177" s="143" t="inlineStr">
        <is>
          <t>,</t>
        </is>
      </c>
      <c r="F177" s="143">
        <f>'Control Panel'!R4</f>
        <v/>
      </c>
      <c r="G177" s="143" t="inlineStr">
        <is>
          <t>]</t>
        </is>
      </c>
      <c r="H177" s="143" t="inlineStr">
        <is>
          <t>,</t>
        </is>
      </c>
      <c r="S177" s="19">
        <f>A176</f>
        <v/>
      </c>
    </row>
    <row r="178">
      <c r="A178" s="143">
        <f>CONCATENATE(B177,C177,D177,E177,F177,G177,H177)</f>
        <v/>
      </c>
      <c r="C178" s="143" t="inlineStr">
        <is>
          <t>[</t>
        </is>
      </c>
      <c r="D178" s="130">
        <f>'Control Panel'!T12</f>
        <v/>
      </c>
      <c r="E178" s="143" t="inlineStr">
        <is>
          <t>,</t>
        </is>
      </c>
      <c r="F178" s="143">
        <f>'Control Panel'!S4</f>
        <v/>
      </c>
      <c r="G178" s="143" t="inlineStr">
        <is>
          <t>]</t>
        </is>
      </c>
      <c r="H178" s="143" t="inlineStr">
        <is>
          <t>,</t>
        </is>
      </c>
      <c r="S178" s="19">
        <f>A177</f>
        <v/>
      </c>
    </row>
    <row r="179">
      <c r="A179" s="143">
        <f>CONCATENATE(B178,C178,D178,E178,F178,G178,H178)</f>
        <v/>
      </c>
      <c r="C179" s="143" t="inlineStr">
        <is>
          <t>[</t>
        </is>
      </c>
      <c r="D179" s="130">
        <f>'Control Panel'!U12</f>
        <v/>
      </c>
      <c r="E179" s="143" t="inlineStr">
        <is>
          <t>,</t>
        </is>
      </c>
      <c r="F179" s="143">
        <f>'Control Panel'!T4</f>
        <v/>
      </c>
      <c r="G179" s="143" t="inlineStr">
        <is>
          <t>]</t>
        </is>
      </c>
      <c r="H179" s="143" t="inlineStr">
        <is>
          <t>,</t>
        </is>
      </c>
      <c r="S179" s="19">
        <f>A178</f>
        <v/>
      </c>
    </row>
    <row r="180">
      <c r="A180" s="143">
        <f>CONCATENATE(B179,C179,D179,E179,F179,G179,H179)</f>
        <v/>
      </c>
      <c r="C180" s="143" t="inlineStr">
        <is>
          <t>[</t>
        </is>
      </c>
      <c r="D180" s="143" t="n">
        <v>-1</v>
      </c>
      <c r="E180" s="143" t="inlineStr">
        <is>
          <t>,</t>
        </is>
      </c>
      <c r="F180" s="143">
        <f>'Control Panel'!Q4</f>
        <v/>
      </c>
      <c r="G180" s="143" t="inlineStr">
        <is>
          <t>]</t>
        </is>
      </c>
      <c r="H180" s="143" t="inlineStr">
        <is>
          <t>,</t>
        </is>
      </c>
      <c r="S180" s="19">
        <f>A179</f>
        <v/>
      </c>
    </row>
    <row r="181">
      <c r="A181" s="143">
        <f>CONCATENATE(B180,C180,D180,E180,F180,G180,H180)</f>
        <v/>
      </c>
      <c r="C181" s="143" t="inlineStr">
        <is>
          <t>[</t>
        </is>
      </c>
      <c r="D181" s="143" t="n">
        <v>-2</v>
      </c>
      <c r="E181" s="143" t="inlineStr">
        <is>
          <t>,</t>
        </is>
      </c>
      <c r="F181" s="143">
        <f>'Control Panel'!P4</f>
        <v/>
      </c>
      <c r="G181" s="143" t="inlineStr">
        <is>
          <t>]</t>
        </is>
      </c>
      <c r="H181" s="143" t="inlineStr">
        <is>
          <t>,</t>
        </is>
      </c>
      <c r="S181" s="19">
        <f>A180</f>
        <v/>
      </c>
    </row>
    <row r="182">
      <c r="A182" s="143">
        <f>CONCATENATE(B181,C181,D181,E181,F181,G181,H181)</f>
        <v/>
      </c>
      <c r="C182" s="143" t="inlineStr">
        <is>
          <t>[</t>
        </is>
      </c>
      <c r="D182" s="143" t="n">
        <v>-3</v>
      </c>
      <c r="E182" s="143" t="inlineStr">
        <is>
          <t>,</t>
        </is>
      </c>
      <c r="F182" s="143">
        <f>'Control Panel'!O4</f>
        <v/>
      </c>
      <c r="G182" s="143" t="inlineStr">
        <is>
          <t>]</t>
        </is>
      </c>
      <c r="H182" s="143" t="inlineStr">
        <is>
          <t>,</t>
        </is>
      </c>
      <c r="S182" s="19">
        <f>A181</f>
        <v/>
      </c>
    </row>
    <row r="183">
      <c r="A183" s="143">
        <f>CONCATENATE(B182,C182,D182,E182,F182,G182,H182)</f>
        <v/>
      </c>
      <c r="C183" s="143" t="inlineStr">
        <is>
          <t>[</t>
        </is>
      </c>
      <c r="D183" s="143" t="n">
        <v>-4</v>
      </c>
      <c r="E183" s="143" t="inlineStr">
        <is>
          <t>,</t>
        </is>
      </c>
      <c r="F183" s="143">
        <f>'Control Panel'!N4</f>
        <v/>
      </c>
      <c r="G183" s="143" t="inlineStr">
        <is>
          <t>]</t>
        </is>
      </c>
      <c r="H183" s="143" t="inlineStr">
        <is>
          <t>,</t>
        </is>
      </c>
      <c r="S183" s="19">
        <f>A182</f>
        <v/>
      </c>
    </row>
    <row r="184">
      <c r="A184" s="143">
        <f>CONCATENATE(B183,C183,D183,E183,F183,G183,H183)</f>
        <v/>
      </c>
      <c r="C184" s="143" t="inlineStr">
        <is>
          <t>[</t>
        </is>
      </c>
      <c r="D184" s="143" t="n">
        <v>-5</v>
      </c>
      <c r="E184" s="143" t="inlineStr">
        <is>
          <t>,</t>
        </is>
      </c>
      <c r="F184" s="143">
        <f>'Control Panel'!M4</f>
        <v/>
      </c>
      <c r="G184" s="143" t="inlineStr">
        <is>
          <t>]</t>
        </is>
      </c>
      <c r="H184" s="143" t="inlineStr">
        <is>
          <t>,</t>
        </is>
      </c>
      <c r="S184" s="19">
        <f>A183</f>
        <v/>
      </c>
    </row>
    <row r="185">
      <c r="A185" s="143">
        <f>CONCATENATE(B184,C184,D184,E184,F184,G184,H184)</f>
        <v/>
      </c>
      <c r="B185" s="143" t="inlineStr">
        <is>
          <t>];</t>
        </is>
      </c>
      <c r="S185" s="19">
        <f>A184</f>
        <v/>
      </c>
    </row>
    <row r="186">
      <c r="A186" s="143">
        <f>CONCATENATE(B185,C185,D185,E185,F185,G185,H185)</f>
        <v/>
      </c>
      <c r="B186" s="143" t="inlineStr">
        <is>
          <t>SymbolFixTable[4] =</t>
        </is>
      </c>
      <c r="S186" s="19">
        <f>A185</f>
        <v/>
      </c>
    </row>
    <row r="187">
      <c r="A187" s="143">
        <f>CONCATENATE(B186,C186,D186,E186,F186,G186,H186)</f>
        <v/>
      </c>
      <c r="B187" s="143" t="inlineStr">
        <is>
          <t>[</t>
        </is>
      </c>
      <c r="S187" s="19">
        <f>A186</f>
        <v/>
      </c>
    </row>
    <row r="188">
      <c r="A188" s="143">
        <f>CONCATENATE(B187,C187,D187,E187,F187,G187,H187)</f>
        <v/>
      </c>
      <c r="C188" s="143" t="inlineStr">
        <is>
          <t>[</t>
        </is>
      </c>
      <c r="D188" s="130">
        <f>'Control Panel'!S14</f>
        <v/>
      </c>
      <c r="E188" s="143" t="inlineStr">
        <is>
          <t>,</t>
        </is>
      </c>
      <c r="F188" s="143">
        <f>'Control Panel'!R4</f>
        <v/>
      </c>
      <c r="G188" s="143" t="inlineStr">
        <is>
          <t>]</t>
        </is>
      </c>
      <c r="H188" s="143" t="inlineStr">
        <is>
          <t>,</t>
        </is>
      </c>
      <c r="S188" s="19">
        <f>A187</f>
        <v/>
      </c>
    </row>
    <row r="189">
      <c r="A189" s="143">
        <f>CONCATENATE(B188,C188,D188,E188,F188,G188,H188)</f>
        <v/>
      </c>
      <c r="C189" s="143" t="inlineStr">
        <is>
          <t>[</t>
        </is>
      </c>
      <c r="D189" s="130">
        <f>'Control Panel'!T14</f>
        <v/>
      </c>
      <c r="E189" s="143" t="inlineStr">
        <is>
          <t>,</t>
        </is>
      </c>
      <c r="F189" s="143">
        <f>'Control Panel'!S4</f>
        <v/>
      </c>
      <c r="G189" s="143" t="inlineStr">
        <is>
          <t>]</t>
        </is>
      </c>
      <c r="H189" s="143" t="inlineStr">
        <is>
          <t>,</t>
        </is>
      </c>
      <c r="S189" s="19">
        <f>A188</f>
        <v/>
      </c>
    </row>
    <row r="190">
      <c r="A190" s="143">
        <f>CONCATENATE(B189,C189,D189,E189,F189,G189,H189)</f>
        <v/>
      </c>
      <c r="C190" s="143" t="inlineStr">
        <is>
          <t>[</t>
        </is>
      </c>
      <c r="D190" s="130">
        <f>'Control Panel'!U14</f>
        <v/>
      </c>
      <c r="E190" s="143" t="inlineStr">
        <is>
          <t>,</t>
        </is>
      </c>
      <c r="F190" s="143">
        <f>'Control Panel'!T4</f>
        <v/>
      </c>
      <c r="G190" s="143" t="inlineStr">
        <is>
          <t>]</t>
        </is>
      </c>
      <c r="H190" s="143" t="inlineStr">
        <is>
          <t>,</t>
        </is>
      </c>
      <c r="S190" s="19">
        <f>A189</f>
        <v/>
      </c>
    </row>
    <row r="191">
      <c r="A191" s="143">
        <f>CONCATENATE(B190,C190,D190,E190,F190,G190,H190)</f>
        <v/>
      </c>
      <c r="C191" s="143" t="inlineStr">
        <is>
          <t>[</t>
        </is>
      </c>
      <c r="D191" s="143" t="n">
        <v>-1</v>
      </c>
      <c r="E191" s="143" t="inlineStr">
        <is>
          <t>,</t>
        </is>
      </c>
      <c r="F191" s="143">
        <f>'Control Panel'!Q4</f>
        <v/>
      </c>
      <c r="G191" s="143" t="inlineStr">
        <is>
          <t>]</t>
        </is>
      </c>
      <c r="H191" s="143" t="inlineStr">
        <is>
          <t>,</t>
        </is>
      </c>
      <c r="S191" s="19">
        <f>A190</f>
        <v/>
      </c>
    </row>
    <row r="192">
      <c r="A192" s="143">
        <f>CONCATENATE(B191,C191,D191,E191,F191,G191,H191)</f>
        <v/>
      </c>
      <c r="C192" s="143" t="inlineStr">
        <is>
          <t>[</t>
        </is>
      </c>
      <c r="D192" s="143" t="n">
        <v>-2</v>
      </c>
      <c r="E192" s="143" t="inlineStr">
        <is>
          <t>,</t>
        </is>
      </c>
      <c r="F192" s="143">
        <f>'Control Panel'!P4</f>
        <v/>
      </c>
      <c r="G192" s="143" t="inlineStr">
        <is>
          <t>]</t>
        </is>
      </c>
      <c r="H192" s="143" t="inlineStr">
        <is>
          <t>,</t>
        </is>
      </c>
      <c r="S192" s="19">
        <f>A191</f>
        <v/>
      </c>
    </row>
    <row r="193">
      <c r="A193" s="143">
        <f>CONCATENATE(B192,C192,D192,E192,F192,G192,H192)</f>
        <v/>
      </c>
      <c r="C193" s="143" t="inlineStr">
        <is>
          <t>[</t>
        </is>
      </c>
      <c r="D193" s="143" t="n">
        <v>-3</v>
      </c>
      <c r="E193" s="143" t="inlineStr">
        <is>
          <t>,</t>
        </is>
      </c>
      <c r="F193" s="143">
        <f>'Control Panel'!O4</f>
        <v/>
      </c>
      <c r="G193" s="143" t="inlineStr">
        <is>
          <t>]</t>
        </is>
      </c>
      <c r="H193" s="143" t="inlineStr">
        <is>
          <t>,</t>
        </is>
      </c>
      <c r="S193" s="19">
        <f>A192</f>
        <v/>
      </c>
    </row>
    <row r="194">
      <c r="A194" s="143">
        <f>CONCATENATE(B193,C193,D193,E193,F193,G193,H193)</f>
        <v/>
      </c>
      <c r="C194" s="143" t="inlineStr">
        <is>
          <t>[</t>
        </is>
      </c>
      <c r="D194" s="143" t="n">
        <v>-4</v>
      </c>
      <c r="E194" s="143" t="inlineStr">
        <is>
          <t>,</t>
        </is>
      </c>
      <c r="F194" s="143">
        <f>'Control Panel'!N4</f>
        <v/>
      </c>
      <c r="G194" s="143" t="inlineStr">
        <is>
          <t>]</t>
        </is>
      </c>
      <c r="H194" s="143" t="inlineStr">
        <is>
          <t>,</t>
        </is>
      </c>
      <c r="S194" s="19">
        <f>A193</f>
        <v/>
      </c>
    </row>
    <row r="195">
      <c r="A195" s="143">
        <f>CONCATENATE(B194,C194,D194,E194,F194,G194,H194)</f>
        <v/>
      </c>
      <c r="C195" s="143" t="inlineStr">
        <is>
          <t>[</t>
        </is>
      </c>
      <c r="D195" s="143" t="n">
        <v>-5</v>
      </c>
      <c r="E195" s="143" t="inlineStr">
        <is>
          <t>,</t>
        </is>
      </c>
      <c r="F195" s="143">
        <f>'Control Panel'!M4</f>
        <v/>
      </c>
      <c r="G195" s="143" t="inlineStr">
        <is>
          <t>]</t>
        </is>
      </c>
      <c r="H195" s="143" t="inlineStr">
        <is>
          <t>,</t>
        </is>
      </c>
      <c r="S195" s="19">
        <f>A194</f>
        <v/>
      </c>
    </row>
    <row r="196">
      <c r="A196" s="143">
        <f>CONCATENATE(B195,C195,D195,E195,F195,G195,H195)</f>
        <v/>
      </c>
      <c r="B196" s="143" t="inlineStr">
        <is>
          <t>];</t>
        </is>
      </c>
      <c r="S196" s="19">
        <f>A195</f>
        <v/>
      </c>
    </row>
    <row r="197">
      <c r="A197" s="143">
        <f>CONCATENATE(B196,C196,D196,E196,F196,G196,H196)</f>
        <v/>
      </c>
      <c r="B197" s="143" t="inlineStr">
        <is>
          <t>SymbolFixTable[5] =</t>
        </is>
      </c>
      <c r="S197" s="19">
        <f>A196</f>
        <v/>
      </c>
    </row>
    <row r="198">
      <c r="A198" s="143">
        <f>CONCATENATE(B197,C197,D197,E197,F197,G197,H197)</f>
        <v/>
      </c>
      <c r="B198" s="143" t="inlineStr">
        <is>
          <t>[</t>
        </is>
      </c>
      <c r="S198" s="19">
        <f>A197</f>
        <v/>
      </c>
    </row>
    <row r="199">
      <c r="A199" s="143">
        <f>CONCATENATE(B198,C198,D198,E198,F198,G198,H198)</f>
        <v/>
      </c>
      <c r="C199" s="143" t="inlineStr">
        <is>
          <t>[</t>
        </is>
      </c>
      <c r="D199" s="130">
        <f>'Control Panel'!S15</f>
        <v/>
      </c>
      <c r="E199" s="143" t="inlineStr">
        <is>
          <t>,</t>
        </is>
      </c>
      <c r="F199" s="143">
        <f>'Control Panel'!R4</f>
        <v/>
      </c>
      <c r="G199" s="143" t="inlineStr">
        <is>
          <t>]</t>
        </is>
      </c>
      <c r="H199" s="143" t="inlineStr">
        <is>
          <t>,</t>
        </is>
      </c>
      <c r="S199" s="19">
        <f>A198</f>
        <v/>
      </c>
    </row>
    <row r="200">
      <c r="A200" s="143">
        <f>CONCATENATE(B199,C199,D199,E199,F199,G199,H199)</f>
        <v/>
      </c>
      <c r="C200" s="143" t="inlineStr">
        <is>
          <t>[</t>
        </is>
      </c>
      <c r="D200" s="130">
        <f>'Control Panel'!T15</f>
        <v/>
      </c>
      <c r="E200" s="143" t="inlineStr">
        <is>
          <t>,</t>
        </is>
      </c>
      <c r="F200" s="143">
        <f>'Control Panel'!S4</f>
        <v/>
      </c>
      <c r="G200" s="143" t="inlineStr">
        <is>
          <t>]</t>
        </is>
      </c>
      <c r="H200" s="143" t="inlineStr">
        <is>
          <t>,</t>
        </is>
      </c>
      <c r="S200" s="19">
        <f>A199</f>
        <v/>
      </c>
    </row>
    <row r="201">
      <c r="A201" s="143">
        <f>CONCATENATE(B200,C200,D200,E200,F200,G200,H200)</f>
        <v/>
      </c>
      <c r="C201" s="143" t="inlineStr">
        <is>
          <t>[</t>
        </is>
      </c>
      <c r="D201" s="130">
        <f>'Control Panel'!U15</f>
        <v/>
      </c>
      <c r="E201" s="143" t="inlineStr">
        <is>
          <t>,</t>
        </is>
      </c>
      <c r="F201" s="143">
        <f>'Control Panel'!T4</f>
        <v/>
      </c>
      <c r="G201" s="143" t="inlineStr">
        <is>
          <t>]</t>
        </is>
      </c>
      <c r="H201" s="143" t="inlineStr">
        <is>
          <t>,</t>
        </is>
      </c>
      <c r="S201" s="19">
        <f>A200</f>
        <v/>
      </c>
    </row>
    <row r="202">
      <c r="A202" s="143">
        <f>CONCATENATE(B201,C201,D201,E201,F201,G201,H201)</f>
        <v/>
      </c>
      <c r="C202" s="143" t="inlineStr">
        <is>
          <t>[</t>
        </is>
      </c>
      <c r="D202" s="143" t="n">
        <v>-1</v>
      </c>
      <c r="E202" s="143" t="inlineStr">
        <is>
          <t>,</t>
        </is>
      </c>
      <c r="F202" s="143">
        <f>'Control Panel'!Q4</f>
        <v/>
      </c>
      <c r="G202" s="143" t="inlineStr">
        <is>
          <t>]</t>
        </is>
      </c>
      <c r="H202" s="143" t="inlineStr">
        <is>
          <t>,</t>
        </is>
      </c>
      <c r="S202" s="19">
        <f>A201</f>
        <v/>
      </c>
    </row>
    <row r="203">
      <c r="A203" s="143">
        <f>CONCATENATE(B202,C202,D202,E202,F202,G202,H202)</f>
        <v/>
      </c>
      <c r="C203" s="143" t="inlineStr">
        <is>
          <t>[</t>
        </is>
      </c>
      <c r="D203" s="143" t="n">
        <v>-2</v>
      </c>
      <c r="E203" s="143" t="inlineStr">
        <is>
          <t>,</t>
        </is>
      </c>
      <c r="F203" s="143">
        <f>'Control Panel'!P4</f>
        <v/>
      </c>
      <c r="G203" s="143" t="inlineStr">
        <is>
          <t>]</t>
        </is>
      </c>
      <c r="H203" s="143" t="inlineStr">
        <is>
          <t>,</t>
        </is>
      </c>
      <c r="S203" s="19">
        <f>A202</f>
        <v/>
      </c>
    </row>
    <row r="204">
      <c r="A204" s="143">
        <f>CONCATENATE(B203,C203,D203,E203,F203,G203,H203)</f>
        <v/>
      </c>
      <c r="C204" s="143" t="inlineStr">
        <is>
          <t>[</t>
        </is>
      </c>
      <c r="D204" s="143" t="n">
        <v>-3</v>
      </c>
      <c r="E204" s="143" t="inlineStr">
        <is>
          <t>,</t>
        </is>
      </c>
      <c r="F204" s="143">
        <f>'Control Panel'!O4</f>
        <v/>
      </c>
      <c r="G204" s="143" t="inlineStr">
        <is>
          <t>]</t>
        </is>
      </c>
      <c r="H204" s="143" t="inlineStr">
        <is>
          <t>,</t>
        </is>
      </c>
      <c r="S204" s="19">
        <f>A203</f>
        <v/>
      </c>
    </row>
    <row r="205">
      <c r="A205" s="143">
        <f>CONCATENATE(B204,C204,D204,E204,F204,G204,H204)</f>
        <v/>
      </c>
      <c r="C205" s="143" t="inlineStr">
        <is>
          <t>[</t>
        </is>
      </c>
      <c r="D205" s="143" t="n">
        <v>-4</v>
      </c>
      <c r="E205" s="143" t="inlineStr">
        <is>
          <t>,</t>
        </is>
      </c>
      <c r="F205" s="143">
        <f>'Control Panel'!N4</f>
        <v/>
      </c>
      <c r="G205" s="143" t="inlineStr">
        <is>
          <t>]</t>
        </is>
      </c>
      <c r="H205" s="143" t="inlineStr">
        <is>
          <t>,</t>
        </is>
      </c>
      <c r="S205" s="19">
        <f>A204</f>
        <v/>
      </c>
    </row>
    <row r="206">
      <c r="A206" s="143">
        <f>CONCATENATE(B205,C205,D205,E205,F205,G205,H205)</f>
        <v/>
      </c>
      <c r="C206" s="143" t="inlineStr">
        <is>
          <t>[</t>
        </is>
      </c>
      <c r="D206" s="143" t="n">
        <v>-5</v>
      </c>
      <c r="E206" s="143" t="inlineStr">
        <is>
          <t>,</t>
        </is>
      </c>
      <c r="F206" s="143">
        <f>'Control Panel'!M4</f>
        <v/>
      </c>
      <c r="G206" s="143" t="inlineStr">
        <is>
          <t>]</t>
        </is>
      </c>
      <c r="H206" s="143" t="inlineStr">
        <is>
          <t>,</t>
        </is>
      </c>
      <c r="S206" s="19">
        <f>A205</f>
        <v/>
      </c>
    </row>
    <row r="207">
      <c r="A207" s="143">
        <f>CONCATENATE(B206,C206,D206,E206,F206,G206,H206)</f>
        <v/>
      </c>
      <c r="B207" s="143" t="inlineStr">
        <is>
          <t>];</t>
        </is>
      </c>
      <c r="S207" s="19">
        <f>A206</f>
        <v/>
      </c>
    </row>
    <row r="208">
      <c r="A208" s="143">
        <f>CONCATENATE(B207,C207,D207,E207,F207,G207,H207)</f>
        <v/>
      </c>
      <c r="B208" s="143" t="inlineStr">
        <is>
          <t>SymbolFixTable[6] =</t>
        </is>
      </c>
      <c r="S208" s="19">
        <f>A207</f>
        <v/>
      </c>
    </row>
    <row r="209">
      <c r="A209" s="143">
        <f>CONCATENATE(B208,C208,D208,E208,F208,G208,H208)</f>
        <v/>
      </c>
      <c r="B209" s="143" t="inlineStr">
        <is>
          <t>[</t>
        </is>
      </c>
      <c r="S209" s="19">
        <f>A208</f>
        <v/>
      </c>
    </row>
    <row r="210">
      <c r="A210" s="143">
        <f>CONCATENATE(B209,C209,D209,E209,F209,G209,H209)</f>
        <v/>
      </c>
      <c r="C210" s="143" t="inlineStr">
        <is>
          <t>[</t>
        </is>
      </c>
      <c r="D210" s="130">
        <f>'Control Panel'!S16</f>
        <v/>
      </c>
      <c r="E210" s="143" t="inlineStr">
        <is>
          <t>,</t>
        </is>
      </c>
      <c r="F210" s="143">
        <f>'Control Panel'!R4</f>
        <v/>
      </c>
      <c r="G210" s="143" t="inlineStr">
        <is>
          <t>]</t>
        </is>
      </c>
      <c r="H210" s="143" t="inlineStr">
        <is>
          <t>,</t>
        </is>
      </c>
      <c r="S210" s="19">
        <f>A209</f>
        <v/>
      </c>
    </row>
    <row r="211">
      <c r="A211" s="143">
        <f>CONCATENATE(B210,C210,D210,E210,F210,G210,H210)</f>
        <v/>
      </c>
      <c r="C211" s="143" t="inlineStr">
        <is>
          <t>[</t>
        </is>
      </c>
      <c r="D211" s="130">
        <f>'Control Panel'!T16</f>
        <v/>
      </c>
      <c r="E211" s="143" t="inlineStr">
        <is>
          <t>,</t>
        </is>
      </c>
      <c r="F211" s="143">
        <f>'Control Panel'!S4</f>
        <v/>
      </c>
      <c r="G211" s="143" t="inlineStr">
        <is>
          <t>]</t>
        </is>
      </c>
      <c r="H211" s="143" t="inlineStr">
        <is>
          <t>,</t>
        </is>
      </c>
      <c r="S211" s="19">
        <f>A210</f>
        <v/>
      </c>
    </row>
    <row r="212">
      <c r="A212" s="143">
        <f>CONCATENATE(B211,C211,D211,E211,F211,G211,H211)</f>
        <v/>
      </c>
      <c r="C212" s="143" t="inlineStr">
        <is>
          <t>[</t>
        </is>
      </c>
      <c r="D212" s="130">
        <f>'Control Panel'!U16</f>
        <v/>
      </c>
      <c r="E212" s="143" t="inlineStr">
        <is>
          <t>,</t>
        </is>
      </c>
      <c r="F212" s="143">
        <f>'Control Panel'!T4</f>
        <v/>
      </c>
      <c r="G212" s="143" t="inlineStr">
        <is>
          <t>]</t>
        </is>
      </c>
      <c r="H212" s="143" t="inlineStr">
        <is>
          <t>,</t>
        </is>
      </c>
      <c r="S212" s="19">
        <f>A211</f>
        <v/>
      </c>
    </row>
    <row r="213">
      <c r="A213" s="143">
        <f>CONCATENATE(B212,C212,D212,E212,F212,G212,H212)</f>
        <v/>
      </c>
      <c r="C213" s="143" t="inlineStr">
        <is>
          <t>[</t>
        </is>
      </c>
      <c r="D213" s="143" t="n">
        <v>-1</v>
      </c>
      <c r="E213" s="143" t="inlineStr">
        <is>
          <t>,</t>
        </is>
      </c>
      <c r="F213" s="143">
        <f>'Control Panel'!Q4</f>
        <v/>
      </c>
      <c r="G213" s="143" t="inlineStr">
        <is>
          <t>]</t>
        </is>
      </c>
      <c r="H213" s="143" t="inlineStr">
        <is>
          <t>,</t>
        </is>
      </c>
      <c r="S213" s="19">
        <f>A212</f>
        <v/>
      </c>
    </row>
    <row r="214">
      <c r="A214" s="143">
        <f>CONCATENATE(B213,C213,D213,E213,F213,G213,H213)</f>
        <v/>
      </c>
      <c r="C214" s="143" t="inlineStr">
        <is>
          <t>[</t>
        </is>
      </c>
      <c r="D214" s="143" t="n">
        <v>-2</v>
      </c>
      <c r="E214" s="143" t="inlineStr">
        <is>
          <t>,</t>
        </is>
      </c>
      <c r="F214" s="143">
        <f>'Control Panel'!P4</f>
        <v/>
      </c>
      <c r="G214" s="143" t="inlineStr">
        <is>
          <t>]</t>
        </is>
      </c>
      <c r="H214" s="143" t="inlineStr">
        <is>
          <t>,</t>
        </is>
      </c>
      <c r="S214" s="19">
        <f>A213</f>
        <v/>
      </c>
    </row>
    <row r="215">
      <c r="A215" s="143">
        <f>CONCATENATE(B214,C214,D214,E214,F214,G214,H214)</f>
        <v/>
      </c>
      <c r="C215" s="143" t="inlineStr">
        <is>
          <t>[</t>
        </is>
      </c>
      <c r="D215" s="143" t="n">
        <v>-3</v>
      </c>
      <c r="E215" s="143" t="inlineStr">
        <is>
          <t>,</t>
        </is>
      </c>
      <c r="F215" s="143">
        <f>'Control Panel'!O4</f>
        <v/>
      </c>
      <c r="G215" s="143" t="inlineStr">
        <is>
          <t>]</t>
        </is>
      </c>
      <c r="H215" s="143" t="inlineStr">
        <is>
          <t>,</t>
        </is>
      </c>
      <c r="S215" s="19">
        <f>A214</f>
        <v/>
      </c>
    </row>
    <row r="216">
      <c r="A216" s="143">
        <f>CONCATENATE(B215,C215,D215,E215,F215,G215,H215)</f>
        <v/>
      </c>
      <c r="C216" s="143" t="inlineStr">
        <is>
          <t>[</t>
        </is>
      </c>
      <c r="D216" s="143" t="n">
        <v>-4</v>
      </c>
      <c r="E216" s="143" t="inlineStr">
        <is>
          <t>,</t>
        </is>
      </c>
      <c r="F216" s="143">
        <f>'Control Panel'!N4</f>
        <v/>
      </c>
      <c r="G216" s="143" t="inlineStr">
        <is>
          <t>]</t>
        </is>
      </c>
      <c r="H216" s="143" t="inlineStr">
        <is>
          <t>,</t>
        </is>
      </c>
      <c r="S216" s="19">
        <f>A215</f>
        <v/>
      </c>
    </row>
    <row r="217">
      <c r="A217" s="143">
        <f>CONCATENATE(B216,C216,D216,E216,F216,G216,H216)</f>
        <v/>
      </c>
      <c r="C217" s="143" t="inlineStr">
        <is>
          <t>[</t>
        </is>
      </c>
      <c r="D217" s="143" t="n">
        <v>-5</v>
      </c>
      <c r="E217" s="143" t="inlineStr">
        <is>
          <t>,</t>
        </is>
      </c>
      <c r="F217" s="143">
        <f>'Control Panel'!M4</f>
        <v/>
      </c>
      <c r="G217" s="143" t="inlineStr">
        <is>
          <t>]</t>
        </is>
      </c>
      <c r="H217" s="143" t="inlineStr">
        <is>
          <t>,</t>
        </is>
      </c>
      <c r="S217" s="19">
        <f>A216</f>
        <v/>
      </c>
    </row>
    <row r="218">
      <c r="A218" s="143">
        <f>CONCATENATE(B217,C217,D217,E217,F217,G217,H217)</f>
        <v/>
      </c>
      <c r="B218" s="143" t="inlineStr">
        <is>
          <t>];</t>
        </is>
      </c>
      <c r="S218" s="19">
        <f>A217</f>
        <v/>
      </c>
    </row>
    <row r="219">
      <c r="A219" s="143">
        <f>CONCATENATE(B218,C218,D218,E218,F218,G218,H218)</f>
        <v/>
      </c>
      <c r="B219" s="143" t="inlineStr">
        <is>
          <t>SymbolFixTable[7] =</t>
        </is>
      </c>
      <c r="S219" s="19">
        <f>A218</f>
        <v/>
      </c>
    </row>
    <row r="220">
      <c r="A220" s="143">
        <f>CONCATENATE(B219,C219,D219,E219,F219,G219,H219)</f>
        <v/>
      </c>
      <c r="B220" s="143" t="inlineStr">
        <is>
          <t>[</t>
        </is>
      </c>
      <c r="S220" s="19">
        <f>A219</f>
        <v/>
      </c>
    </row>
    <row r="221">
      <c r="A221" s="143">
        <f>CONCATENATE(B220,C220,D220,E220,F220,G220,H220)</f>
        <v/>
      </c>
      <c r="C221" s="143" t="inlineStr">
        <is>
          <t>[</t>
        </is>
      </c>
      <c r="D221" s="130">
        <f>'Control Panel'!S17</f>
        <v/>
      </c>
      <c r="E221" s="143" t="inlineStr">
        <is>
          <t>,</t>
        </is>
      </c>
      <c r="F221" s="143">
        <f>'Control Panel'!R4</f>
        <v/>
      </c>
      <c r="G221" s="143" t="inlineStr">
        <is>
          <t>]</t>
        </is>
      </c>
      <c r="H221" s="143" t="inlineStr">
        <is>
          <t>,</t>
        </is>
      </c>
      <c r="S221" s="19">
        <f>A220</f>
        <v/>
      </c>
    </row>
    <row r="222">
      <c r="A222" s="143">
        <f>CONCATENATE(B221,C221,D221,E221,F221,G221,H221)</f>
        <v/>
      </c>
      <c r="C222" s="143" t="inlineStr">
        <is>
          <t>[</t>
        </is>
      </c>
      <c r="D222" s="130">
        <f>'Control Panel'!T17</f>
        <v/>
      </c>
      <c r="E222" s="143" t="inlineStr">
        <is>
          <t>,</t>
        </is>
      </c>
      <c r="F222" s="143">
        <f>'Control Panel'!S4</f>
        <v/>
      </c>
      <c r="G222" s="143" t="inlineStr">
        <is>
          <t>]</t>
        </is>
      </c>
      <c r="H222" s="143" t="inlineStr">
        <is>
          <t>,</t>
        </is>
      </c>
      <c r="S222" s="19">
        <f>A221</f>
        <v/>
      </c>
    </row>
    <row r="223">
      <c r="A223" s="143">
        <f>CONCATENATE(B222,C222,D222,E222,F222,G222,H222)</f>
        <v/>
      </c>
      <c r="C223" s="143" t="inlineStr">
        <is>
          <t>[</t>
        </is>
      </c>
      <c r="D223" s="130">
        <f>'Control Panel'!U17</f>
        <v/>
      </c>
      <c r="E223" s="143" t="inlineStr">
        <is>
          <t>,</t>
        </is>
      </c>
      <c r="F223" s="143">
        <f>'Control Panel'!T4</f>
        <v/>
      </c>
      <c r="G223" s="143" t="inlineStr">
        <is>
          <t>]</t>
        </is>
      </c>
      <c r="H223" s="143" t="inlineStr">
        <is>
          <t>,</t>
        </is>
      </c>
      <c r="S223" s="19">
        <f>A222</f>
        <v/>
      </c>
    </row>
    <row r="224">
      <c r="A224" s="143">
        <f>CONCATENATE(B223,C223,D223,E223,F223,G223,H223)</f>
        <v/>
      </c>
      <c r="C224" s="143" t="inlineStr">
        <is>
          <t>[</t>
        </is>
      </c>
      <c r="D224" s="143" t="n">
        <v>-1</v>
      </c>
      <c r="E224" s="143" t="inlineStr">
        <is>
          <t>,</t>
        </is>
      </c>
      <c r="F224" s="143">
        <f>'Control Panel'!Q4</f>
        <v/>
      </c>
      <c r="G224" s="143" t="inlineStr">
        <is>
          <t>]</t>
        </is>
      </c>
      <c r="H224" s="143" t="inlineStr">
        <is>
          <t>,</t>
        </is>
      </c>
      <c r="S224" s="19">
        <f>A223</f>
        <v/>
      </c>
    </row>
    <row r="225">
      <c r="A225" s="143">
        <f>CONCATENATE(B224,C224,D224,E224,F224,G224,H224)</f>
        <v/>
      </c>
      <c r="C225" s="143" t="inlineStr">
        <is>
          <t>[</t>
        </is>
      </c>
      <c r="D225" s="143" t="n">
        <v>-2</v>
      </c>
      <c r="E225" s="143" t="inlineStr">
        <is>
          <t>,</t>
        </is>
      </c>
      <c r="F225" s="143">
        <f>'Control Panel'!P4</f>
        <v/>
      </c>
      <c r="G225" s="143" t="inlineStr">
        <is>
          <t>]</t>
        </is>
      </c>
      <c r="H225" s="143" t="inlineStr">
        <is>
          <t>,</t>
        </is>
      </c>
      <c r="S225" s="19">
        <f>A224</f>
        <v/>
      </c>
    </row>
    <row r="226">
      <c r="A226" s="143">
        <f>CONCATENATE(B225,C225,D225,E225,F225,G225,H225)</f>
        <v/>
      </c>
      <c r="C226" s="143" t="inlineStr">
        <is>
          <t>[</t>
        </is>
      </c>
      <c r="D226" s="143" t="n">
        <v>-3</v>
      </c>
      <c r="E226" s="143" t="inlineStr">
        <is>
          <t>,</t>
        </is>
      </c>
      <c r="F226" s="143">
        <f>'Control Panel'!O4</f>
        <v/>
      </c>
      <c r="G226" s="143" t="inlineStr">
        <is>
          <t>]</t>
        </is>
      </c>
      <c r="H226" s="143" t="inlineStr">
        <is>
          <t>,</t>
        </is>
      </c>
      <c r="S226" s="19">
        <f>A225</f>
        <v/>
      </c>
    </row>
    <row r="227">
      <c r="A227" s="143">
        <f>CONCATENATE(B226,C226,D226,E226,F226,G226,H226)</f>
        <v/>
      </c>
      <c r="C227" s="143" t="inlineStr">
        <is>
          <t>[</t>
        </is>
      </c>
      <c r="D227" s="143" t="n">
        <v>-4</v>
      </c>
      <c r="E227" s="143" t="inlineStr">
        <is>
          <t>,</t>
        </is>
      </c>
      <c r="F227" s="143">
        <f>'Control Panel'!N4</f>
        <v/>
      </c>
      <c r="G227" s="143" t="inlineStr">
        <is>
          <t>]</t>
        </is>
      </c>
      <c r="H227" s="143" t="inlineStr">
        <is>
          <t>,</t>
        </is>
      </c>
      <c r="S227" s="19">
        <f>A226</f>
        <v/>
      </c>
    </row>
    <row r="228">
      <c r="A228" s="143">
        <f>CONCATENATE(B227,C227,D227,E227,F227,G227,H227)</f>
        <v/>
      </c>
      <c r="C228" s="143" t="inlineStr">
        <is>
          <t>[</t>
        </is>
      </c>
      <c r="D228" s="143" t="n">
        <v>-5</v>
      </c>
      <c r="E228" s="143" t="inlineStr">
        <is>
          <t>,</t>
        </is>
      </c>
      <c r="F228" s="143">
        <f>'Control Panel'!M4</f>
        <v/>
      </c>
      <c r="G228" s="143" t="inlineStr">
        <is>
          <t>]</t>
        </is>
      </c>
      <c r="H228" s="143" t="inlineStr">
        <is>
          <t>,</t>
        </is>
      </c>
      <c r="S228" s="19">
        <f>A227</f>
        <v/>
      </c>
    </row>
    <row r="229">
      <c r="A229" s="143">
        <f>CONCATENATE(B228,C228,D228,E228,F228,G228,H228)</f>
        <v/>
      </c>
      <c r="B229" s="143" t="inlineStr">
        <is>
          <t>];</t>
        </is>
      </c>
      <c r="S229" s="19">
        <f>A228</f>
        <v/>
      </c>
    </row>
    <row r="230">
      <c r="S230" s="19" t="n"/>
    </row>
    <row r="231">
      <c r="A231" s="143" t="inlineStr">
        <is>
          <t>Bingo Level by Position Settings</t>
        </is>
      </c>
      <c r="S231" s="19" t="n"/>
    </row>
    <row r="232">
      <c r="S232" s="19" t="n"/>
    </row>
    <row r="233">
      <c r="A233" s="143" t="inlineStr">
        <is>
          <t>var SymbolFixTable_Max = [10000, 10000, 10000, 10000, 10000, 10000, 10000, 10000];</t>
        </is>
      </c>
      <c r="S233" s="19">
        <f>A232</f>
        <v/>
      </c>
    </row>
    <row r="234">
      <c r="S234" s="19" t="n"/>
    </row>
    <row r="235">
      <c r="A235" s="143">
        <f>CONCATENATE(B234,C234,D234,E234,F234,G234)</f>
        <v/>
      </c>
      <c r="B235" s="143" t="inlineStr">
        <is>
          <t xml:space="preserve">var PositionTable = </t>
        </is>
      </c>
      <c r="S235" s="19">
        <f>A234</f>
        <v/>
      </c>
    </row>
    <row r="236">
      <c r="A236" s="143">
        <f>CONCATENATE(B235,C235,D235,E235,F235,G235)</f>
        <v/>
      </c>
      <c r="B236" s="143" t="inlineStr">
        <is>
          <t>[</t>
        </is>
      </c>
      <c r="S236" s="19">
        <f>A235</f>
        <v/>
      </c>
    </row>
    <row r="237">
      <c r="A237" s="143">
        <f>CONCATENATE(B236,C236,D236,E236,F236,G236)</f>
        <v/>
      </c>
      <c r="C237" s="143" t="inlineStr">
        <is>
          <t>[1,</t>
        </is>
      </c>
      <c r="D237" s="143" t="inlineStr">
        <is>
          <t>1,</t>
        </is>
      </c>
      <c r="E237" s="143">
        <f>'Control Panel'!$AA$4</f>
        <v/>
      </c>
      <c r="F237" s="143" t="inlineStr">
        <is>
          <t>]</t>
        </is>
      </c>
      <c r="G237" s="143" t="inlineStr">
        <is>
          <t>,</t>
        </is>
      </c>
      <c r="S237" s="19">
        <f>A236</f>
        <v/>
      </c>
    </row>
    <row r="238">
      <c r="A238" s="143">
        <f>CONCATENATE(B237,C237,D237,E237,F237,G237)</f>
        <v/>
      </c>
      <c r="C238" s="143" t="inlineStr">
        <is>
          <t>[1,</t>
        </is>
      </c>
      <c r="D238" s="143" t="inlineStr">
        <is>
          <t>2,</t>
        </is>
      </c>
      <c r="E238" s="143">
        <f>'Control Panel'!$AB$4</f>
        <v/>
      </c>
      <c r="F238" s="143" t="inlineStr">
        <is>
          <t>]</t>
        </is>
      </c>
      <c r="G238" s="143" t="inlineStr">
        <is>
          <t>,</t>
        </is>
      </c>
      <c r="S238" s="19">
        <f>A237</f>
        <v/>
      </c>
    </row>
    <row r="239">
      <c r="A239" s="143">
        <f>CONCATENATE(B238,C238,D238,E238,F238,G238)</f>
        <v/>
      </c>
      <c r="C239" s="143" t="inlineStr">
        <is>
          <t>[1,</t>
        </is>
      </c>
      <c r="D239" s="143" t="inlineStr">
        <is>
          <t>3,</t>
        </is>
      </c>
      <c r="E239" s="143">
        <f>'Control Panel'!$AC$4</f>
        <v/>
      </c>
      <c r="F239" s="143" t="inlineStr">
        <is>
          <t>]</t>
        </is>
      </c>
      <c r="G239" s="143" t="inlineStr">
        <is>
          <t>,</t>
        </is>
      </c>
      <c r="S239" s="19">
        <f>A238</f>
        <v/>
      </c>
    </row>
    <row r="240">
      <c r="A240" s="143">
        <f>CONCATENATE(B239,C239,D239,E239,F239,G239)</f>
        <v/>
      </c>
      <c r="C240" s="143" t="inlineStr">
        <is>
          <t>[1,</t>
        </is>
      </c>
      <c r="D240" s="143" t="inlineStr">
        <is>
          <t>4,</t>
        </is>
      </c>
      <c r="E240" s="143">
        <f>'Control Panel'!$AD$4</f>
        <v/>
      </c>
      <c r="F240" s="143" t="inlineStr">
        <is>
          <t>]</t>
        </is>
      </c>
      <c r="G240" s="143" t="inlineStr">
        <is>
          <t>,</t>
        </is>
      </c>
      <c r="S240" s="19">
        <f>A239</f>
        <v/>
      </c>
    </row>
    <row r="241">
      <c r="A241" s="143">
        <f>CONCATENATE(B240,C240,D240,E240,F240,G240)</f>
        <v/>
      </c>
      <c r="C241" s="143" t="inlineStr">
        <is>
          <t>[1,</t>
        </is>
      </c>
      <c r="D241" s="143" t="inlineStr">
        <is>
          <t>5,</t>
        </is>
      </c>
      <c r="E241" s="143">
        <f>'Control Panel'!$AE$4</f>
        <v/>
      </c>
      <c r="F241" s="143" t="inlineStr">
        <is>
          <t>]</t>
        </is>
      </c>
      <c r="G241" s="143" t="inlineStr">
        <is>
          <t>,</t>
        </is>
      </c>
      <c r="S241" s="19">
        <f>A240</f>
        <v/>
      </c>
    </row>
    <row r="242">
      <c r="A242" s="143">
        <f>CONCATENATE(B241,C241,D241,E241,F241,G241)</f>
        <v/>
      </c>
      <c r="C242" s="143" t="inlineStr">
        <is>
          <t>[1,</t>
        </is>
      </c>
      <c r="D242" s="143" t="inlineStr">
        <is>
          <t>6,</t>
        </is>
      </c>
      <c r="E242" s="143">
        <f>'Control Panel'!$AA$5</f>
        <v/>
      </c>
      <c r="F242" s="143" t="inlineStr">
        <is>
          <t>]</t>
        </is>
      </c>
      <c r="G242" s="143" t="inlineStr">
        <is>
          <t>,</t>
        </is>
      </c>
      <c r="S242" s="19">
        <f>A241</f>
        <v/>
      </c>
    </row>
    <row r="243">
      <c r="A243" s="143">
        <f>CONCATENATE(B242,C242,D242,E242,F242,G242)</f>
        <v/>
      </c>
      <c r="C243" s="143" t="inlineStr">
        <is>
          <t>[1,</t>
        </is>
      </c>
      <c r="D243" s="143" t="inlineStr">
        <is>
          <t>7,</t>
        </is>
      </c>
      <c r="E243" s="143">
        <f>'Control Panel'!$AB$5</f>
        <v/>
      </c>
      <c r="F243" s="143" t="inlineStr">
        <is>
          <t>]</t>
        </is>
      </c>
      <c r="G243" s="143" t="inlineStr">
        <is>
          <t>,</t>
        </is>
      </c>
      <c r="S243" s="19">
        <f>A242</f>
        <v/>
      </c>
    </row>
    <row r="244">
      <c r="A244" s="143">
        <f>CONCATENATE(B243,C243,D243,E243,F243,G243)</f>
        <v/>
      </c>
      <c r="C244" s="143" t="inlineStr">
        <is>
          <t>[1,</t>
        </is>
      </c>
      <c r="D244" s="143" t="inlineStr">
        <is>
          <t>8,</t>
        </is>
      </c>
      <c r="E244" s="143">
        <f>'Control Panel'!$AC$5</f>
        <v/>
      </c>
      <c r="F244" s="143" t="inlineStr">
        <is>
          <t>]</t>
        </is>
      </c>
      <c r="G244" s="143" t="inlineStr">
        <is>
          <t>,</t>
        </is>
      </c>
      <c r="S244" s="19">
        <f>A243</f>
        <v/>
      </c>
    </row>
    <row r="245">
      <c r="A245" s="143">
        <f>CONCATENATE(B244,C244,D244,E244,F244,G244)</f>
        <v/>
      </c>
      <c r="C245" s="143" t="inlineStr">
        <is>
          <t>[1,</t>
        </is>
      </c>
      <c r="D245" s="143" t="inlineStr">
        <is>
          <t>9,</t>
        </is>
      </c>
      <c r="E245" s="143">
        <f>'Control Panel'!$AD$5</f>
        <v/>
      </c>
      <c r="F245" s="143" t="inlineStr">
        <is>
          <t>]</t>
        </is>
      </c>
      <c r="G245" s="143" t="inlineStr">
        <is>
          <t>,</t>
        </is>
      </c>
      <c r="S245" s="19">
        <f>A244</f>
        <v/>
      </c>
    </row>
    <row r="246">
      <c r="A246" s="143">
        <f>CONCATENATE(B245,C245,D245,E245,F245,G245)</f>
        <v/>
      </c>
      <c r="C246" s="143" t="inlineStr">
        <is>
          <t>[1,</t>
        </is>
      </c>
      <c r="D246" s="143" t="inlineStr">
        <is>
          <t>10,</t>
        </is>
      </c>
      <c r="E246" s="143">
        <f>'Control Panel'!$AE$5</f>
        <v/>
      </c>
      <c r="F246" s="143" t="inlineStr">
        <is>
          <t>]</t>
        </is>
      </c>
      <c r="G246" s="143" t="inlineStr">
        <is>
          <t>,</t>
        </is>
      </c>
      <c r="S246" s="19">
        <f>A245</f>
        <v/>
      </c>
    </row>
    <row r="247">
      <c r="A247" s="143">
        <f>CONCATENATE(B246,C246,D246,E246,F246,G246)</f>
        <v/>
      </c>
      <c r="C247" s="143" t="inlineStr">
        <is>
          <t>[1,</t>
        </is>
      </c>
      <c r="D247" s="143" t="inlineStr">
        <is>
          <t>11,</t>
        </is>
      </c>
      <c r="E247" s="143">
        <f>'Control Panel'!$AA$6</f>
        <v/>
      </c>
      <c r="F247" s="143" t="inlineStr">
        <is>
          <t>]</t>
        </is>
      </c>
      <c r="G247" s="143" t="inlineStr">
        <is>
          <t>,</t>
        </is>
      </c>
      <c r="S247" s="19">
        <f>A246</f>
        <v/>
      </c>
    </row>
    <row r="248">
      <c r="A248" s="143">
        <f>CONCATENATE(B247,C247,D247,E247,F247,G247)</f>
        <v/>
      </c>
      <c r="C248" s="143" t="inlineStr">
        <is>
          <t>[1,</t>
        </is>
      </c>
      <c r="D248" s="143" t="inlineStr">
        <is>
          <t>12,</t>
        </is>
      </c>
      <c r="E248" s="143">
        <f>'Control Panel'!$AB$6</f>
        <v/>
      </c>
      <c r="F248" s="143" t="inlineStr">
        <is>
          <t>]</t>
        </is>
      </c>
      <c r="G248" s="143" t="inlineStr">
        <is>
          <t>,</t>
        </is>
      </c>
      <c r="S248" s="19">
        <f>A247</f>
        <v/>
      </c>
    </row>
    <row r="249">
      <c r="A249" s="143">
        <f>CONCATENATE(B248,C248,D248,E248,F248,G248)</f>
        <v/>
      </c>
      <c r="C249" s="143" t="inlineStr">
        <is>
          <t>[1,</t>
        </is>
      </c>
      <c r="D249" s="143" t="inlineStr">
        <is>
          <t>13,</t>
        </is>
      </c>
      <c r="E249" s="143" t="n">
        <v>0</v>
      </c>
      <c r="F249" s="143" t="inlineStr">
        <is>
          <t>]</t>
        </is>
      </c>
      <c r="G249" s="143" t="inlineStr">
        <is>
          <t>,</t>
        </is>
      </c>
      <c r="S249" s="19">
        <f>A248</f>
        <v/>
      </c>
    </row>
    <row r="250">
      <c r="A250" s="143">
        <f>CONCATENATE(B249,C249,D249,E249,F249,G249)</f>
        <v/>
      </c>
      <c r="C250" s="143" t="inlineStr">
        <is>
          <t>[1,</t>
        </is>
      </c>
      <c r="D250" s="143" t="inlineStr">
        <is>
          <t>14,</t>
        </is>
      </c>
      <c r="E250" s="143">
        <f>'Control Panel'!$AD$6</f>
        <v/>
      </c>
      <c r="F250" s="143" t="inlineStr">
        <is>
          <t>]</t>
        </is>
      </c>
      <c r="G250" s="143" t="inlineStr">
        <is>
          <t>,</t>
        </is>
      </c>
      <c r="S250" s="19">
        <f>A249</f>
        <v/>
      </c>
    </row>
    <row r="251">
      <c r="A251" s="143">
        <f>CONCATENATE(B250,C250,D250,E250,F250,G250)</f>
        <v/>
      </c>
      <c r="C251" s="143" t="inlineStr">
        <is>
          <t>[1,</t>
        </is>
      </c>
      <c r="D251" s="143" t="inlineStr">
        <is>
          <t>15,</t>
        </is>
      </c>
      <c r="E251" s="143">
        <f>'Control Panel'!$AE$6</f>
        <v/>
      </c>
      <c r="F251" s="143" t="inlineStr">
        <is>
          <t>]</t>
        </is>
      </c>
      <c r="G251" s="143" t="inlineStr">
        <is>
          <t>,</t>
        </is>
      </c>
      <c r="S251" s="19">
        <f>A250</f>
        <v/>
      </c>
    </row>
    <row r="252">
      <c r="A252" s="143">
        <f>CONCATENATE(B251,C251,D251,E251,F251,G251)</f>
        <v/>
      </c>
      <c r="C252" s="143" t="inlineStr">
        <is>
          <t>[1,</t>
        </is>
      </c>
      <c r="D252" s="143" t="inlineStr">
        <is>
          <t>16,</t>
        </is>
      </c>
      <c r="E252" s="143">
        <f>'Control Panel'!$AA$7</f>
        <v/>
      </c>
      <c r="F252" s="143" t="inlineStr">
        <is>
          <t>]</t>
        </is>
      </c>
      <c r="G252" s="143" t="inlineStr">
        <is>
          <t>,</t>
        </is>
      </c>
      <c r="S252" s="19">
        <f>A251</f>
        <v/>
      </c>
    </row>
    <row r="253">
      <c r="A253" s="143">
        <f>CONCATENATE(B252,C252,D252,E252,F252,G252)</f>
        <v/>
      </c>
      <c r="C253" s="143" t="inlineStr">
        <is>
          <t>[1,</t>
        </is>
      </c>
      <c r="D253" s="143" t="inlineStr">
        <is>
          <t>17,</t>
        </is>
      </c>
      <c r="E253" s="143">
        <f>'Control Panel'!$AB$7</f>
        <v/>
      </c>
      <c r="F253" s="143" t="inlineStr">
        <is>
          <t>]</t>
        </is>
      </c>
      <c r="G253" s="143" t="inlineStr">
        <is>
          <t>,</t>
        </is>
      </c>
      <c r="S253" s="19">
        <f>A252</f>
        <v/>
      </c>
    </row>
    <row r="254">
      <c r="A254" s="143">
        <f>CONCATENATE(B253,C253,D253,E253,F253,G253)</f>
        <v/>
      </c>
      <c r="C254" s="143" t="inlineStr">
        <is>
          <t>[1,</t>
        </is>
      </c>
      <c r="D254" s="143" t="inlineStr">
        <is>
          <t>18,</t>
        </is>
      </c>
      <c r="E254" s="143">
        <f>'Control Panel'!$AC$7</f>
        <v/>
      </c>
      <c r="F254" s="143" t="inlineStr">
        <is>
          <t>]</t>
        </is>
      </c>
      <c r="G254" s="143" t="inlineStr">
        <is>
          <t>,</t>
        </is>
      </c>
      <c r="S254" s="19">
        <f>A253</f>
        <v/>
      </c>
    </row>
    <row r="255">
      <c r="A255" s="143">
        <f>CONCATENATE(B254,C254,D254,E254,F254,G254)</f>
        <v/>
      </c>
      <c r="C255" s="143" t="inlineStr">
        <is>
          <t>[1,</t>
        </is>
      </c>
      <c r="D255" s="143" t="inlineStr">
        <is>
          <t>19,</t>
        </is>
      </c>
      <c r="E255" s="143">
        <f>'Control Panel'!$AD$7</f>
        <v/>
      </c>
      <c r="F255" s="143" t="inlineStr">
        <is>
          <t>]</t>
        </is>
      </c>
      <c r="G255" s="143" t="inlineStr">
        <is>
          <t>,</t>
        </is>
      </c>
      <c r="S255" s="19">
        <f>A254</f>
        <v/>
      </c>
    </row>
    <row r="256">
      <c r="A256" s="143">
        <f>CONCATENATE(B255,C255,D255,E255,F255,G255)</f>
        <v/>
      </c>
      <c r="C256" s="143" t="inlineStr">
        <is>
          <t>[1,</t>
        </is>
      </c>
      <c r="D256" s="143" t="inlineStr">
        <is>
          <t>20,</t>
        </is>
      </c>
      <c r="E256" s="143">
        <f>'Control Panel'!$AE$7</f>
        <v/>
      </c>
      <c r="F256" s="143" t="inlineStr">
        <is>
          <t>]</t>
        </is>
      </c>
      <c r="G256" s="143" t="inlineStr">
        <is>
          <t>,</t>
        </is>
      </c>
      <c r="S256" s="19">
        <f>A255</f>
        <v/>
      </c>
    </row>
    <row r="257">
      <c r="A257" s="143">
        <f>CONCATENATE(B256,C256,D256,E256,F256,G256)</f>
        <v/>
      </c>
      <c r="C257" s="143" t="inlineStr">
        <is>
          <t>[1,</t>
        </is>
      </c>
      <c r="D257" s="143" t="inlineStr">
        <is>
          <t>21,</t>
        </is>
      </c>
      <c r="E257" s="143">
        <f>'Control Panel'!$AA$8</f>
        <v/>
      </c>
      <c r="F257" s="143" t="inlineStr">
        <is>
          <t>]</t>
        </is>
      </c>
      <c r="G257" s="143" t="inlineStr">
        <is>
          <t>,</t>
        </is>
      </c>
      <c r="S257" s="19">
        <f>A256</f>
        <v/>
      </c>
    </row>
    <row r="258">
      <c r="A258" s="143">
        <f>CONCATENATE(B257,C257,D257,E257,F257,G257)</f>
        <v/>
      </c>
      <c r="C258" s="143" t="inlineStr">
        <is>
          <t>[1,</t>
        </is>
      </c>
      <c r="D258" s="143" t="inlineStr">
        <is>
          <t>22,</t>
        </is>
      </c>
      <c r="E258" s="143">
        <f>'Control Panel'!$AB$8</f>
        <v/>
      </c>
      <c r="F258" s="143" t="inlineStr">
        <is>
          <t>]</t>
        </is>
      </c>
      <c r="G258" s="143" t="inlineStr">
        <is>
          <t>,</t>
        </is>
      </c>
      <c r="S258" s="19">
        <f>A257</f>
        <v/>
      </c>
    </row>
    <row r="259">
      <c r="A259" s="143">
        <f>CONCATENATE(B258,C258,D258,E258,F258,G258)</f>
        <v/>
      </c>
      <c r="C259" s="143" t="inlineStr">
        <is>
          <t>[1,</t>
        </is>
      </c>
      <c r="D259" s="143" t="inlineStr">
        <is>
          <t>23,</t>
        </is>
      </c>
      <c r="E259" s="143">
        <f>'Control Panel'!$AC$8</f>
        <v/>
      </c>
      <c r="F259" s="143" t="inlineStr">
        <is>
          <t>]</t>
        </is>
      </c>
      <c r="G259" s="143" t="inlineStr">
        <is>
          <t>,</t>
        </is>
      </c>
      <c r="S259" s="19">
        <f>A258</f>
        <v/>
      </c>
    </row>
    <row r="260">
      <c r="A260" s="143">
        <f>CONCATENATE(B259,C259,D259,E259,F259,G259)</f>
        <v/>
      </c>
      <c r="C260" s="143" t="inlineStr">
        <is>
          <t>[1,</t>
        </is>
      </c>
      <c r="D260" s="143" t="inlineStr">
        <is>
          <t>24,</t>
        </is>
      </c>
      <c r="E260" s="143">
        <f>'Control Panel'!$AD$8</f>
        <v/>
      </c>
      <c r="F260" s="143" t="inlineStr">
        <is>
          <t>]</t>
        </is>
      </c>
      <c r="G260" s="143" t="inlineStr">
        <is>
          <t>,</t>
        </is>
      </c>
      <c r="S260" s="19">
        <f>A259</f>
        <v/>
      </c>
    </row>
    <row r="261">
      <c r="A261" s="143">
        <f>CONCATENATE(B260,C260,D260,E260,F260,G260)</f>
        <v/>
      </c>
      <c r="C261" s="143" t="inlineStr">
        <is>
          <t>[1,</t>
        </is>
      </c>
      <c r="D261" s="143" t="inlineStr">
        <is>
          <t>25,</t>
        </is>
      </c>
      <c r="E261" s="143">
        <f>'Control Panel'!$AE$8</f>
        <v/>
      </c>
      <c r="F261" s="143" t="inlineStr">
        <is>
          <t>]</t>
        </is>
      </c>
      <c r="G261" s="143" t="inlineStr">
        <is>
          <t>,</t>
        </is>
      </c>
      <c r="S261" s="19">
        <f>A260</f>
        <v/>
      </c>
    </row>
    <row r="262">
      <c r="A262" s="143">
        <f>CONCATENATE(B261,C261,D261,E261,F261,G261)</f>
        <v/>
      </c>
      <c r="S262" s="19">
        <f>A261</f>
        <v/>
      </c>
    </row>
    <row r="263">
      <c r="A263" s="143">
        <f>CONCATENATE(B262,C262,D262,E262,F262,G262)</f>
        <v/>
      </c>
      <c r="C263" s="143" t="inlineStr">
        <is>
          <t>[2,</t>
        </is>
      </c>
      <c r="D263" s="143" t="inlineStr">
        <is>
          <t>1,</t>
        </is>
      </c>
      <c r="E263" s="143">
        <f>'Control Panel'!$AG$4</f>
        <v/>
      </c>
      <c r="F263" s="143" t="inlineStr">
        <is>
          <t>]</t>
        </is>
      </c>
      <c r="G263" s="143" t="inlineStr">
        <is>
          <t>,</t>
        </is>
      </c>
      <c r="S263" s="19">
        <f>A262</f>
        <v/>
      </c>
    </row>
    <row r="264">
      <c r="A264" s="143">
        <f>CONCATENATE(B263,C263,D263,E263,F263,G263)</f>
        <v/>
      </c>
      <c r="C264" s="143" t="inlineStr">
        <is>
          <t>[2,</t>
        </is>
      </c>
      <c r="D264" s="143" t="inlineStr">
        <is>
          <t>2,</t>
        </is>
      </c>
      <c r="E264" s="143">
        <f>'Control Panel'!$AH$4</f>
        <v/>
      </c>
      <c r="F264" s="143" t="inlineStr">
        <is>
          <t>]</t>
        </is>
      </c>
      <c r="G264" s="143" t="inlineStr">
        <is>
          <t>,</t>
        </is>
      </c>
      <c r="S264" s="19">
        <f>A263</f>
        <v/>
      </c>
    </row>
    <row r="265">
      <c r="A265" s="143">
        <f>CONCATENATE(B264,C264,D264,E264,F264,G264)</f>
        <v/>
      </c>
      <c r="C265" s="143" t="inlineStr">
        <is>
          <t>[2,</t>
        </is>
      </c>
      <c r="D265" s="143" t="inlineStr">
        <is>
          <t>3,</t>
        </is>
      </c>
      <c r="E265" s="143">
        <f>'Control Panel'!$AI$4</f>
        <v/>
      </c>
      <c r="F265" s="143" t="inlineStr">
        <is>
          <t>]</t>
        </is>
      </c>
      <c r="G265" s="143" t="inlineStr">
        <is>
          <t>,</t>
        </is>
      </c>
      <c r="S265" s="19">
        <f>A264</f>
        <v/>
      </c>
    </row>
    <row r="266">
      <c r="A266" s="143">
        <f>CONCATENATE(B265,C265,D265,E265,F265,G265)</f>
        <v/>
      </c>
      <c r="C266" s="143" t="inlineStr">
        <is>
          <t>[2,</t>
        </is>
      </c>
      <c r="D266" s="143" t="inlineStr">
        <is>
          <t>4,</t>
        </is>
      </c>
      <c r="E266" s="143">
        <f>'Control Panel'!$AJ$4</f>
        <v/>
      </c>
      <c r="F266" s="143" t="inlineStr">
        <is>
          <t>]</t>
        </is>
      </c>
      <c r="G266" s="143" t="inlineStr">
        <is>
          <t>,</t>
        </is>
      </c>
      <c r="S266" s="19">
        <f>A265</f>
        <v/>
      </c>
    </row>
    <row r="267">
      <c r="A267" s="143">
        <f>CONCATENATE(B266,C266,D266,E266,F266,G266)</f>
        <v/>
      </c>
      <c r="C267" s="143" t="inlineStr">
        <is>
          <t>[2,</t>
        </is>
      </c>
      <c r="D267" s="143" t="inlineStr">
        <is>
          <t>5,</t>
        </is>
      </c>
      <c r="E267" s="143">
        <f>'Control Panel'!$AK$4</f>
        <v/>
      </c>
      <c r="F267" s="143" t="inlineStr">
        <is>
          <t>]</t>
        </is>
      </c>
      <c r="G267" s="143" t="inlineStr">
        <is>
          <t>,</t>
        </is>
      </c>
      <c r="S267" s="19">
        <f>A266</f>
        <v/>
      </c>
    </row>
    <row r="268">
      <c r="A268" s="143">
        <f>CONCATENATE(B267,C267,D267,E267,F267,G267)</f>
        <v/>
      </c>
      <c r="C268" s="143" t="inlineStr">
        <is>
          <t>[2,</t>
        </is>
      </c>
      <c r="D268" s="143" t="inlineStr">
        <is>
          <t>6,</t>
        </is>
      </c>
      <c r="E268" s="143">
        <f>'Control Panel'!$AG$5</f>
        <v/>
      </c>
      <c r="F268" s="143" t="inlineStr">
        <is>
          <t>]</t>
        </is>
      </c>
      <c r="G268" s="143" t="inlineStr">
        <is>
          <t>,</t>
        </is>
      </c>
      <c r="S268" s="19">
        <f>A267</f>
        <v/>
      </c>
    </row>
    <row r="269">
      <c r="A269" s="143">
        <f>CONCATENATE(B268,C268,D268,E268,F268,G268)</f>
        <v/>
      </c>
      <c r="C269" s="143" t="inlineStr">
        <is>
          <t>[2,</t>
        </is>
      </c>
      <c r="D269" s="143" t="inlineStr">
        <is>
          <t>7,</t>
        </is>
      </c>
      <c r="E269" s="143">
        <f>'Control Panel'!$AH$5</f>
        <v/>
      </c>
      <c r="F269" s="143" t="inlineStr">
        <is>
          <t>]</t>
        </is>
      </c>
      <c r="G269" s="143" t="inlineStr">
        <is>
          <t>,</t>
        </is>
      </c>
      <c r="S269" s="19">
        <f>A268</f>
        <v/>
      </c>
    </row>
    <row r="270">
      <c r="A270" s="143">
        <f>CONCATENATE(B269,C269,D269,E269,F269,G269)</f>
        <v/>
      </c>
      <c r="C270" s="143" t="inlineStr">
        <is>
          <t>[2,</t>
        </is>
      </c>
      <c r="D270" s="143" t="inlineStr">
        <is>
          <t>8,</t>
        </is>
      </c>
      <c r="E270" s="143">
        <f>'Control Panel'!$AI$5</f>
        <v/>
      </c>
      <c r="F270" s="143" t="inlineStr">
        <is>
          <t>]</t>
        </is>
      </c>
      <c r="G270" s="143" t="inlineStr">
        <is>
          <t>,</t>
        </is>
      </c>
      <c r="S270" s="19">
        <f>A269</f>
        <v/>
      </c>
    </row>
    <row r="271">
      <c r="A271" s="143">
        <f>CONCATENATE(B270,C270,D270,E270,F270,G270)</f>
        <v/>
      </c>
      <c r="C271" s="143" t="inlineStr">
        <is>
          <t>[2,</t>
        </is>
      </c>
      <c r="D271" s="143" t="inlineStr">
        <is>
          <t>9,</t>
        </is>
      </c>
      <c r="E271" s="143">
        <f>'Control Panel'!$AJ$5</f>
        <v/>
      </c>
      <c r="F271" s="143" t="inlineStr">
        <is>
          <t>]</t>
        </is>
      </c>
      <c r="G271" s="143" t="inlineStr">
        <is>
          <t>,</t>
        </is>
      </c>
      <c r="S271" s="19">
        <f>A270</f>
        <v/>
      </c>
    </row>
    <row r="272">
      <c r="A272" s="143">
        <f>CONCATENATE(B271,C271,D271,E271,F271,G271)</f>
        <v/>
      </c>
      <c r="C272" s="143" t="inlineStr">
        <is>
          <t>[2,</t>
        </is>
      </c>
      <c r="D272" s="143" t="inlineStr">
        <is>
          <t>10,</t>
        </is>
      </c>
      <c r="E272" s="143">
        <f>'Control Panel'!$AK$5</f>
        <v/>
      </c>
      <c r="F272" s="143" t="inlineStr">
        <is>
          <t>]</t>
        </is>
      </c>
      <c r="G272" s="143" t="inlineStr">
        <is>
          <t>,</t>
        </is>
      </c>
      <c r="S272" s="19">
        <f>A271</f>
        <v/>
      </c>
    </row>
    <row r="273">
      <c r="A273" s="143">
        <f>CONCATENATE(B272,C272,D272,E272,F272,G272)</f>
        <v/>
      </c>
      <c r="C273" s="143" t="inlineStr">
        <is>
          <t>[2,</t>
        </is>
      </c>
      <c r="D273" s="143" t="inlineStr">
        <is>
          <t>11,</t>
        </is>
      </c>
      <c r="E273" s="143">
        <f>'Control Panel'!$AG$6</f>
        <v/>
      </c>
      <c r="F273" s="143" t="inlineStr">
        <is>
          <t>]</t>
        </is>
      </c>
      <c r="G273" s="143" t="inlineStr">
        <is>
          <t>,</t>
        </is>
      </c>
      <c r="S273" s="19">
        <f>A272</f>
        <v/>
      </c>
    </row>
    <row r="274">
      <c r="A274" s="143">
        <f>CONCATENATE(B273,C273,D273,E273,F273,G273)</f>
        <v/>
      </c>
      <c r="C274" s="143" t="inlineStr">
        <is>
          <t>[2,</t>
        </is>
      </c>
      <c r="D274" s="143" t="inlineStr">
        <is>
          <t>12,</t>
        </is>
      </c>
      <c r="E274" s="143">
        <f>'Control Panel'!$AH$6</f>
        <v/>
      </c>
      <c r="F274" s="143" t="inlineStr">
        <is>
          <t>]</t>
        </is>
      </c>
      <c r="G274" s="143" t="inlineStr">
        <is>
          <t>,</t>
        </is>
      </c>
      <c r="S274" s="19">
        <f>A273</f>
        <v/>
      </c>
    </row>
    <row r="275">
      <c r="A275" s="143">
        <f>CONCATENATE(B274,C274,D274,E274,F274,G274)</f>
        <v/>
      </c>
      <c r="C275" s="143" t="inlineStr">
        <is>
          <t>[2,</t>
        </is>
      </c>
      <c r="D275" s="143" t="inlineStr">
        <is>
          <t>13,</t>
        </is>
      </c>
      <c r="E275" s="143" t="n">
        <v>0</v>
      </c>
      <c r="F275" s="143" t="inlineStr">
        <is>
          <t>]</t>
        </is>
      </c>
      <c r="G275" s="143" t="inlineStr">
        <is>
          <t>,</t>
        </is>
      </c>
      <c r="S275" s="19">
        <f>A274</f>
        <v/>
      </c>
    </row>
    <row r="276">
      <c r="A276" s="143">
        <f>CONCATENATE(B275,C275,D275,E275,F275,G275)</f>
        <v/>
      </c>
      <c r="C276" s="143" t="inlineStr">
        <is>
          <t>[2,</t>
        </is>
      </c>
      <c r="D276" s="143" t="inlineStr">
        <is>
          <t>14,</t>
        </is>
      </c>
      <c r="E276" s="143">
        <f>'Control Panel'!$AJ$6</f>
        <v/>
      </c>
      <c r="F276" s="143" t="inlineStr">
        <is>
          <t>]</t>
        </is>
      </c>
      <c r="G276" s="143" t="inlineStr">
        <is>
          <t>,</t>
        </is>
      </c>
      <c r="S276" s="19">
        <f>A275</f>
        <v/>
      </c>
    </row>
    <row r="277">
      <c r="A277" s="143">
        <f>CONCATENATE(B276,C276,D276,E276,F276,G276)</f>
        <v/>
      </c>
      <c r="C277" s="143" t="inlineStr">
        <is>
          <t>[2,</t>
        </is>
      </c>
      <c r="D277" s="143" t="inlineStr">
        <is>
          <t>15,</t>
        </is>
      </c>
      <c r="E277" s="143">
        <f>'Control Panel'!$AK$6</f>
        <v/>
      </c>
      <c r="F277" s="143" t="inlineStr">
        <is>
          <t>]</t>
        </is>
      </c>
      <c r="G277" s="143" t="inlineStr">
        <is>
          <t>,</t>
        </is>
      </c>
      <c r="S277" s="19">
        <f>A276</f>
        <v/>
      </c>
    </row>
    <row r="278">
      <c r="A278" s="143">
        <f>CONCATENATE(B277,C277,D277,E277,F277,G277)</f>
        <v/>
      </c>
      <c r="C278" s="143" t="inlineStr">
        <is>
          <t>[2,</t>
        </is>
      </c>
      <c r="D278" s="143" t="inlineStr">
        <is>
          <t>16,</t>
        </is>
      </c>
      <c r="E278" s="143">
        <f>'Control Panel'!$AG$7</f>
        <v/>
      </c>
      <c r="F278" s="143" t="inlineStr">
        <is>
          <t>]</t>
        </is>
      </c>
      <c r="G278" s="143" t="inlineStr">
        <is>
          <t>,</t>
        </is>
      </c>
      <c r="S278" s="19">
        <f>A277</f>
        <v/>
      </c>
    </row>
    <row r="279">
      <c r="A279" s="143">
        <f>CONCATENATE(B278,C278,D278,E278,F278,G278)</f>
        <v/>
      </c>
      <c r="C279" s="143" t="inlineStr">
        <is>
          <t>[2,</t>
        </is>
      </c>
      <c r="D279" s="143" t="inlineStr">
        <is>
          <t>17,</t>
        </is>
      </c>
      <c r="E279" s="143">
        <f>'Control Panel'!$AH$7</f>
        <v/>
      </c>
      <c r="F279" s="143" t="inlineStr">
        <is>
          <t>]</t>
        </is>
      </c>
      <c r="G279" s="143" t="inlineStr">
        <is>
          <t>,</t>
        </is>
      </c>
      <c r="S279" s="19">
        <f>A278</f>
        <v/>
      </c>
    </row>
    <row r="280">
      <c r="A280" s="143">
        <f>CONCATENATE(B279,C279,D279,E279,F279,G279)</f>
        <v/>
      </c>
      <c r="C280" s="143" t="inlineStr">
        <is>
          <t>[2,</t>
        </is>
      </c>
      <c r="D280" s="143" t="inlineStr">
        <is>
          <t>18,</t>
        </is>
      </c>
      <c r="E280" s="143">
        <f>'Control Panel'!$AI$7</f>
        <v/>
      </c>
      <c r="F280" s="143" t="inlineStr">
        <is>
          <t>]</t>
        </is>
      </c>
      <c r="G280" s="143" t="inlineStr">
        <is>
          <t>,</t>
        </is>
      </c>
      <c r="S280" s="19">
        <f>A279</f>
        <v/>
      </c>
    </row>
    <row r="281">
      <c r="A281" s="143">
        <f>CONCATENATE(B280,C280,D280,E280,F280,G280)</f>
        <v/>
      </c>
      <c r="C281" s="143" t="inlineStr">
        <is>
          <t>[2,</t>
        </is>
      </c>
      <c r="D281" s="143" t="inlineStr">
        <is>
          <t>19,</t>
        </is>
      </c>
      <c r="E281" s="143">
        <f>'Control Panel'!$AJ$7</f>
        <v/>
      </c>
      <c r="F281" s="143" t="inlineStr">
        <is>
          <t>]</t>
        </is>
      </c>
      <c r="G281" s="143" t="inlineStr">
        <is>
          <t>,</t>
        </is>
      </c>
      <c r="S281" s="19">
        <f>A280</f>
        <v/>
      </c>
    </row>
    <row r="282">
      <c r="A282" s="143">
        <f>CONCATENATE(B281,C281,D281,E281,F281,G281)</f>
        <v/>
      </c>
      <c r="C282" s="143" t="inlineStr">
        <is>
          <t>[2,</t>
        </is>
      </c>
      <c r="D282" s="143" t="inlineStr">
        <is>
          <t>20,</t>
        </is>
      </c>
      <c r="E282" s="143">
        <f>'Control Panel'!$AK$7</f>
        <v/>
      </c>
      <c r="F282" s="143" t="inlineStr">
        <is>
          <t>]</t>
        </is>
      </c>
      <c r="G282" s="143" t="inlineStr">
        <is>
          <t>,</t>
        </is>
      </c>
      <c r="S282" s="19">
        <f>A281</f>
        <v/>
      </c>
    </row>
    <row r="283">
      <c r="A283" s="143">
        <f>CONCATENATE(B282,C282,D282,E282,F282,G282)</f>
        <v/>
      </c>
      <c r="C283" s="143" t="inlineStr">
        <is>
          <t>[2,</t>
        </is>
      </c>
      <c r="D283" s="143" t="inlineStr">
        <is>
          <t>21,</t>
        </is>
      </c>
      <c r="E283" s="143">
        <f>'Control Panel'!$AG$8</f>
        <v/>
      </c>
      <c r="F283" s="143" t="inlineStr">
        <is>
          <t>]</t>
        </is>
      </c>
      <c r="G283" s="143" t="inlineStr">
        <is>
          <t>,</t>
        </is>
      </c>
      <c r="S283" s="19">
        <f>A282</f>
        <v/>
      </c>
    </row>
    <row r="284">
      <c r="A284" s="143">
        <f>CONCATENATE(B283,C283,D283,E283,F283,G283)</f>
        <v/>
      </c>
      <c r="C284" s="143" t="inlineStr">
        <is>
          <t>[2,</t>
        </is>
      </c>
      <c r="D284" s="143" t="inlineStr">
        <is>
          <t>22,</t>
        </is>
      </c>
      <c r="E284" s="143">
        <f>'Control Panel'!$AH$8</f>
        <v/>
      </c>
      <c r="F284" s="143" t="inlineStr">
        <is>
          <t>]</t>
        </is>
      </c>
      <c r="G284" s="143" t="inlineStr">
        <is>
          <t>,</t>
        </is>
      </c>
      <c r="S284" s="19">
        <f>A283</f>
        <v/>
      </c>
    </row>
    <row r="285">
      <c r="A285" s="143">
        <f>CONCATENATE(B284,C284,D284,E284,F284,G284)</f>
        <v/>
      </c>
      <c r="C285" s="143" t="inlineStr">
        <is>
          <t>[2,</t>
        </is>
      </c>
      <c r="D285" s="143" t="inlineStr">
        <is>
          <t>23,</t>
        </is>
      </c>
      <c r="E285" s="143">
        <f>'Control Panel'!$AI$8</f>
        <v/>
      </c>
      <c r="F285" s="143" t="inlineStr">
        <is>
          <t>]</t>
        </is>
      </c>
      <c r="G285" s="143" t="inlineStr">
        <is>
          <t>,</t>
        </is>
      </c>
      <c r="S285" s="19">
        <f>A284</f>
        <v/>
      </c>
    </row>
    <row r="286">
      <c r="A286" s="143">
        <f>CONCATENATE(B285,C285,D285,E285,F285,G285)</f>
        <v/>
      </c>
      <c r="C286" s="143" t="inlineStr">
        <is>
          <t>[2,</t>
        </is>
      </c>
      <c r="D286" s="143" t="inlineStr">
        <is>
          <t>24,</t>
        </is>
      </c>
      <c r="E286" s="143">
        <f>'Control Panel'!$AJ$8</f>
        <v/>
      </c>
      <c r="F286" s="143" t="inlineStr">
        <is>
          <t>]</t>
        </is>
      </c>
      <c r="G286" s="143" t="inlineStr">
        <is>
          <t>,</t>
        </is>
      </c>
      <c r="S286" s="19">
        <f>A285</f>
        <v/>
      </c>
    </row>
    <row r="287">
      <c r="A287" s="143">
        <f>CONCATENATE(B286,C286,D286,E286,F286,G286)</f>
        <v/>
      </c>
      <c r="C287" s="143" t="inlineStr">
        <is>
          <t>[2,</t>
        </is>
      </c>
      <c r="D287" s="143" t="inlineStr">
        <is>
          <t>25,</t>
        </is>
      </c>
      <c r="E287" s="143">
        <f>'Control Panel'!$AK$8</f>
        <v/>
      </c>
      <c r="F287" s="143" t="inlineStr">
        <is>
          <t>]</t>
        </is>
      </c>
      <c r="G287" s="143" t="inlineStr">
        <is>
          <t>,</t>
        </is>
      </c>
      <c r="S287" s="19">
        <f>A286</f>
        <v/>
      </c>
    </row>
    <row r="288">
      <c r="A288" s="143">
        <f>CONCATENATE(B287,C287,D287,E287,F287,G287)</f>
        <v/>
      </c>
      <c r="S288" s="19">
        <f>A287</f>
        <v/>
      </c>
    </row>
    <row r="289">
      <c r="A289" s="143">
        <f>CONCATENATE(B288,C288,D288,E288,F288,G288)</f>
        <v/>
      </c>
      <c r="C289" s="143" t="inlineStr">
        <is>
          <t>[3,</t>
        </is>
      </c>
      <c r="D289" s="143" t="inlineStr">
        <is>
          <t>1,</t>
        </is>
      </c>
      <c r="E289" s="143">
        <f>'Control Panel'!$AM$4</f>
        <v/>
      </c>
      <c r="F289" s="143" t="inlineStr">
        <is>
          <t>]</t>
        </is>
      </c>
      <c r="G289" s="143" t="inlineStr">
        <is>
          <t>,</t>
        </is>
      </c>
      <c r="S289" s="19">
        <f>A288</f>
        <v/>
      </c>
    </row>
    <row r="290">
      <c r="A290" s="143">
        <f>CONCATENATE(B289,C289,D289,E289,F289,G289)</f>
        <v/>
      </c>
      <c r="C290" s="143" t="inlineStr">
        <is>
          <t>[3,</t>
        </is>
      </c>
      <c r="D290" s="143" t="inlineStr">
        <is>
          <t>2,</t>
        </is>
      </c>
      <c r="E290" s="143">
        <f>'Control Panel'!$AN$4</f>
        <v/>
      </c>
      <c r="F290" s="143" t="inlineStr">
        <is>
          <t>]</t>
        </is>
      </c>
      <c r="G290" s="143" t="inlineStr">
        <is>
          <t>,</t>
        </is>
      </c>
      <c r="S290" s="19">
        <f>A289</f>
        <v/>
      </c>
    </row>
    <row r="291">
      <c r="A291" s="143">
        <f>CONCATENATE(B290,C290,D290,E290,F290,G290)</f>
        <v/>
      </c>
      <c r="C291" s="143" t="inlineStr">
        <is>
          <t>[3,</t>
        </is>
      </c>
      <c r="D291" s="143" t="inlineStr">
        <is>
          <t>3,</t>
        </is>
      </c>
      <c r="E291" s="143">
        <f>'Control Panel'!$AO$4</f>
        <v/>
      </c>
      <c r="F291" s="143" t="inlineStr">
        <is>
          <t>]</t>
        </is>
      </c>
      <c r="G291" s="143" t="inlineStr">
        <is>
          <t>,</t>
        </is>
      </c>
      <c r="S291" s="19">
        <f>A290</f>
        <v/>
      </c>
    </row>
    <row r="292">
      <c r="A292" s="143">
        <f>CONCATENATE(B291,C291,D291,E291,F291,G291)</f>
        <v/>
      </c>
      <c r="C292" s="143" t="inlineStr">
        <is>
          <t>[3,</t>
        </is>
      </c>
      <c r="D292" s="143" t="inlineStr">
        <is>
          <t>4,</t>
        </is>
      </c>
      <c r="E292" s="143">
        <f>'Control Panel'!$AP$4</f>
        <v/>
      </c>
      <c r="F292" s="143" t="inlineStr">
        <is>
          <t>]</t>
        </is>
      </c>
      <c r="G292" s="143" t="inlineStr">
        <is>
          <t>,</t>
        </is>
      </c>
      <c r="S292" s="19">
        <f>A291</f>
        <v/>
      </c>
    </row>
    <row r="293">
      <c r="A293" s="143">
        <f>CONCATENATE(B292,C292,D292,E292,F292,G292)</f>
        <v/>
      </c>
      <c r="C293" s="143" t="inlineStr">
        <is>
          <t>[3,</t>
        </is>
      </c>
      <c r="D293" s="143" t="inlineStr">
        <is>
          <t>5,</t>
        </is>
      </c>
      <c r="E293" s="143">
        <f>'Control Panel'!$AQ$4</f>
        <v/>
      </c>
      <c r="F293" s="143" t="inlineStr">
        <is>
          <t>]</t>
        </is>
      </c>
      <c r="G293" s="143" t="inlineStr">
        <is>
          <t>,</t>
        </is>
      </c>
      <c r="S293" s="19">
        <f>A292</f>
        <v/>
      </c>
    </row>
    <row r="294">
      <c r="A294" s="143">
        <f>CONCATENATE(B293,C293,D293,E293,F293,G293)</f>
        <v/>
      </c>
      <c r="C294" s="143" t="inlineStr">
        <is>
          <t>[3,</t>
        </is>
      </c>
      <c r="D294" s="143" t="inlineStr">
        <is>
          <t>6,</t>
        </is>
      </c>
      <c r="E294" s="143">
        <f>'Control Panel'!$AM$5</f>
        <v/>
      </c>
      <c r="F294" s="143" t="inlineStr">
        <is>
          <t>]</t>
        </is>
      </c>
      <c r="G294" s="143" t="inlineStr">
        <is>
          <t>,</t>
        </is>
      </c>
      <c r="S294" s="19">
        <f>A293</f>
        <v/>
      </c>
    </row>
    <row r="295">
      <c r="A295" s="143">
        <f>CONCATENATE(B294,C294,D294,E294,F294,G294)</f>
        <v/>
      </c>
      <c r="C295" s="143" t="inlineStr">
        <is>
          <t>[3,</t>
        </is>
      </c>
      <c r="D295" s="143" t="inlineStr">
        <is>
          <t>7,</t>
        </is>
      </c>
      <c r="E295" s="143">
        <f>'Control Panel'!$AN$5</f>
        <v/>
      </c>
      <c r="F295" s="143" t="inlineStr">
        <is>
          <t>]</t>
        </is>
      </c>
      <c r="G295" s="143" t="inlineStr">
        <is>
          <t>,</t>
        </is>
      </c>
      <c r="S295" s="19">
        <f>A294</f>
        <v/>
      </c>
    </row>
    <row r="296">
      <c r="A296" s="143">
        <f>CONCATENATE(B295,C295,D295,E295,F295,G295)</f>
        <v/>
      </c>
      <c r="C296" s="143" t="inlineStr">
        <is>
          <t>[3,</t>
        </is>
      </c>
      <c r="D296" s="143" t="inlineStr">
        <is>
          <t>8,</t>
        </is>
      </c>
      <c r="E296" s="143">
        <f>'Control Panel'!$AO$5</f>
        <v/>
      </c>
      <c r="F296" s="143" t="inlineStr">
        <is>
          <t>]</t>
        </is>
      </c>
      <c r="G296" s="143" t="inlineStr">
        <is>
          <t>,</t>
        </is>
      </c>
      <c r="S296" s="19">
        <f>A295</f>
        <v/>
      </c>
    </row>
    <row r="297">
      <c r="A297" s="143">
        <f>CONCATENATE(B296,C296,D296,E296,F296,G296)</f>
        <v/>
      </c>
      <c r="C297" s="143" t="inlineStr">
        <is>
          <t>[3,</t>
        </is>
      </c>
      <c r="D297" s="143" t="inlineStr">
        <is>
          <t>9,</t>
        </is>
      </c>
      <c r="E297" s="143">
        <f>'Control Panel'!$AP$5</f>
        <v/>
      </c>
      <c r="F297" s="143" t="inlineStr">
        <is>
          <t>]</t>
        </is>
      </c>
      <c r="G297" s="143" t="inlineStr">
        <is>
          <t>,</t>
        </is>
      </c>
      <c r="S297" s="19">
        <f>A296</f>
        <v/>
      </c>
    </row>
    <row r="298">
      <c r="A298" s="143">
        <f>CONCATENATE(B297,C297,D297,E297,F297,G297)</f>
        <v/>
      </c>
      <c r="C298" s="143" t="inlineStr">
        <is>
          <t>[3,</t>
        </is>
      </c>
      <c r="D298" s="143" t="inlineStr">
        <is>
          <t>10,</t>
        </is>
      </c>
      <c r="E298" s="143">
        <f>'Control Panel'!$AQ$5</f>
        <v/>
      </c>
      <c r="F298" s="143" t="inlineStr">
        <is>
          <t>]</t>
        </is>
      </c>
      <c r="G298" s="143" t="inlineStr">
        <is>
          <t>,</t>
        </is>
      </c>
      <c r="S298" s="19">
        <f>A297</f>
        <v/>
      </c>
    </row>
    <row r="299">
      <c r="A299" s="143">
        <f>CONCATENATE(B298,C298,D298,E298,F298,G298)</f>
        <v/>
      </c>
      <c r="C299" s="143" t="inlineStr">
        <is>
          <t>[3,</t>
        </is>
      </c>
      <c r="D299" s="143" t="inlineStr">
        <is>
          <t>11,</t>
        </is>
      </c>
      <c r="E299" s="143">
        <f>'Control Panel'!$AM$6</f>
        <v/>
      </c>
      <c r="F299" s="143" t="inlineStr">
        <is>
          <t>]</t>
        </is>
      </c>
      <c r="G299" s="143" t="inlineStr">
        <is>
          <t>,</t>
        </is>
      </c>
      <c r="S299" s="19">
        <f>A298</f>
        <v/>
      </c>
    </row>
    <row r="300">
      <c r="A300" s="143">
        <f>CONCATENATE(B299,C299,D299,E299,F299,G299)</f>
        <v/>
      </c>
      <c r="C300" s="143" t="inlineStr">
        <is>
          <t>[3,</t>
        </is>
      </c>
      <c r="D300" s="143" t="inlineStr">
        <is>
          <t>12,</t>
        </is>
      </c>
      <c r="E300" s="143">
        <f>'Control Panel'!$AN$6</f>
        <v/>
      </c>
      <c r="F300" s="143" t="inlineStr">
        <is>
          <t>]</t>
        </is>
      </c>
      <c r="G300" s="143" t="inlineStr">
        <is>
          <t>,</t>
        </is>
      </c>
      <c r="S300" s="19">
        <f>A299</f>
        <v/>
      </c>
    </row>
    <row r="301">
      <c r="A301" s="143">
        <f>CONCATENATE(B300,C300,D300,E300,F300,G300)</f>
        <v/>
      </c>
      <c r="C301" s="143" t="inlineStr">
        <is>
          <t>[3,</t>
        </is>
      </c>
      <c r="D301" s="143" t="inlineStr">
        <is>
          <t>13,</t>
        </is>
      </c>
      <c r="E301" s="143" t="n">
        <v>0</v>
      </c>
      <c r="F301" s="143" t="inlineStr">
        <is>
          <t>]</t>
        </is>
      </c>
      <c r="G301" s="143" t="inlineStr">
        <is>
          <t>,</t>
        </is>
      </c>
      <c r="S301" s="19">
        <f>A300</f>
        <v/>
      </c>
    </row>
    <row r="302">
      <c r="A302" s="143">
        <f>CONCATENATE(B301,C301,D301,E301,F301,G301)</f>
        <v/>
      </c>
      <c r="C302" s="143" t="inlineStr">
        <is>
          <t>[3,</t>
        </is>
      </c>
      <c r="D302" s="143" t="inlineStr">
        <is>
          <t>14,</t>
        </is>
      </c>
      <c r="E302" s="143">
        <f>'Control Panel'!$AP$6</f>
        <v/>
      </c>
      <c r="F302" s="143" t="inlineStr">
        <is>
          <t>]</t>
        </is>
      </c>
      <c r="G302" s="143" t="inlineStr">
        <is>
          <t>,</t>
        </is>
      </c>
      <c r="S302" s="19">
        <f>A301</f>
        <v/>
      </c>
    </row>
    <row r="303">
      <c r="A303" s="143">
        <f>CONCATENATE(B302,C302,D302,E302,F302,G302)</f>
        <v/>
      </c>
      <c r="C303" s="143" t="inlineStr">
        <is>
          <t>[3,</t>
        </is>
      </c>
      <c r="D303" s="143" t="inlineStr">
        <is>
          <t>15,</t>
        </is>
      </c>
      <c r="E303" s="143">
        <f>'Control Panel'!$AQ$6</f>
        <v/>
      </c>
      <c r="F303" s="143" t="inlineStr">
        <is>
          <t>]</t>
        </is>
      </c>
      <c r="G303" s="143" t="inlineStr">
        <is>
          <t>,</t>
        </is>
      </c>
      <c r="S303" s="19">
        <f>A302</f>
        <v/>
      </c>
    </row>
    <row r="304">
      <c r="A304" s="143">
        <f>CONCATENATE(B303,C303,D303,E303,F303,G303)</f>
        <v/>
      </c>
      <c r="C304" s="143" t="inlineStr">
        <is>
          <t>[3,</t>
        </is>
      </c>
      <c r="D304" s="143" t="inlineStr">
        <is>
          <t>16,</t>
        </is>
      </c>
      <c r="E304" s="143">
        <f>'Control Panel'!$AM$7</f>
        <v/>
      </c>
      <c r="F304" s="143" t="inlineStr">
        <is>
          <t>]</t>
        </is>
      </c>
      <c r="G304" s="143" t="inlineStr">
        <is>
          <t>,</t>
        </is>
      </c>
      <c r="S304" s="19">
        <f>A303</f>
        <v/>
      </c>
    </row>
    <row r="305">
      <c r="A305" s="143">
        <f>CONCATENATE(B304,C304,D304,E304,F304,G304)</f>
        <v/>
      </c>
      <c r="C305" s="143" t="inlineStr">
        <is>
          <t>[3,</t>
        </is>
      </c>
      <c r="D305" s="143" t="inlineStr">
        <is>
          <t>17,</t>
        </is>
      </c>
      <c r="E305" s="143">
        <f>'Control Panel'!$AN$7</f>
        <v/>
      </c>
      <c r="F305" s="143" t="inlineStr">
        <is>
          <t>]</t>
        </is>
      </c>
      <c r="G305" s="143" t="inlineStr">
        <is>
          <t>,</t>
        </is>
      </c>
      <c r="S305" s="19">
        <f>A304</f>
        <v/>
      </c>
    </row>
    <row r="306">
      <c r="A306" s="143">
        <f>CONCATENATE(B305,C305,D305,E305,F305,G305)</f>
        <v/>
      </c>
      <c r="C306" s="143" t="inlineStr">
        <is>
          <t>[3,</t>
        </is>
      </c>
      <c r="D306" s="143" t="inlineStr">
        <is>
          <t>18,</t>
        </is>
      </c>
      <c r="E306" s="143">
        <f>'Control Panel'!$AO$7</f>
        <v/>
      </c>
      <c r="F306" s="143" t="inlineStr">
        <is>
          <t>]</t>
        </is>
      </c>
      <c r="G306" s="143" t="inlineStr">
        <is>
          <t>,</t>
        </is>
      </c>
      <c r="S306" s="19">
        <f>A305</f>
        <v/>
      </c>
    </row>
    <row r="307">
      <c r="A307" s="143">
        <f>CONCATENATE(B306,C306,D306,E306,F306,G306)</f>
        <v/>
      </c>
      <c r="C307" s="143" t="inlineStr">
        <is>
          <t>[3,</t>
        </is>
      </c>
      <c r="D307" s="143" t="inlineStr">
        <is>
          <t>19,</t>
        </is>
      </c>
      <c r="E307" s="143">
        <f>'Control Panel'!$AP$7</f>
        <v/>
      </c>
      <c r="F307" s="143" t="inlineStr">
        <is>
          <t>]</t>
        </is>
      </c>
      <c r="G307" s="143" t="inlineStr">
        <is>
          <t>,</t>
        </is>
      </c>
      <c r="S307" s="19">
        <f>A306</f>
        <v/>
      </c>
    </row>
    <row r="308">
      <c r="A308" s="143">
        <f>CONCATENATE(B307,C307,D307,E307,F307,G307)</f>
        <v/>
      </c>
      <c r="C308" s="143" t="inlineStr">
        <is>
          <t>[3,</t>
        </is>
      </c>
      <c r="D308" s="143" t="inlineStr">
        <is>
          <t>20,</t>
        </is>
      </c>
      <c r="E308" s="143">
        <f>'Control Panel'!$AQ$7</f>
        <v/>
      </c>
      <c r="F308" s="143" t="inlineStr">
        <is>
          <t>]</t>
        </is>
      </c>
      <c r="G308" s="143" t="inlineStr">
        <is>
          <t>,</t>
        </is>
      </c>
      <c r="S308" s="19">
        <f>A307</f>
        <v/>
      </c>
    </row>
    <row r="309">
      <c r="A309" s="143">
        <f>CONCATENATE(B308,C308,D308,E308,F308,G308)</f>
        <v/>
      </c>
      <c r="C309" s="143" t="inlineStr">
        <is>
          <t>[3,</t>
        </is>
      </c>
      <c r="D309" s="143" t="inlineStr">
        <is>
          <t>21,</t>
        </is>
      </c>
      <c r="E309" s="143">
        <f>'Control Panel'!$AM$8</f>
        <v/>
      </c>
      <c r="F309" s="143" t="inlineStr">
        <is>
          <t>]</t>
        </is>
      </c>
      <c r="G309" s="143" t="inlineStr">
        <is>
          <t>,</t>
        </is>
      </c>
      <c r="S309" s="19">
        <f>A308</f>
        <v/>
      </c>
    </row>
    <row r="310">
      <c r="A310" s="143">
        <f>CONCATENATE(B309,C309,D309,E309,F309,G309)</f>
        <v/>
      </c>
      <c r="C310" s="143" t="inlineStr">
        <is>
          <t>[3,</t>
        </is>
      </c>
      <c r="D310" s="143" t="inlineStr">
        <is>
          <t>22,</t>
        </is>
      </c>
      <c r="E310" s="143">
        <f>'Control Panel'!$AN$8</f>
        <v/>
      </c>
      <c r="F310" s="143" t="inlineStr">
        <is>
          <t>]</t>
        </is>
      </c>
      <c r="G310" s="143" t="inlineStr">
        <is>
          <t>,</t>
        </is>
      </c>
      <c r="S310" s="19">
        <f>A309</f>
        <v/>
      </c>
    </row>
    <row r="311">
      <c r="A311" s="143">
        <f>CONCATENATE(B310,C310,D310,E310,F310,G310)</f>
        <v/>
      </c>
      <c r="C311" s="143" t="inlineStr">
        <is>
          <t>[3,</t>
        </is>
      </c>
      <c r="D311" s="143" t="inlineStr">
        <is>
          <t>23,</t>
        </is>
      </c>
      <c r="E311" s="143">
        <f>'Control Panel'!$AO$8</f>
        <v/>
      </c>
      <c r="F311" s="143" t="inlineStr">
        <is>
          <t>]</t>
        </is>
      </c>
      <c r="G311" s="143" t="inlineStr">
        <is>
          <t>,</t>
        </is>
      </c>
      <c r="S311" s="19">
        <f>A310</f>
        <v/>
      </c>
    </row>
    <row r="312">
      <c r="A312" s="143">
        <f>CONCATENATE(B311,C311,D311,E311,F311,G311)</f>
        <v/>
      </c>
      <c r="C312" s="143" t="inlineStr">
        <is>
          <t>[3,</t>
        </is>
      </c>
      <c r="D312" s="143" t="inlineStr">
        <is>
          <t>24,</t>
        </is>
      </c>
      <c r="E312" s="143">
        <f>'Control Panel'!$AP$8</f>
        <v/>
      </c>
      <c r="F312" s="143" t="inlineStr">
        <is>
          <t>]</t>
        </is>
      </c>
      <c r="G312" s="143" t="inlineStr">
        <is>
          <t>,</t>
        </is>
      </c>
      <c r="S312" s="19">
        <f>A311</f>
        <v/>
      </c>
    </row>
    <row r="313">
      <c r="A313" s="143">
        <f>CONCATENATE(B312,C312,D312,E312,F312,G312)</f>
        <v/>
      </c>
      <c r="C313" s="143" t="inlineStr">
        <is>
          <t>[3,</t>
        </is>
      </c>
      <c r="D313" s="143" t="inlineStr">
        <is>
          <t>25,</t>
        </is>
      </c>
      <c r="E313" s="143">
        <f>'Control Panel'!$AQ$8</f>
        <v/>
      </c>
      <c r="F313" s="143" t="inlineStr">
        <is>
          <t>]</t>
        </is>
      </c>
      <c r="G313" s="143" t="inlineStr">
        <is>
          <t>,</t>
        </is>
      </c>
      <c r="S313" s="19">
        <f>A312</f>
        <v/>
      </c>
    </row>
    <row r="314">
      <c r="A314" s="143">
        <f>CONCATENATE(B313,C313,D313,E313,F313,G313)</f>
        <v/>
      </c>
      <c r="S314" s="19">
        <f>A313</f>
        <v/>
      </c>
    </row>
    <row r="315">
      <c r="A315" s="143">
        <f>CONCATENATE(B314,C314,D314,E314,F314,G314)</f>
        <v/>
      </c>
      <c r="C315" s="143" t="inlineStr">
        <is>
          <t>[4,</t>
        </is>
      </c>
      <c r="D315" s="143" t="inlineStr">
        <is>
          <t>1,</t>
        </is>
      </c>
      <c r="E315" s="143">
        <f>'Control Panel'!$AS$4</f>
        <v/>
      </c>
      <c r="F315" s="143" t="inlineStr">
        <is>
          <t>]</t>
        </is>
      </c>
      <c r="G315" s="143" t="inlineStr">
        <is>
          <t>,</t>
        </is>
      </c>
      <c r="S315" s="19">
        <f>A314</f>
        <v/>
      </c>
    </row>
    <row r="316">
      <c r="A316" s="143">
        <f>CONCATENATE(B315,C315,D315,E315,F315,G315)</f>
        <v/>
      </c>
      <c r="C316" s="143" t="inlineStr">
        <is>
          <t>[4,</t>
        </is>
      </c>
      <c r="D316" s="143" t="inlineStr">
        <is>
          <t>2,</t>
        </is>
      </c>
      <c r="E316" s="143">
        <f>'Control Panel'!$AT$4</f>
        <v/>
      </c>
      <c r="F316" s="143" t="inlineStr">
        <is>
          <t>]</t>
        </is>
      </c>
      <c r="G316" s="143" t="inlineStr">
        <is>
          <t>,</t>
        </is>
      </c>
      <c r="S316" s="19">
        <f>A315</f>
        <v/>
      </c>
    </row>
    <row r="317">
      <c r="A317" s="143">
        <f>CONCATENATE(B316,C316,D316,E316,F316,G316)</f>
        <v/>
      </c>
      <c r="C317" s="143" t="inlineStr">
        <is>
          <t>[4,</t>
        </is>
      </c>
      <c r="D317" s="143" t="inlineStr">
        <is>
          <t>3,</t>
        </is>
      </c>
      <c r="E317" s="143">
        <f>'Control Panel'!$AU$4</f>
        <v/>
      </c>
      <c r="F317" s="143" t="inlineStr">
        <is>
          <t>]</t>
        </is>
      </c>
      <c r="G317" s="143" t="inlineStr">
        <is>
          <t>,</t>
        </is>
      </c>
      <c r="S317" s="19">
        <f>A316</f>
        <v/>
      </c>
    </row>
    <row r="318">
      <c r="A318" s="143">
        <f>CONCATENATE(B317,C317,D317,E317,F317,G317)</f>
        <v/>
      </c>
      <c r="C318" s="143" t="inlineStr">
        <is>
          <t>[4,</t>
        </is>
      </c>
      <c r="D318" s="143" t="inlineStr">
        <is>
          <t>4,</t>
        </is>
      </c>
      <c r="E318" s="143">
        <f>'Control Panel'!$AV$4</f>
        <v/>
      </c>
      <c r="F318" s="143" t="inlineStr">
        <is>
          <t>]</t>
        </is>
      </c>
      <c r="G318" s="143" t="inlineStr">
        <is>
          <t>,</t>
        </is>
      </c>
      <c r="S318" s="19">
        <f>A317</f>
        <v/>
      </c>
    </row>
    <row r="319">
      <c r="A319" s="143">
        <f>CONCATENATE(B318,C318,D318,E318,F318,G318)</f>
        <v/>
      </c>
      <c r="C319" s="143" t="inlineStr">
        <is>
          <t>[4,</t>
        </is>
      </c>
      <c r="D319" s="143" t="inlineStr">
        <is>
          <t>5,</t>
        </is>
      </c>
      <c r="E319" s="143">
        <f>'Control Panel'!$AW$4</f>
        <v/>
      </c>
      <c r="F319" s="143" t="inlineStr">
        <is>
          <t>]</t>
        </is>
      </c>
      <c r="G319" s="143" t="inlineStr">
        <is>
          <t>,</t>
        </is>
      </c>
      <c r="S319" s="19">
        <f>A318</f>
        <v/>
      </c>
    </row>
    <row r="320">
      <c r="A320" s="143">
        <f>CONCATENATE(B319,C319,D319,E319,F319,G319)</f>
        <v/>
      </c>
      <c r="C320" s="143" t="inlineStr">
        <is>
          <t>[4,</t>
        </is>
      </c>
      <c r="D320" s="143" t="inlineStr">
        <is>
          <t>6,</t>
        </is>
      </c>
      <c r="E320" s="143">
        <f>'Control Panel'!$AS$5</f>
        <v/>
      </c>
      <c r="F320" s="143" t="inlineStr">
        <is>
          <t>]</t>
        </is>
      </c>
      <c r="G320" s="143" t="inlineStr">
        <is>
          <t>,</t>
        </is>
      </c>
      <c r="S320" s="19">
        <f>A319</f>
        <v/>
      </c>
    </row>
    <row r="321">
      <c r="A321" s="143">
        <f>CONCATENATE(B320,C320,D320,E320,F320,G320)</f>
        <v/>
      </c>
      <c r="C321" s="143" t="inlineStr">
        <is>
          <t>[4,</t>
        </is>
      </c>
      <c r="D321" s="143" t="inlineStr">
        <is>
          <t>7,</t>
        </is>
      </c>
      <c r="E321" s="143">
        <f>'Control Panel'!$AT$5</f>
        <v/>
      </c>
      <c r="F321" s="143" t="inlineStr">
        <is>
          <t>]</t>
        </is>
      </c>
      <c r="G321" s="143" t="inlineStr">
        <is>
          <t>,</t>
        </is>
      </c>
      <c r="S321" s="19">
        <f>A320</f>
        <v/>
      </c>
    </row>
    <row r="322">
      <c r="A322" s="143">
        <f>CONCATENATE(B321,C321,D321,E321,F321,G321)</f>
        <v/>
      </c>
      <c r="C322" s="143" t="inlineStr">
        <is>
          <t>[4,</t>
        </is>
      </c>
      <c r="D322" s="143" t="inlineStr">
        <is>
          <t>8,</t>
        </is>
      </c>
      <c r="E322" s="143">
        <f>'Control Panel'!$AU$5</f>
        <v/>
      </c>
      <c r="F322" s="143" t="inlineStr">
        <is>
          <t>]</t>
        </is>
      </c>
      <c r="G322" s="143" t="inlineStr">
        <is>
          <t>,</t>
        </is>
      </c>
      <c r="S322" s="19">
        <f>A321</f>
        <v/>
      </c>
    </row>
    <row r="323">
      <c r="A323" s="143">
        <f>CONCATENATE(B322,C322,D322,E322,F322,G322)</f>
        <v/>
      </c>
      <c r="C323" s="143" t="inlineStr">
        <is>
          <t>[4,</t>
        </is>
      </c>
      <c r="D323" s="143" t="inlineStr">
        <is>
          <t>9,</t>
        </is>
      </c>
      <c r="E323" s="143">
        <f>'Control Panel'!$AV$5</f>
        <v/>
      </c>
      <c r="F323" s="143" t="inlineStr">
        <is>
          <t>]</t>
        </is>
      </c>
      <c r="G323" s="143" t="inlineStr">
        <is>
          <t>,</t>
        </is>
      </c>
      <c r="S323" s="19">
        <f>A322</f>
        <v/>
      </c>
    </row>
    <row r="324">
      <c r="A324" s="143">
        <f>CONCATENATE(B323,C323,D323,E323,F323,G323)</f>
        <v/>
      </c>
      <c r="C324" s="143" t="inlineStr">
        <is>
          <t>[4,</t>
        </is>
      </c>
      <c r="D324" s="143" t="inlineStr">
        <is>
          <t>10,</t>
        </is>
      </c>
      <c r="E324" s="143">
        <f>'Control Panel'!$AW$5</f>
        <v/>
      </c>
      <c r="F324" s="143" t="inlineStr">
        <is>
          <t>]</t>
        </is>
      </c>
      <c r="G324" s="143" t="inlineStr">
        <is>
          <t>,</t>
        </is>
      </c>
      <c r="S324" s="19">
        <f>A323</f>
        <v/>
      </c>
    </row>
    <row r="325">
      <c r="A325" s="143">
        <f>CONCATENATE(B324,C324,D324,E324,F324,G324)</f>
        <v/>
      </c>
      <c r="C325" s="143" t="inlineStr">
        <is>
          <t>[4,</t>
        </is>
      </c>
      <c r="D325" s="143" t="inlineStr">
        <is>
          <t>11,</t>
        </is>
      </c>
      <c r="E325" s="143">
        <f>'Control Panel'!$AS$6</f>
        <v/>
      </c>
      <c r="F325" s="143" t="inlineStr">
        <is>
          <t>]</t>
        </is>
      </c>
      <c r="G325" s="143" t="inlineStr">
        <is>
          <t>,</t>
        </is>
      </c>
      <c r="S325" s="19">
        <f>A324</f>
        <v/>
      </c>
    </row>
    <row r="326">
      <c r="A326" s="143">
        <f>CONCATENATE(B325,C325,D325,E325,F325,G325)</f>
        <v/>
      </c>
      <c r="C326" s="143" t="inlineStr">
        <is>
          <t>[4,</t>
        </is>
      </c>
      <c r="D326" s="143" t="inlineStr">
        <is>
          <t>12,</t>
        </is>
      </c>
      <c r="E326" s="143">
        <f>'Control Panel'!$AT$6</f>
        <v/>
      </c>
      <c r="F326" s="143" t="inlineStr">
        <is>
          <t>]</t>
        </is>
      </c>
      <c r="G326" s="143" t="inlineStr">
        <is>
          <t>,</t>
        </is>
      </c>
      <c r="S326" s="19">
        <f>A325</f>
        <v/>
      </c>
    </row>
    <row r="327">
      <c r="A327" s="143">
        <f>CONCATENATE(B326,C326,D326,E326,F326,G326)</f>
        <v/>
      </c>
      <c r="C327" s="143" t="inlineStr">
        <is>
          <t>[4,</t>
        </is>
      </c>
      <c r="D327" s="143" t="inlineStr">
        <is>
          <t>13,</t>
        </is>
      </c>
      <c r="E327" s="143" t="n">
        <v>0</v>
      </c>
      <c r="F327" s="143" t="inlineStr">
        <is>
          <t>]</t>
        </is>
      </c>
      <c r="G327" s="143" t="inlineStr">
        <is>
          <t>,</t>
        </is>
      </c>
      <c r="S327" s="19">
        <f>A326</f>
        <v/>
      </c>
    </row>
    <row r="328">
      <c r="A328" s="143">
        <f>CONCATENATE(B327,C327,D327,E327,F327,G327)</f>
        <v/>
      </c>
      <c r="C328" s="143" t="inlineStr">
        <is>
          <t>[4,</t>
        </is>
      </c>
      <c r="D328" s="143" t="inlineStr">
        <is>
          <t>14,</t>
        </is>
      </c>
      <c r="E328" s="143">
        <f>'Control Panel'!$AV$6</f>
        <v/>
      </c>
      <c r="F328" s="143" t="inlineStr">
        <is>
          <t>]</t>
        </is>
      </c>
      <c r="G328" s="143" t="inlineStr">
        <is>
          <t>,</t>
        </is>
      </c>
      <c r="S328" s="19">
        <f>A327</f>
        <v/>
      </c>
    </row>
    <row r="329">
      <c r="A329" s="143">
        <f>CONCATENATE(B328,C328,D328,E328,F328,G328)</f>
        <v/>
      </c>
      <c r="C329" s="143" t="inlineStr">
        <is>
          <t>[4,</t>
        </is>
      </c>
      <c r="D329" s="143" t="inlineStr">
        <is>
          <t>15,</t>
        </is>
      </c>
      <c r="E329" s="143">
        <f>'Control Panel'!$AW$6</f>
        <v/>
      </c>
      <c r="F329" s="143" t="inlineStr">
        <is>
          <t>]</t>
        </is>
      </c>
      <c r="G329" s="143" t="inlineStr">
        <is>
          <t>,</t>
        </is>
      </c>
      <c r="S329" s="19">
        <f>A328</f>
        <v/>
      </c>
    </row>
    <row r="330">
      <c r="A330" s="143">
        <f>CONCATENATE(B329,C329,D329,E329,F329,G329)</f>
        <v/>
      </c>
      <c r="C330" s="143" t="inlineStr">
        <is>
          <t>[4,</t>
        </is>
      </c>
      <c r="D330" s="143" t="inlineStr">
        <is>
          <t>16,</t>
        </is>
      </c>
      <c r="E330" s="143">
        <f>'Control Panel'!$AS$7</f>
        <v/>
      </c>
      <c r="F330" s="143" t="inlineStr">
        <is>
          <t>]</t>
        </is>
      </c>
      <c r="G330" s="143" t="inlineStr">
        <is>
          <t>,</t>
        </is>
      </c>
      <c r="S330" s="19">
        <f>A329</f>
        <v/>
      </c>
    </row>
    <row r="331">
      <c r="A331" s="143">
        <f>CONCATENATE(B330,C330,D330,E330,F330,G330)</f>
        <v/>
      </c>
      <c r="C331" s="143" t="inlineStr">
        <is>
          <t>[4,</t>
        </is>
      </c>
      <c r="D331" s="143" t="inlineStr">
        <is>
          <t>17,</t>
        </is>
      </c>
      <c r="E331" s="143">
        <f>'Control Panel'!$AT$7</f>
        <v/>
      </c>
      <c r="F331" s="143" t="inlineStr">
        <is>
          <t>]</t>
        </is>
      </c>
      <c r="G331" s="143" t="inlineStr">
        <is>
          <t>,</t>
        </is>
      </c>
      <c r="S331" s="19">
        <f>A330</f>
        <v/>
      </c>
    </row>
    <row r="332">
      <c r="A332" s="143">
        <f>CONCATENATE(B331,C331,D331,E331,F331,G331)</f>
        <v/>
      </c>
      <c r="C332" s="143" t="inlineStr">
        <is>
          <t>[4,</t>
        </is>
      </c>
      <c r="D332" s="143" t="inlineStr">
        <is>
          <t>18,</t>
        </is>
      </c>
      <c r="E332" s="143">
        <f>'Control Panel'!$AU$7</f>
        <v/>
      </c>
      <c r="F332" s="143" t="inlineStr">
        <is>
          <t>]</t>
        </is>
      </c>
      <c r="G332" s="143" t="inlineStr">
        <is>
          <t>,</t>
        </is>
      </c>
      <c r="S332" s="19">
        <f>A331</f>
        <v/>
      </c>
    </row>
    <row r="333">
      <c r="A333" s="143">
        <f>CONCATENATE(B332,C332,D332,E332,F332,G332)</f>
        <v/>
      </c>
      <c r="C333" s="143" t="inlineStr">
        <is>
          <t>[4,</t>
        </is>
      </c>
      <c r="D333" s="143" t="inlineStr">
        <is>
          <t>19,</t>
        </is>
      </c>
      <c r="E333" s="143">
        <f>'Control Panel'!$AV$7</f>
        <v/>
      </c>
      <c r="F333" s="143" t="inlineStr">
        <is>
          <t>]</t>
        </is>
      </c>
      <c r="G333" s="143" t="inlineStr">
        <is>
          <t>,</t>
        </is>
      </c>
      <c r="S333" s="19">
        <f>A332</f>
        <v/>
      </c>
    </row>
    <row r="334">
      <c r="A334" s="143">
        <f>CONCATENATE(B333,C333,D333,E333,F333,G333)</f>
        <v/>
      </c>
      <c r="C334" s="143" t="inlineStr">
        <is>
          <t>[4,</t>
        </is>
      </c>
      <c r="D334" s="143" t="inlineStr">
        <is>
          <t>20,</t>
        </is>
      </c>
      <c r="E334" s="143">
        <f>'Control Panel'!$AW$7</f>
        <v/>
      </c>
      <c r="F334" s="143" t="inlineStr">
        <is>
          <t>]</t>
        </is>
      </c>
      <c r="G334" s="143" t="inlineStr">
        <is>
          <t>,</t>
        </is>
      </c>
      <c r="S334" s="19">
        <f>A333</f>
        <v/>
      </c>
    </row>
    <row r="335">
      <c r="A335" s="143">
        <f>CONCATENATE(B334,C334,D334,E334,F334,G334)</f>
        <v/>
      </c>
      <c r="C335" s="143" t="inlineStr">
        <is>
          <t>[4,</t>
        </is>
      </c>
      <c r="D335" s="143" t="inlineStr">
        <is>
          <t>21,</t>
        </is>
      </c>
      <c r="E335" s="143">
        <f>'Control Panel'!$AS$8</f>
        <v/>
      </c>
      <c r="F335" s="143" t="inlineStr">
        <is>
          <t>]</t>
        </is>
      </c>
      <c r="G335" s="143" t="inlineStr">
        <is>
          <t>,</t>
        </is>
      </c>
      <c r="S335" s="19">
        <f>A334</f>
        <v/>
      </c>
    </row>
    <row r="336">
      <c r="A336" s="143">
        <f>CONCATENATE(B335,C335,D335,E335,F335,G335)</f>
        <v/>
      </c>
      <c r="C336" s="143" t="inlineStr">
        <is>
          <t>[4,</t>
        </is>
      </c>
      <c r="D336" s="143" t="inlineStr">
        <is>
          <t>22,</t>
        </is>
      </c>
      <c r="E336" s="143">
        <f>'Control Panel'!$AT$8</f>
        <v/>
      </c>
      <c r="F336" s="143" t="inlineStr">
        <is>
          <t>]</t>
        </is>
      </c>
      <c r="G336" s="143" t="inlineStr">
        <is>
          <t>,</t>
        </is>
      </c>
      <c r="S336" s="19">
        <f>A335</f>
        <v/>
      </c>
    </row>
    <row r="337">
      <c r="A337" s="143">
        <f>CONCATENATE(B336,C336,D336,E336,F336,G336)</f>
        <v/>
      </c>
      <c r="C337" s="143" t="inlineStr">
        <is>
          <t>[4,</t>
        </is>
      </c>
      <c r="D337" s="143" t="inlineStr">
        <is>
          <t>23,</t>
        </is>
      </c>
      <c r="E337" s="143">
        <f>'Control Panel'!$AU$8</f>
        <v/>
      </c>
      <c r="F337" s="143" t="inlineStr">
        <is>
          <t>]</t>
        </is>
      </c>
      <c r="G337" s="143" t="inlineStr">
        <is>
          <t>,</t>
        </is>
      </c>
      <c r="S337" s="19">
        <f>A336</f>
        <v/>
      </c>
    </row>
    <row r="338">
      <c r="A338" s="143">
        <f>CONCATENATE(B337,C337,D337,E337,F337,G337)</f>
        <v/>
      </c>
      <c r="C338" s="143" t="inlineStr">
        <is>
          <t>[4,</t>
        </is>
      </c>
      <c r="D338" s="143" t="inlineStr">
        <is>
          <t>24,</t>
        </is>
      </c>
      <c r="E338" s="143">
        <f>'Control Panel'!$AV$8</f>
        <v/>
      </c>
      <c r="F338" s="143" t="inlineStr">
        <is>
          <t>]</t>
        </is>
      </c>
      <c r="G338" s="143" t="inlineStr">
        <is>
          <t>,</t>
        </is>
      </c>
      <c r="S338" s="19">
        <f>A337</f>
        <v/>
      </c>
    </row>
    <row r="339">
      <c r="A339" s="143">
        <f>CONCATENATE(B338,C338,D338,E338,F338,G338)</f>
        <v/>
      </c>
      <c r="C339" s="143" t="inlineStr">
        <is>
          <t>[4,</t>
        </is>
      </c>
      <c r="D339" s="143" t="inlineStr">
        <is>
          <t>25,</t>
        </is>
      </c>
      <c r="E339" s="143">
        <f>'Control Panel'!$AW$8</f>
        <v/>
      </c>
      <c r="F339" s="143" t="inlineStr">
        <is>
          <t>]</t>
        </is>
      </c>
      <c r="G339" s="143" t="inlineStr">
        <is>
          <t>,</t>
        </is>
      </c>
      <c r="S339" s="19">
        <f>A338</f>
        <v/>
      </c>
    </row>
    <row r="340">
      <c r="A340" s="143">
        <f>CONCATENATE(B339,C339,D339,E339,F339,G339)</f>
        <v/>
      </c>
      <c r="S340" s="19">
        <f>A339</f>
        <v/>
      </c>
    </row>
    <row r="341">
      <c r="A341" s="143">
        <f>CONCATENATE(B340,C340,D340,E340,F340,G340)</f>
        <v/>
      </c>
      <c r="C341" s="143" t="inlineStr">
        <is>
          <t>[5,</t>
        </is>
      </c>
      <c r="D341" s="143" t="inlineStr">
        <is>
          <t>1,</t>
        </is>
      </c>
      <c r="E341" s="143">
        <f>'Control Panel'!$AA$11</f>
        <v/>
      </c>
      <c r="F341" s="143" t="inlineStr">
        <is>
          <t>]</t>
        </is>
      </c>
      <c r="G341" s="143" t="inlineStr">
        <is>
          <t>,</t>
        </is>
      </c>
      <c r="S341" s="19">
        <f>A340</f>
        <v/>
      </c>
    </row>
    <row r="342">
      <c r="A342" s="143">
        <f>CONCATENATE(B341,C341,D341,E341,F341,G341)</f>
        <v/>
      </c>
      <c r="C342" s="143" t="inlineStr">
        <is>
          <t>[5,</t>
        </is>
      </c>
      <c r="D342" s="143" t="inlineStr">
        <is>
          <t>2,</t>
        </is>
      </c>
      <c r="E342" s="143">
        <f>'Control Panel'!$AB$11</f>
        <v/>
      </c>
      <c r="F342" s="143" t="inlineStr">
        <is>
          <t>]</t>
        </is>
      </c>
      <c r="G342" s="143" t="inlineStr">
        <is>
          <t>,</t>
        </is>
      </c>
      <c r="S342" s="19">
        <f>A341</f>
        <v/>
      </c>
    </row>
    <row r="343">
      <c r="A343" s="143">
        <f>CONCATENATE(B342,C342,D342,E342,F342,G342)</f>
        <v/>
      </c>
      <c r="C343" s="143" t="inlineStr">
        <is>
          <t>[5,</t>
        </is>
      </c>
      <c r="D343" s="143" t="inlineStr">
        <is>
          <t>3,</t>
        </is>
      </c>
      <c r="E343" s="143">
        <f>'Control Panel'!$AC$11</f>
        <v/>
      </c>
      <c r="F343" s="143" t="inlineStr">
        <is>
          <t>]</t>
        </is>
      </c>
      <c r="G343" s="143" t="inlineStr">
        <is>
          <t>,</t>
        </is>
      </c>
      <c r="S343" s="19">
        <f>A342</f>
        <v/>
      </c>
    </row>
    <row r="344">
      <c r="A344" s="143">
        <f>CONCATENATE(B343,C343,D343,E343,F343,G343)</f>
        <v/>
      </c>
      <c r="C344" s="143" t="inlineStr">
        <is>
          <t>[5,</t>
        </is>
      </c>
      <c r="D344" s="143" t="inlineStr">
        <is>
          <t>4,</t>
        </is>
      </c>
      <c r="E344" s="143">
        <f>'Control Panel'!$AD$11</f>
        <v/>
      </c>
      <c r="F344" s="143" t="inlineStr">
        <is>
          <t>]</t>
        </is>
      </c>
      <c r="G344" s="143" t="inlineStr">
        <is>
          <t>,</t>
        </is>
      </c>
      <c r="S344" s="19">
        <f>A343</f>
        <v/>
      </c>
    </row>
    <row r="345">
      <c r="A345" s="143">
        <f>CONCATENATE(B344,C344,D344,E344,F344,G344)</f>
        <v/>
      </c>
      <c r="C345" s="143" t="inlineStr">
        <is>
          <t>[5,</t>
        </is>
      </c>
      <c r="D345" s="143" t="inlineStr">
        <is>
          <t>5,</t>
        </is>
      </c>
      <c r="E345" s="143">
        <f>'Control Panel'!$AE$11</f>
        <v/>
      </c>
      <c r="F345" s="143" t="inlineStr">
        <is>
          <t>]</t>
        </is>
      </c>
      <c r="G345" s="143" t="inlineStr">
        <is>
          <t>,</t>
        </is>
      </c>
      <c r="S345" s="19">
        <f>A344</f>
        <v/>
      </c>
    </row>
    <row r="346">
      <c r="A346" s="143">
        <f>CONCATENATE(B345,C345,D345,E345,F345,G345)</f>
        <v/>
      </c>
      <c r="C346" s="143" t="inlineStr">
        <is>
          <t>[5,</t>
        </is>
      </c>
      <c r="D346" s="143" t="inlineStr">
        <is>
          <t>6,</t>
        </is>
      </c>
      <c r="E346" s="143">
        <f>'Control Panel'!$AA$12</f>
        <v/>
      </c>
      <c r="F346" s="143" t="inlineStr">
        <is>
          <t>]</t>
        </is>
      </c>
      <c r="G346" s="143" t="inlineStr">
        <is>
          <t>,</t>
        </is>
      </c>
      <c r="S346" s="19">
        <f>A345</f>
        <v/>
      </c>
    </row>
    <row r="347">
      <c r="A347" s="143">
        <f>CONCATENATE(B346,C346,D346,E346,F346,G346)</f>
        <v/>
      </c>
      <c r="C347" s="143" t="inlineStr">
        <is>
          <t>[5,</t>
        </is>
      </c>
      <c r="D347" s="143" t="inlineStr">
        <is>
          <t>7,</t>
        </is>
      </c>
      <c r="E347" s="143">
        <f>'Control Panel'!$AB$12</f>
        <v/>
      </c>
      <c r="F347" s="143" t="inlineStr">
        <is>
          <t>]</t>
        </is>
      </c>
      <c r="G347" s="143" t="inlineStr">
        <is>
          <t>,</t>
        </is>
      </c>
      <c r="S347" s="19">
        <f>A346</f>
        <v/>
      </c>
    </row>
    <row r="348">
      <c r="A348" s="143">
        <f>CONCATENATE(B347,C347,D347,E347,F347,G347)</f>
        <v/>
      </c>
      <c r="C348" s="143" t="inlineStr">
        <is>
          <t>[5,</t>
        </is>
      </c>
      <c r="D348" s="143" t="inlineStr">
        <is>
          <t>8,</t>
        </is>
      </c>
      <c r="E348" s="143">
        <f>'Control Panel'!$AC$12</f>
        <v/>
      </c>
      <c r="F348" s="143" t="inlineStr">
        <is>
          <t>]</t>
        </is>
      </c>
      <c r="G348" s="143" t="inlineStr">
        <is>
          <t>,</t>
        </is>
      </c>
      <c r="S348" s="19">
        <f>A347</f>
        <v/>
      </c>
    </row>
    <row r="349">
      <c r="A349" s="143">
        <f>CONCATENATE(B348,C348,D348,E348,F348,G348)</f>
        <v/>
      </c>
      <c r="C349" s="143" t="inlineStr">
        <is>
          <t>[5,</t>
        </is>
      </c>
      <c r="D349" s="143" t="inlineStr">
        <is>
          <t>9,</t>
        </is>
      </c>
      <c r="E349" s="143">
        <f>'Control Panel'!$AD$12</f>
        <v/>
      </c>
      <c r="F349" s="143" t="inlineStr">
        <is>
          <t>]</t>
        </is>
      </c>
      <c r="G349" s="143" t="inlineStr">
        <is>
          <t>,</t>
        </is>
      </c>
      <c r="S349" s="19">
        <f>A348</f>
        <v/>
      </c>
    </row>
    <row r="350">
      <c r="A350" s="143">
        <f>CONCATENATE(B349,C349,D349,E349,F349,G349)</f>
        <v/>
      </c>
      <c r="C350" s="143" t="inlineStr">
        <is>
          <t>[5,</t>
        </is>
      </c>
      <c r="D350" s="143" t="inlineStr">
        <is>
          <t>10,</t>
        </is>
      </c>
      <c r="E350" s="143">
        <f>'Control Panel'!$AE$12</f>
        <v/>
      </c>
      <c r="F350" s="143" t="inlineStr">
        <is>
          <t>]</t>
        </is>
      </c>
      <c r="G350" s="143" t="inlineStr">
        <is>
          <t>,</t>
        </is>
      </c>
      <c r="S350" s="19">
        <f>A349</f>
        <v/>
      </c>
    </row>
    <row r="351">
      <c r="A351" s="143">
        <f>CONCATENATE(B350,C350,D350,E350,F350,G350)</f>
        <v/>
      </c>
      <c r="C351" s="143" t="inlineStr">
        <is>
          <t>[5,</t>
        </is>
      </c>
      <c r="D351" s="143" t="inlineStr">
        <is>
          <t>11,</t>
        </is>
      </c>
      <c r="E351" s="143">
        <f>'Control Panel'!$AA$13</f>
        <v/>
      </c>
      <c r="F351" s="143" t="inlineStr">
        <is>
          <t>]</t>
        </is>
      </c>
      <c r="G351" s="143" t="inlineStr">
        <is>
          <t>,</t>
        </is>
      </c>
      <c r="S351" s="19">
        <f>A350</f>
        <v/>
      </c>
    </row>
    <row r="352">
      <c r="A352" s="143">
        <f>CONCATENATE(B351,C351,D351,E351,F351,G351)</f>
        <v/>
      </c>
      <c r="C352" s="143" t="inlineStr">
        <is>
          <t>[5,</t>
        </is>
      </c>
      <c r="D352" s="143" t="inlineStr">
        <is>
          <t>12,</t>
        </is>
      </c>
      <c r="E352" s="143">
        <f>'Control Panel'!$AB$13</f>
        <v/>
      </c>
      <c r="F352" s="143" t="inlineStr">
        <is>
          <t>]</t>
        </is>
      </c>
      <c r="G352" s="143" t="inlineStr">
        <is>
          <t>,</t>
        </is>
      </c>
      <c r="S352" s="19">
        <f>A351</f>
        <v/>
      </c>
    </row>
    <row r="353">
      <c r="A353" s="143">
        <f>CONCATENATE(B352,C352,D352,E352,F352,G352)</f>
        <v/>
      </c>
      <c r="C353" s="143" t="inlineStr">
        <is>
          <t>[5,</t>
        </is>
      </c>
      <c r="D353" s="143" t="inlineStr">
        <is>
          <t>13,</t>
        </is>
      </c>
      <c r="E353" s="143" t="n">
        <v>0</v>
      </c>
      <c r="F353" s="143" t="inlineStr">
        <is>
          <t>]</t>
        </is>
      </c>
      <c r="G353" s="143" t="inlineStr">
        <is>
          <t>,</t>
        </is>
      </c>
      <c r="S353" s="19">
        <f>A352</f>
        <v/>
      </c>
    </row>
    <row r="354">
      <c r="A354" s="143">
        <f>CONCATENATE(B353,C353,D353,E353,F353,G353)</f>
        <v/>
      </c>
      <c r="C354" s="143" t="inlineStr">
        <is>
          <t>[5,</t>
        </is>
      </c>
      <c r="D354" s="143" t="inlineStr">
        <is>
          <t>14,</t>
        </is>
      </c>
      <c r="E354" s="143">
        <f>'Control Panel'!$AD$13</f>
        <v/>
      </c>
      <c r="F354" s="143" t="inlineStr">
        <is>
          <t>]</t>
        </is>
      </c>
      <c r="G354" s="143" t="inlineStr">
        <is>
          <t>,</t>
        </is>
      </c>
      <c r="S354" s="19">
        <f>A353</f>
        <v/>
      </c>
    </row>
    <row r="355">
      <c r="A355" s="143">
        <f>CONCATENATE(B354,C354,D354,E354,F354,G354)</f>
        <v/>
      </c>
      <c r="C355" s="143" t="inlineStr">
        <is>
          <t>[5,</t>
        </is>
      </c>
      <c r="D355" s="143" t="inlineStr">
        <is>
          <t>15,</t>
        </is>
      </c>
      <c r="E355" s="143">
        <f>'Control Panel'!$AE$13</f>
        <v/>
      </c>
      <c r="F355" s="143" t="inlineStr">
        <is>
          <t>]</t>
        </is>
      </c>
      <c r="G355" s="143" t="inlineStr">
        <is>
          <t>,</t>
        </is>
      </c>
      <c r="S355" s="19">
        <f>A354</f>
        <v/>
      </c>
    </row>
    <row r="356">
      <c r="A356" s="143">
        <f>CONCATENATE(B355,C355,D355,E355,F355,G355)</f>
        <v/>
      </c>
      <c r="C356" s="143" t="inlineStr">
        <is>
          <t>[5,</t>
        </is>
      </c>
      <c r="D356" s="143" t="inlineStr">
        <is>
          <t>16,</t>
        </is>
      </c>
      <c r="E356" s="143">
        <f>'Control Panel'!$AA$14</f>
        <v/>
      </c>
      <c r="F356" s="143" t="inlineStr">
        <is>
          <t>]</t>
        </is>
      </c>
      <c r="G356" s="143" t="inlineStr">
        <is>
          <t>,</t>
        </is>
      </c>
      <c r="S356" s="19">
        <f>A355</f>
        <v/>
      </c>
    </row>
    <row r="357">
      <c r="A357" s="143">
        <f>CONCATENATE(B356,C356,D356,E356,F356,G356)</f>
        <v/>
      </c>
      <c r="C357" s="143" t="inlineStr">
        <is>
          <t>[5,</t>
        </is>
      </c>
      <c r="D357" s="143" t="inlineStr">
        <is>
          <t>17,</t>
        </is>
      </c>
      <c r="E357" s="143">
        <f>'Control Panel'!$AB$14</f>
        <v/>
      </c>
      <c r="F357" s="143" t="inlineStr">
        <is>
          <t>]</t>
        </is>
      </c>
      <c r="G357" s="143" t="inlineStr">
        <is>
          <t>,</t>
        </is>
      </c>
      <c r="S357" s="19">
        <f>A356</f>
        <v/>
      </c>
    </row>
    <row r="358">
      <c r="A358" s="143">
        <f>CONCATENATE(B357,C357,D357,E357,F357,G357)</f>
        <v/>
      </c>
      <c r="C358" s="143" t="inlineStr">
        <is>
          <t>[5,</t>
        </is>
      </c>
      <c r="D358" s="143" t="inlineStr">
        <is>
          <t>18,</t>
        </is>
      </c>
      <c r="E358" s="143">
        <f>'Control Panel'!$AC$14</f>
        <v/>
      </c>
      <c r="F358" s="143" t="inlineStr">
        <is>
          <t>]</t>
        </is>
      </c>
      <c r="G358" s="143" t="inlineStr">
        <is>
          <t>,</t>
        </is>
      </c>
      <c r="S358" s="19">
        <f>A357</f>
        <v/>
      </c>
    </row>
    <row r="359">
      <c r="A359" s="143">
        <f>CONCATENATE(B358,C358,D358,E358,F358,G358)</f>
        <v/>
      </c>
      <c r="C359" s="143" t="inlineStr">
        <is>
          <t>[5,</t>
        </is>
      </c>
      <c r="D359" s="143" t="inlineStr">
        <is>
          <t>19,</t>
        </is>
      </c>
      <c r="E359" s="143">
        <f>'Control Panel'!$AD$14</f>
        <v/>
      </c>
      <c r="F359" s="143" t="inlineStr">
        <is>
          <t>]</t>
        </is>
      </c>
      <c r="G359" s="143" t="inlineStr">
        <is>
          <t>,</t>
        </is>
      </c>
      <c r="S359" s="19">
        <f>A358</f>
        <v/>
      </c>
    </row>
    <row r="360">
      <c r="A360" s="143">
        <f>CONCATENATE(B359,C359,D359,E359,F359,G359)</f>
        <v/>
      </c>
      <c r="C360" s="143" t="inlineStr">
        <is>
          <t>[5,</t>
        </is>
      </c>
      <c r="D360" s="143" t="inlineStr">
        <is>
          <t>20,</t>
        </is>
      </c>
      <c r="E360" s="143">
        <f>'Control Panel'!$AE$14</f>
        <v/>
      </c>
      <c r="F360" s="143" t="inlineStr">
        <is>
          <t>]</t>
        </is>
      </c>
      <c r="G360" s="143" t="inlineStr">
        <is>
          <t>,</t>
        </is>
      </c>
      <c r="S360" s="19">
        <f>A359</f>
        <v/>
      </c>
    </row>
    <row r="361">
      <c r="A361" s="143">
        <f>CONCATENATE(B360,C360,D360,E360,F360,G360)</f>
        <v/>
      </c>
      <c r="C361" s="143" t="inlineStr">
        <is>
          <t>[5,</t>
        </is>
      </c>
      <c r="D361" s="143" t="inlineStr">
        <is>
          <t>21,</t>
        </is>
      </c>
      <c r="E361" s="143">
        <f>'Control Panel'!$AA$15</f>
        <v/>
      </c>
      <c r="F361" s="143" t="inlineStr">
        <is>
          <t>]</t>
        </is>
      </c>
      <c r="G361" s="143" t="inlineStr">
        <is>
          <t>,</t>
        </is>
      </c>
      <c r="S361" s="19">
        <f>A360</f>
        <v/>
      </c>
    </row>
    <row r="362">
      <c r="A362" s="143">
        <f>CONCATENATE(B361,C361,D361,E361,F361,G361)</f>
        <v/>
      </c>
      <c r="C362" s="143" t="inlineStr">
        <is>
          <t>[5,</t>
        </is>
      </c>
      <c r="D362" s="143" t="inlineStr">
        <is>
          <t>22,</t>
        </is>
      </c>
      <c r="E362" s="143">
        <f>'Control Panel'!$AB$15</f>
        <v/>
      </c>
      <c r="F362" s="143" t="inlineStr">
        <is>
          <t>]</t>
        </is>
      </c>
      <c r="G362" s="143" t="inlineStr">
        <is>
          <t>,</t>
        </is>
      </c>
      <c r="S362" s="19">
        <f>A361</f>
        <v/>
      </c>
    </row>
    <row r="363">
      <c r="A363" s="143">
        <f>CONCATENATE(B362,C362,D362,E362,F362,G362)</f>
        <v/>
      </c>
      <c r="C363" s="143" t="inlineStr">
        <is>
          <t>[5,</t>
        </is>
      </c>
      <c r="D363" s="143" t="inlineStr">
        <is>
          <t>23,</t>
        </is>
      </c>
      <c r="E363" s="143">
        <f>'Control Panel'!$AC$15</f>
        <v/>
      </c>
      <c r="F363" s="143" t="inlineStr">
        <is>
          <t>]</t>
        </is>
      </c>
      <c r="G363" s="143" t="inlineStr">
        <is>
          <t>,</t>
        </is>
      </c>
      <c r="S363" s="19">
        <f>A362</f>
        <v/>
      </c>
    </row>
    <row r="364">
      <c r="A364" s="143">
        <f>CONCATENATE(B363,C363,D363,E363,F363,G363)</f>
        <v/>
      </c>
      <c r="C364" s="143" t="inlineStr">
        <is>
          <t>[5,</t>
        </is>
      </c>
      <c r="D364" s="143" t="inlineStr">
        <is>
          <t>24,</t>
        </is>
      </c>
      <c r="E364" s="143">
        <f>'Control Panel'!$AD$15</f>
        <v/>
      </c>
      <c r="F364" s="143" t="inlineStr">
        <is>
          <t>]</t>
        </is>
      </c>
      <c r="G364" s="143" t="inlineStr">
        <is>
          <t>,</t>
        </is>
      </c>
      <c r="S364" s="19">
        <f>A363</f>
        <v/>
      </c>
    </row>
    <row r="365">
      <c r="A365" s="143">
        <f>CONCATENATE(B364,C364,D364,E364,F364,G364)</f>
        <v/>
      </c>
      <c r="C365" s="143" t="inlineStr">
        <is>
          <t>[5,</t>
        </is>
      </c>
      <c r="D365" s="143" t="inlineStr">
        <is>
          <t>25,</t>
        </is>
      </c>
      <c r="E365" s="143">
        <f>'Control Panel'!$AE$15</f>
        <v/>
      </c>
      <c r="F365" s="143" t="inlineStr">
        <is>
          <t>]</t>
        </is>
      </c>
      <c r="G365" s="143" t="inlineStr">
        <is>
          <t>,</t>
        </is>
      </c>
      <c r="S365" s="19">
        <f>A364</f>
        <v/>
      </c>
    </row>
    <row r="366">
      <c r="A366" s="143">
        <f>CONCATENATE(B365,C365,D365,E365,F365,G365)</f>
        <v/>
      </c>
      <c r="S366" s="19">
        <f>A365</f>
        <v/>
      </c>
    </row>
    <row r="367">
      <c r="A367" s="143">
        <f>CONCATENATE(B366,C366,D366,E366,F366,G366)</f>
        <v/>
      </c>
      <c r="C367" s="143" t="inlineStr">
        <is>
          <t>[6,</t>
        </is>
      </c>
      <c r="D367" s="143" t="inlineStr">
        <is>
          <t>1,</t>
        </is>
      </c>
      <c r="E367" s="143">
        <f>'Control Panel'!$AG$11</f>
        <v/>
      </c>
      <c r="F367" s="143" t="inlineStr">
        <is>
          <t>]</t>
        </is>
      </c>
      <c r="G367" s="143" t="inlineStr">
        <is>
          <t>,</t>
        </is>
      </c>
      <c r="S367" s="19">
        <f>A366</f>
        <v/>
      </c>
    </row>
    <row r="368">
      <c r="A368" s="143">
        <f>CONCATENATE(B367,C367,D367,E367,F367,G367)</f>
        <v/>
      </c>
      <c r="C368" s="143" t="inlineStr">
        <is>
          <t>[6,</t>
        </is>
      </c>
      <c r="D368" s="143" t="inlineStr">
        <is>
          <t>2,</t>
        </is>
      </c>
      <c r="E368" s="143">
        <f>'Control Panel'!$AH$11</f>
        <v/>
      </c>
      <c r="F368" s="143" t="inlineStr">
        <is>
          <t>]</t>
        </is>
      </c>
      <c r="G368" s="143" t="inlineStr">
        <is>
          <t>,</t>
        </is>
      </c>
      <c r="S368" s="19">
        <f>A367</f>
        <v/>
      </c>
    </row>
    <row r="369">
      <c r="A369" s="143">
        <f>CONCATENATE(B368,C368,D368,E368,F368,G368)</f>
        <v/>
      </c>
      <c r="C369" s="143" t="inlineStr">
        <is>
          <t>[6,</t>
        </is>
      </c>
      <c r="D369" s="143" t="inlineStr">
        <is>
          <t>3,</t>
        </is>
      </c>
      <c r="E369" s="143">
        <f>'Control Panel'!$AI$11</f>
        <v/>
      </c>
      <c r="F369" s="143" t="inlineStr">
        <is>
          <t>]</t>
        </is>
      </c>
      <c r="G369" s="143" t="inlineStr">
        <is>
          <t>,</t>
        </is>
      </c>
      <c r="S369" s="19">
        <f>A368</f>
        <v/>
      </c>
    </row>
    <row r="370">
      <c r="A370" s="143">
        <f>CONCATENATE(B369,C369,D369,E369,F369,G369)</f>
        <v/>
      </c>
      <c r="C370" s="143" t="inlineStr">
        <is>
          <t>[6,</t>
        </is>
      </c>
      <c r="D370" s="143" t="inlineStr">
        <is>
          <t>4,</t>
        </is>
      </c>
      <c r="E370" s="143">
        <f>'Control Panel'!$AJ$11</f>
        <v/>
      </c>
      <c r="F370" s="143" t="inlineStr">
        <is>
          <t>]</t>
        </is>
      </c>
      <c r="G370" s="143" t="inlineStr">
        <is>
          <t>,</t>
        </is>
      </c>
      <c r="S370" s="19">
        <f>A369</f>
        <v/>
      </c>
    </row>
    <row r="371">
      <c r="A371" s="143">
        <f>CONCATENATE(B370,C370,D370,E370,F370,G370)</f>
        <v/>
      </c>
      <c r="C371" s="143" t="inlineStr">
        <is>
          <t>[6,</t>
        </is>
      </c>
      <c r="D371" s="143" t="inlineStr">
        <is>
          <t>5,</t>
        </is>
      </c>
      <c r="E371" s="143">
        <f>'Control Panel'!$AK$11</f>
        <v/>
      </c>
      <c r="F371" s="143" t="inlineStr">
        <is>
          <t>]</t>
        </is>
      </c>
      <c r="G371" s="143" t="inlineStr">
        <is>
          <t>,</t>
        </is>
      </c>
      <c r="S371" s="19">
        <f>A370</f>
        <v/>
      </c>
    </row>
    <row r="372">
      <c r="A372" s="143">
        <f>CONCATENATE(B371,C371,D371,E371,F371,G371)</f>
        <v/>
      </c>
      <c r="C372" s="143" t="inlineStr">
        <is>
          <t>[6,</t>
        </is>
      </c>
      <c r="D372" s="143" t="inlineStr">
        <is>
          <t>6,</t>
        </is>
      </c>
      <c r="E372" s="143">
        <f>'Control Panel'!$AG$12</f>
        <v/>
      </c>
      <c r="F372" s="143" t="inlineStr">
        <is>
          <t>]</t>
        </is>
      </c>
      <c r="G372" s="143" t="inlineStr">
        <is>
          <t>,</t>
        </is>
      </c>
      <c r="S372" s="19">
        <f>A371</f>
        <v/>
      </c>
    </row>
    <row r="373">
      <c r="A373" s="143">
        <f>CONCATENATE(B372,C372,D372,E372,F372,G372)</f>
        <v/>
      </c>
      <c r="C373" s="143" t="inlineStr">
        <is>
          <t>[6,</t>
        </is>
      </c>
      <c r="D373" s="143" t="inlineStr">
        <is>
          <t>7,</t>
        </is>
      </c>
      <c r="E373" s="143">
        <f>'Control Panel'!$AH$12</f>
        <v/>
      </c>
      <c r="F373" s="143" t="inlineStr">
        <is>
          <t>]</t>
        </is>
      </c>
      <c r="G373" s="143" t="inlineStr">
        <is>
          <t>,</t>
        </is>
      </c>
      <c r="S373" s="19">
        <f>A372</f>
        <v/>
      </c>
    </row>
    <row r="374">
      <c r="A374" s="143">
        <f>CONCATENATE(B373,C373,D373,E373,F373,G373)</f>
        <v/>
      </c>
      <c r="C374" s="143" t="inlineStr">
        <is>
          <t>[6,</t>
        </is>
      </c>
      <c r="D374" s="143" t="inlineStr">
        <is>
          <t>8,</t>
        </is>
      </c>
      <c r="E374" s="143">
        <f>'Control Panel'!$AI$12</f>
        <v/>
      </c>
      <c r="F374" s="143" t="inlineStr">
        <is>
          <t>]</t>
        </is>
      </c>
      <c r="G374" s="143" t="inlineStr">
        <is>
          <t>,</t>
        </is>
      </c>
      <c r="S374" s="19">
        <f>A373</f>
        <v/>
      </c>
    </row>
    <row r="375">
      <c r="A375" s="143">
        <f>CONCATENATE(B374,C374,D374,E374,F374,G374)</f>
        <v/>
      </c>
      <c r="C375" s="143" t="inlineStr">
        <is>
          <t>[6,</t>
        </is>
      </c>
      <c r="D375" s="143" t="inlineStr">
        <is>
          <t>9,</t>
        </is>
      </c>
      <c r="E375" s="143">
        <f>'Control Panel'!$AJ$12</f>
        <v/>
      </c>
      <c r="F375" s="143" t="inlineStr">
        <is>
          <t>]</t>
        </is>
      </c>
      <c r="G375" s="143" t="inlineStr">
        <is>
          <t>,</t>
        </is>
      </c>
      <c r="S375" s="19">
        <f>A374</f>
        <v/>
      </c>
    </row>
    <row r="376">
      <c r="A376" s="143">
        <f>CONCATENATE(B375,C375,D375,E375,F375,G375)</f>
        <v/>
      </c>
      <c r="C376" s="143" t="inlineStr">
        <is>
          <t>[6,</t>
        </is>
      </c>
      <c r="D376" s="143" t="inlineStr">
        <is>
          <t>10,</t>
        </is>
      </c>
      <c r="E376" s="143">
        <f>'Control Panel'!$AK$12</f>
        <v/>
      </c>
      <c r="F376" s="143" t="inlineStr">
        <is>
          <t>]</t>
        </is>
      </c>
      <c r="G376" s="143" t="inlineStr">
        <is>
          <t>,</t>
        </is>
      </c>
      <c r="S376" s="19">
        <f>A375</f>
        <v/>
      </c>
    </row>
    <row r="377">
      <c r="A377" s="143">
        <f>CONCATENATE(B376,C376,D376,E376,F376,G376)</f>
        <v/>
      </c>
      <c r="C377" s="143" t="inlineStr">
        <is>
          <t>[6,</t>
        </is>
      </c>
      <c r="D377" s="143" t="inlineStr">
        <is>
          <t>11,</t>
        </is>
      </c>
      <c r="E377" s="143">
        <f>'Control Panel'!$AG$13</f>
        <v/>
      </c>
      <c r="F377" s="143" t="inlineStr">
        <is>
          <t>]</t>
        </is>
      </c>
      <c r="G377" s="143" t="inlineStr">
        <is>
          <t>,</t>
        </is>
      </c>
      <c r="S377" s="19">
        <f>A376</f>
        <v/>
      </c>
    </row>
    <row r="378">
      <c r="A378" s="143">
        <f>CONCATENATE(B377,C377,D377,E377,F377,G377)</f>
        <v/>
      </c>
      <c r="C378" s="143" t="inlineStr">
        <is>
          <t>[6,</t>
        </is>
      </c>
      <c r="D378" s="143" t="inlineStr">
        <is>
          <t>12,</t>
        </is>
      </c>
      <c r="E378" s="143">
        <f>'Control Panel'!$AH$13</f>
        <v/>
      </c>
      <c r="F378" s="143" t="inlineStr">
        <is>
          <t>]</t>
        </is>
      </c>
      <c r="G378" s="143" t="inlineStr">
        <is>
          <t>,</t>
        </is>
      </c>
      <c r="S378" s="19">
        <f>A377</f>
        <v/>
      </c>
    </row>
    <row r="379">
      <c r="A379" s="143">
        <f>CONCATENATE(B378,C378,D378,E378,F378,G378)</f>
        <v/>
      </c>
      <c r="C379" s="143" t="inlineStr">
        <is>
          <t>[6,</t>
        </is>
      </c>
      <c r="D379" s="143" t="inlineStr">
        <is>
          <t>13,</t>
        </is>
      </c>
      <c r="E379" s="143" t="n">
        <v>0</v>
      </c>
      <c r="F379" s="143" t="inlineStr">
        <is>
          <t>]</t>
        </is>
      </c>
      <c r="G379" s="143" t="inlineStr">
        <is>
          <t>,</t>
        </is>
      </c>
      <c r="S379" s="19">
        <f>A378</f>
        <v/>
      </c>
    </row>
    <row r="380">
      <c r="A380" s="143">
        <f>CONCATENATE(B379,C379,D379,E379,F379,G379)</f>
        <v/>
      </c>
      <c r="C380" s="143" t="inlineStr">
        <is>
          <t>[6,</t>
        </is>
      </c>
      <c r="D380" s="143" t="inlineStr">
        <is>
          <t>14,</t>
        </is>
      </c>
      <c r="E380" s="143">
        <f>'Control Panel'!$AJ$13</f>
        <v/>
      </c>
      <c r="F380" s="143" t="inlineStr">
        <is>
          <t>]</t>
        </is>
      </c>
      <c r="G380" s="143" t="inlineStr">
        <is>
          <t>,</t>
        </is>
      </c>
      <c r="S380" s="19">
        <f>A379</f>
        <v/>
      </c>
    </row>
    <row r="381">
      <c r="A381" s="143">
        <f>CONCATENATE(B380,C380,D380,E380,F380,G380)</f>
        <v/>
      </c>
      <c r="C381" s="143" t="inlineStr">
        <is>
          <t>[6,</t>
        </is>
      </c>
      <c r="D381" s="143" t="inlineStr">
        <is>
          <t>15,</t>
        </is>
      </c>
      <c r="E381" s="143">
        <f>'Control Panel'!$AK$13</f>
        <v/>
      </c>
      <c r="F381" s="143" t="inlineStr">
        <is>
          <t>]</t>
        </is>
      </c>
      <c r="G381" s="143" t="inlineStr">
        <is>
          <t>,</t>
        </is>
      </c>
      <c r="S381" s="19">
        <f>A380</f>
        <v/>
      </c>
    </row>
    <row r="382">
      <c r="A382" s="143">
        <f>CONCATENATE(B381,C381,D381,E381,F381,G381)</f>
        <v/>
      </c>
      <c r="C382" s="143" t="inlineStr">
        <is>
          <t>[6,</t>
        </is>
      </c>
      <c r="D382" s="143" t="inlineStr">
        <is>
          <t>16,</t>
        </is>
      </c>
      <c r="E382" s="143">
        <f>'Control Panel'!$AG$14</f>
        <v/>
      </c>
      <c r="F382" s="143" t="inlineStr">
        <is>
          <t>]</t>
        </is>
      </c>
      <c r="G382" s="143" t="inlineStr">
        <is>
          <t>,</t>
        </is>
      </c>
      <c r="S382" s="19">
        <f>A381</f>
        <v/>
      </c>
    </row>
    <row r="383">
      <c r="A383" s="143">
        <f>CONCATENATE(B382,C382,D382,E382,F382,G382)</f>
        <v/>
      </c>
      <c r="C383" s="143" t="inlineStr">
        <is>
          <t>[6,</t>
        </is>
      </c>
      <c r="D383" s="143" t="inlineStr">
        <is>
          <t>17,</t>
        </is>
      </c>
      <c r="E383" s="143">
        <f>'Control Panel'!$AH$14</f>
        <v/>
      </c>
      <c r="F383" s="143" t="inlineStr">
        <is>
          <t>]</t>
        </is>
      </c>
      <c r="G383" s="143" t="inlineStr">
        <is>
          <t>,</t>
        </is>
      </c>
      <c r="S383" s="19">
        <f>A382</f>
        <v/>
      </c>
    </row>
    <row r="384">
      <c r="A384" s="143">
        <f>CONCATENATE(B383,C383,D383,E383,F383,G383)</f>
        <v/>
      </c>
      <c r="C384" s="143" t="inlineStr">
        <is>
          <t>[6,</t>
        </is>
      </c>
      <c r="D384" s="143" t="inlineStr">
        <is>
          <t>18,</t>
        </is>
      </c>
      <c r="E384" s="143">
        <f>'Control Panel'!$AI$14</f>
        <v/>
      </c>
      <c r="F384" s="143" t="inlineStr">
        <is>
          <t>]</t>
        </is>
      </c>
      <c r="G384" s="143" t="inlineStr">
        <is>
          <t>,</t>
        </is>
      </c>
      <c r="S384" s="19">
        <f>A383</f>
        <v/>
      </c>
    </row>
    <row r="385">
      <c r="A385" s="143">
        <f>CONCATENATE(B384,C384,D384,E384,F384,G384)</f>
        <v/>
      </c>
      <c r="C385" s="143" t="inlineStr">
        <is>
          <t>[6,</t>
        </is>
      </c>
      <c r="D385" s="143" t="inlineStr">
        <is>
          <t>19,</t>
        </is>
      </c>
      <c r="E385" s="143">
        <f>'Control Panel'!$AJ$14</f>
        <v/>
      </c>
      <c r="F385" s="143" t="inlineStr">
        <is>
          <t>]</t>
        </is>
      </c>
      <c r="G385" s="143" t="inlineStr">
        <is>
          <t>,</t>
        </is>
      </c>
      <c r="S385" s="19">
        <f>A384</f>
        <v/>
      </c>
    </row>
    <row r="386">
      <c r="A386" s="143">
        <f>CONCATENATE(B385,C385,D385,E385,F385,G385)</f>
        <v/>
      </c>
      <c r="C386" s="143" t="inlineStr">
        <is>
          <t>[6,</t>
        </is>
      </c>
      <c r="D386" s="143" t="inlineStr">
        <is>
          <t>20,</t>
        </is>
      </c>
      <c r="E386" s="143">
        <f>'Control Panel'!$AK$14</f>
        <v/>
      </c>
      <c r="F386" s="143" t="inlineStr">
        <is>
          <t>]</t>
        </is>
      </c>
      <c r="G386" s="143" t="inlineStr">
        <is>
          <t>,</t>
        </is>
      </c>
      <c r="S386" s="19">
        <f>A385</f>
        <v/>
      </c>
    </row>
    <row r="387">
      <c r="A387" s="143">
        <f>CONCATENATE(B386,C386,D386,E386,F386,G386)</f>
        <v/>
      </c>
      <c r="C387" s="143" t="inlineStr">
        <is>
          <t>[6,</t>
        </is>
      </c>
      <c r="D387" s="143" t="inlineStr">
        <is>
          <t>21,</t>
        </is>
      </c>
      <c r="E387" s="143">
        <f>'Control Panel'!$AG$15</f>
        <v/>
      </c>
      <c r="F387" s="143" t="inlineStr">
        <is>
          <t>]</t>
        </is>
      </c>
      <c r="G387" s="143" t="inlineStr">
        <is>
          <t>,</t>
        </is>
      </c>
      <c r="S387" s="19">
        <f>A386</f>
        <v/>
      </c>
    </row>
    <row r="388">
      <c r="A388" s="143">
        <f>CONCATENATE(B387,C387,D387,E387,F387,G387)</f>
        <v/>
      </c>
      <c r="C388" s="143" t="inlineStr">
        <is>
          <t>[6,</t>
        </is>
      </c>
      <c r="D388" s="143" t="inlineStr">
        <is>
          <t>22,</t>
        </is>
      </c>
      <c r="E388" s="143">
        <f>'Control Panel'!$AH$15</f>
        <v/>
      </c>
      <c r="F388" s="143" t="inlineStr">
        <is>
          <t>]</t>
        </is>
      </c>
      <c r="G388" s="143" t="inlineStr">
        <is>
          <t>,</t>
        </is>
      </c>
      <c r="S388" s="19">
        <f>A387</f>
        <v/>
      </c>
    </row>
    <row r="389">
      <c r="A389" s="143">
        <f>CONCATENATE(B388,C388,D388,E388,F388,G388)</f>
        <v/>
      </c>
      <c r="C389" s="143" t="inlineStr">
        <is>
          <t>[6,</t>
        </is>
      </c>
      <c r="D389" s="143" t="inlineStr">
        <is>
          <t>23,</t>
        </is>
      </c>
      <c r="E389" s="143">
        <f>'Control Panel'!$AI$15</f>
        <v/>
      </c>
      <c r="F389" s="143" t="inlineStr">
        <is>
          <t>]</t>
        </is>
      </c>
      <c r="G389" s="143" t="inlineStr">
        <is>
          <t>,</t>
        </is>
      </c>
      <c r="S389" s="19">
        <f>A388</f>
        <v/>
      </c>
    </row>
    <row r="390">
      <c r="A390" s="143">
        <f>CONCATENATE(B389,C389,D389,E389,F389,G389)</f>
        <v/>
      </c>
      <c r="C390" s="143" t="inlineStr">
        <is>
          <t>[6,</t>
        </is>
      </c>
      <c r="D390" s="143" t="inlineStr">
        <is>
          <t>24,</t>
        </is>
      </c>
      <c r="E390" s="143">
        <f>'Control Panel'!$AJ$15</f>
        <v/>
      </c>
      <c r="F390" s="143" t="inlineStr">
        <is>
          <t>]</t>
        </is>
      </c>
      <c r="G390" s="143" t="inlineStr">
        <is>
          <t>,</t>
        </is>
      </c>
      <c r="S390" s="19">
        <f>A389</f>
        <v/>
      </c>
    </row>
    <row r="391">
      <c r="A391" s="143">
        <f>CONCATENATE(B390,C390,D390,E390,F390,G390)</f>
        <v/>
      </c>
      <c r="C391" s="143" t="inlineStr">
        <is>
          <t>[6,</t>
        </is>
      </c>
      <c r="D391" s="143" t="inlineStr">
        <is>
          <t>25,</t>
        </is>
      </c>
      <c r="E391" s="143">
        <f>'Control Panel'!$AK$15</f>
        <v/>
      </c>
      <c r="F391" s="143" t="inlineStr">
        <is>
          <t>]</t>
        </is>
      </c>
      <c r="G391" s="143" t="inlineStr">
        <is>
          <t>,</t>
        </is>
      </c>
      <c r="S391" s="19">
        <f>A390</f>
        <v/>
      </c>
    </row>
    <row r="392">
      <c r="A392" s="143">
        <f>CONCATENATE(B391,C391,D391,E391,F391,G391)</f>
        <v/>
      </c>
      <c r="S392" s="19">
        <f>A391</f>
        <v/>
      </c>
    </row>
    <row r="393">
      <c r="A393" s="143">
        <f>CONCATENATE(B392,C392,D392,E392,F392,G392)</f>
        <v/>
      </c>
      <c r="C393" s="143" t="inlineStr">
        <is>
          <t>[7,</t>
        </is>
      </c>
      <c r="D393" s="143" t="inlineStr">
        <is>
          <t>1,</t>
        </is>
      </c>
      <c r="E393" s="143">
        <f>'Control Panel'!$AM$11</f>
        <v/>
      </c>
      <c r="F393" s="143" t="inlineStr">
        <is>
          <t>]</t>
        </is>
      </c>
      <c r="G393" s="143" t="inlineStr">
        <is>
          <t>,</t>
        </is>
      </c>
      <c r="S393" s="19">
        <f>A392</f>
        <v/>
      </c>
    </row>
    <row r="394">
      <c r="A394" s="143">
        <f>CONCATENATE(B393,C393,D393,E393,F393,G393)</f>
        <v/>
      </c>
      <c r="C394" s="143" t="inlineStr">
        <is>
          <t>[7,</t>
        </is>
      </c>
      <c r="D394" s="143" t="inlineStr">
        <is>
          <t>2,</t>
        </is>
      </c>
      <c r="E394" s="143">
        <f>'Control Panel'!$AN$11</f>
        <v/>
      </c>
      <c r="F394" s="143" t="inlineStr">
        <is>
          <t>]</t>
        </is>
      </c>
      <c r="G394" s="143" t="inlineStr">
        <is>
          <t>,</t>
        </is>
      </c>
      <c r="S394" s="19">
        <f>A393</f>
        <v/>
      </c>
    </row>
    <row r="395">
      <c r="A395" s="143">
        <f>CONCATENATE(B394,C394,D394,E394,F394,G394)</f>
        <v/>
      </c>
      <c r="C395" s="143" t="inlineStr">
        <is>
          <t>[7,</t>
        </is>
      </c>
      <c r="D395" s="143" t="inlineStr">
        <is>
          <t>3,</t>
        </is>
      </c>
      <c r="E395" s="143">
        <f>'Control Panel'!$AO$11</f>
        <v/>
      </c>
      <c r="F395" s="143" t="inlineStr">
        <is>
          <t>]</t>
        </is>
      </c>
      <c r="G395" s="143" t="inlineStr">
        <is>
          <t>,</t>
        </is>
      </c>
      <c r="S395" s="19">
        <f>A394</f>
        <v/>
      </c>
    </row>
    <row r="396">
      <c r="A396" s="143">
        <f>CONCATENATE(B395,C395,D395,E395,F395,G395)</f>
        <v/>
      </c>
      <c r="C396" s="143" t="inlineStr">
        <is>
          <t>[7,</t>
        </is>
      </c>
      <c r="D396" s="143" t="inlineStr">
        <is>
          <t>4,</t>
        </is>
      </c>
      <c r="E396" s="143">
        <f>'Control Panel'!$AP$11</f>
        <v/>
      </c>
      <c r="F396" s="143" t="inlineStr">
        <is>
          <t>]</t>
        </is>
      </c>
      <c r="G396" s="143" t="inlineStr">
        <is>
          <t>,</t>
        </is>
      </c>
      <c r="S396" s="19">
        <f>A395</f>
        <v/>
      </c>
    </row>
    <row r="397">
      <c r="A397" s="143">
        <f>CONCATENATE(B396,C396,D396,E396,F396,G396)</f>
        <v/>
      </c>
      <c r="C397" s="143" t="inlineStr">
        <is>
          <t>[7,</t>
        </is>
      </c>
      <c r="D397" s="143" t="inlineStr">
        <is>
          <t>5,</t>
        </is>
      </c>
      <c r="E397" s="143">
        <f>'Control Panel'!$AQ$11</f>
        <v/>
      </c>
      <c r="F397" s="143" t="inlineStr">
        <is>
          <t>]</t>
        </is>
      </c>
      <c r="G397" s="143" t="inlineStr">
        <is>
          <t>,</t>
        </is>
      </c>
      <c r="S397" s="19">
        <f>A396</f>
        <v/>
      </c>
    </row>
    <row r="398">
      <c r="A398" s="143">
        <f>CONCATENATE(B397,C397,D397,E397,F397,G397)</f>
        <v/>
      </c>
      <c r="C398" s="143" t="inlineStr">
        <is>
          <t>[7,</t>
        </is>
      </c>
      <c r="D398" s="143" t="inlineStr">
        <is>
          <t>6,</t>
        </is>
      </c>
      <c r="E398" s="143">
        <f>'Control Panel'!$AM$12</f>
        <v/>
      </c>
      <c r="F398" s="143" t="inlineStr">
        <is>
          <t>]</t>
        </is>
      </c>
      <c r="G398" s="143" t="inlineStr">
        <is>
          <t>,</t>
        </is>
      </c>
      <c r="S398" s="19">
        <f>A397</f>
        <v/>
      </c>
    </row>
    <row r="399">
      <c r="A399" s="143">
        <f>CONCATENATE(B398,C398,D398,E398,F398,G398)</f>
        <v/>
      </c>
      <c r="C399" s="143" t="inlineStr">
        <is>
          <t>[7,</t>
        </is>
      </c>
      <c r="D399" s="143" t="inlineStr">
        <is>
          <t>7,</t>
        </is>
      </c>
      <c r="E399" s="143">
        <f>'Control Panel'!$AN$12</f>
        <v/>
      </c>
      <c r="F399" s="143" t="inlineStr">
        <is>
          <t>]</t>
        </is>
      </c>
      <c r="G399" s="143" t="inlineStr">
        <is>
          <t>,</t>
        </is>
      </c>
      <c r="S399" s="19">
        <f>A398</f>
        <v/>
      </c>
    </row>
    <row r="400">
      <c r="A400" s="143">
        <f>CONCATENATE(B399,C399,D399,E399,F399,G399)</f>
        <v/>
      </c>
      <c r="C400" s="143" t="inlineStr">
        <is>
          <t>[7,</t>
        </is>
      </c>
      <c r="D400" s="143" t="inlineStr">
        <is>
          <t>8,</t>
        </is>
      </c>
      <c r="E400" s="143">
        <f>'Control Panel'!$AO$12</f>
        <v/>
      </c>
      <c r="F400" s="143" t="inlineStr">
        <is>
          <t>]</t>
        </is>
      </c>
      <c r="G400" s="143" t="inlineStr">
        <is>
          <t>,</t>
        </is>
      </c>
      <c r="S400" s="19">
        <f>A399</f>
        <v/>
      </c>
    </row>
    <row r="401">
      <c r="A401" s="143">
        <f>CONCATENATE(B400,C400,D400,E400,F400,G400)</f>
        <v/>
      </c>
      <c r="C401" s="143" t="inlineStr">
        <is>
          <t>[7,</t>
        </is>
      </c>
      <c r="D401" s="143" t="inlineStr">
        <is>
          <t>9,</t>
        </is>
      </c>
      <c r="E401" s="143">
        <f>'Control Panel'!$AP$12</f>
        <v/>
      </c>
      <c r="F401" s="143" t="inlineStr">
        <is>
          <t>]</t>
        </is>
      </c>
      <c r="G401" s="143" t="inlineStr">
        <is>
          <t>,</t>
        </is>
      </c>
      <c r="S401" s="19">
        <f>A400</f>
        <v/>
      </c>
    </row>
    <row r="402">
      <c r="A402" s="143">
        <f>CONCATENATE(B401,C401,D401,E401,F401,G401)</f>
        <v/>
      </c>
      <c r="C402" s="143" t="inlineStr">
        <is>
          <t>[7,</t>
        </is>
      </c>
      <c r="D402" s="143" t="inlineStr">
        <is>
          <t>10,</t>
        </is>
      </c>
      <c r="E402" s="143">
        <f>'Control Panel'!$AQ$12</f>
        <v/>
      </c>
      <c r="F402" s="143" t="inlineStr">
        <is>
          <t>]</t>
        </is>
      </c>
      <c r="G402" s="143" t="inlineStr">
        <is>
          <t>,</t>
        </is>
      </c>
      <c r="S402" s="19">
        <f>A401</f>
        <v/>
      </c>
    </row>
    <row r="403">
      <c r="A403" s="143">
        <f>CONCATENATE(B402,C402,D402,E402,F402,G402)</f>
        <v/>
      </c>
      <c r="C403" s="143" t="inlineStr">
        <is>
          <t>[7,</t>
        </is>
      </c>
      <c r="D403" s="143" t="inlineStr">
        <is>
          <t>11,</t>
        </is>
      </c>
      <c r="E403" s="143">
        <f>'Control Panel'!$AM$13</f>
        <v/>
      </c>
      <c r="F403" s="143" t="inlineStr">
        <is>
          <t>]</t>
        </is>
      </c>
      <c r="G403" s="143" t="inlineStr">
        <is>
          <t>,</t>
        </is>
      </c>
      <c r="S403" s="19">
        <f>A402</f>
        <v/>
      </c>
    </row>
    <row r="404">
      <c r="A404" s="143">
        <f>CONCATENATE(B403,C403,D403,E403,F403,G403)</f>
        <v/>
      </c>
      <c r="C404" s="143" t="inlineStr">
        <is>
          <t>[7,</t>
        </is>
      </c>
      <c r="D404" s="143" t="inlineStr">
        <is>
          <t>12,</t>
        </is>
      </c>
      <c r="E404" s="143">
        <f>'Control Panel'!$AN$13</f>
        <v/>
      </c>
      <c r="F404" s="143" t="inlineStr">
        <is>
          <t>]</t>
        </is>
      </c>
      <c r="G404" s="143" t="inlineStr">
        <is>
          <t>,</t>
        </is>
      </c>
      <c r="S404" s="19">
        <f>A403</f>
        <v/>
      </c>
    </row>
    <row r="405">
      <c r="A405" s="143">
        <f>CONCATENATE(B404,C404,D404,E404,F404,G404)</f>
        <v/>
      </c>
      <c r="C405" s="143" t="inlineStr">
        <is>
          <t>[7,</t>
        </is>
      </c>
      <c r="D405" s="143" t="inlineStr">
        <is>
          <t>13,</t>
        </is>
      </c>
      <c r="E405" s="143" t="n">
        <v>0</v>
      </c>
      <c r="F405" s="143" t="inlineStr">
        <is>
          <t>]</t>
        </is>
      </c>
      <c r="G405" s="143" t="inlineStr">
        <is>
          <t>,</t>
        </is>
      </c>
      <c r="S405" s="19">
        <f>A404</f>
        <v/>
      </c>
    </row>
    <row r="406">
      <c r="A406" s="143">
        <f>CONCATENATE(B405,C405,D405,E405,F405,G405)</f>
        <v/>
      </c>
      <c r="C406" s="143" t="inlineStr">
        <is>
          <t>[7,</t>
        </is>
      </c>
      <c r="D406" s="143" t="inlineStr">
        <is>
          <t>14,</t>
        </is>
      </c>
      <c r="E406" s="143">
        <f>'Control Panel'!$AP$13</f>
        <v/>
      </c>
      <c r="F406" s="143" t="inlineStr">
        <is>
          <t>]</t>
        </is>
      </c>
      <c r="G406" s="143" t="inlineStr">
        <is>
          <t>,</t>
        </is>
      </c>
      <c r="S406" s="19">
        <f>A405</f>
        <v/>
      </c>
    </row>
    <row r="407">
      <c r="A407" s="143">
        <f>CONCATENATE(B406,C406,D406,E406,F406,G406)</f>
        <v/>
      </c>
      <c r="C407" s="143" t="inlineStr">
        <is>
          <t>[7,</t>
        </is>
      </c>
      <c r="D407" s="143" t="inlineStr">
        <is>
          <t>15,</t>
        </is>
      </c>
      <c r="E407" s="143">
        <f>'Control Panel'!$AQ$13</f>
        <v/>
      </c>
      <c r="F407" s="143" t="inlineStr">
        <is>
          <t>]</t>
        </is>
      </c>
      <c r="G407" s="143" t="inlineStr">
        <is>
          <t>,</t>
        </is>
      </c>
      <c r="S407" s="19">
        <f>A406</f>
        <v/>
      </c>
    </row>
    <row r="408">
      <c r="A408" s="143">
        <f>CONCATENATE(B407,C407,D407,E407,F407,G407)</f>
        <v/>
      </c>
      <c r="C408" s="143" t="inlineStr">
        <is>
          <t>[7,</t>
        </is>
      </c>
      <c r="D408" s="143" t="inlineStr">
        <is>
          <t>16,</t>
        </is>
      </c>
      <c r="E408" s="143">
        <f>'Control Panel'!$AM$14</f>
        <v/>
      </c>
      <c r="F408" s="143" t="inlineStr">
        <is>
          <t>]</t>
        </is>
      </c>
      <c r="G408" s="143" t="inlineStr">
        <is>
          <t>,</t>
        </is>
      </c>
      <c r="S408" s="19">
        <f>A407</f>
        <v/>
      </c>
    </row>
    <row r="409">
      <c r="A409" s="143">
        <f>CONCATENATE(B408,C408,D408,E408,F408,G408)</f>
        <v/>
      </c>
      <c r="C409" s="143" t="inlineStr">
        <is>
          <t>[7,</t>
        </is>
      </c>
      <c r="D409" s="143" t="inlineStr">
        <is>
          <t>17,</t>
        </is>
      </c>
      <c r="E409" s="143">
        <f>'Control Panel'!$AN$14</f>
        <v/>
      </c>
      <c r="F409" s="143" t="inlineStr">
        <is>
          <t>]</t>
        </is>
      </c>
      <c r="G409" s="143" t="inlineStr">
        <is>
          <t>,</t>
        </is>
      </c>
      <c r="S409" s="19">
        <f>A408</f>
        <v/>
      </c>
    </row>
    <row r="410">
      <c r="A410" s="143">
        <f>CONCATENATE(B409,C409,D409,E409,F409,G409)</f>
        <v/>
      </c>
      <c r="C410" s="143" t="inlineStr">
        <is>
          <t>[7,</t>
        </is>
      </c>
      <c r="D410" s="143" t="inlineStr">
        <is>
          <t>18,</t>
        </is>
      </c>
      <c r="E410" s="143">
        <f>'Control Panel'!$AO$14</f>
        <v/>
      </c>
      <c r="F410" s="143" t="inlineStr">
        <is>
          <t>]</t>
        </is>
      </c>
      <c r="G410" s="143" t="inlineStr">
        <is>
          <t>,</t>
        </is>
      </c>
      <c r="S410" s="19">
        <f>A409</f>
        <v/>
      </c>
    </row>
    <row r="411">
      <c r="A411" s="143">
        <f>CONCATENATE(B410,C410,D410,E410,F410,G410)</f>
        <v/>
      </c>
      <c r="C411" s="143" t="inlineStr">
        <is>
          <t>[7,</t>
        </is>
      </c>
      <c r="D411" s="143" t="inlineStr">
        <is>
          <t>19,</t>
        </is>
      </c>
      <c r="E411" s="143">
        <f>'Control Panel'!$AP$14</f>
        <v/>
      </c>
      <c r="F411" s="143" t="inlineStr">
        <is>
          <t>]</t>
        </is>
      </c>
      <c r="G411" s="143" t="inlineStr">
        <is>
          <t>,</t>
        </is>
      </c>
      <c r="S411" s="19">
        <f>A410</f>
        <v/>
      </c>
    </row>
    <row r="412">
      <c r="A412" s="143">
        <f>CONCATENATE(B411,C411,D411,E411,F411,G411)</f>
        <v/>
      </c>
      <c r="C412" s="143" t="inlineStr">
        <is>
          <t>[7,</t>
        </is>
      </c>
      <c r="D412" s="143" t="inlineStr">
        <is>
          <t>20,</t>
        </is>
      </c>
      <c r="E412" s="143">
        <f>'Control Panel'!$AQ$14</f>
        <v/>
      </c>
      <c r="F412" s="143" t="inlineStr">
        <is>
          <t>]</t>
        </is>
      </c>
      <c r="G412" s="143" t="inlineStr">
        <is>
          <t>,</t>
        </is>
      </c>
      <c r="S412" s="19">
        <f>A411</f>
        <v/>
      </c>
    </row>
    <row r="413">
      <c r="A413" s="143">
        <f>CONCATENATE(B412,C412,D412,E412,F412,G412)</f>
        <v/>
      </c>
      <c r="C413" s="143" t="inlineStr">
        <is>
          <t>[7,</t>
        </is>
      </c>
      <c r="D413" s="143" t="inlineStr">
        <is>
          <t>21,</t>
        </is>
      </c>
      <c r="E413" s="143">
        <f>'Control Panel'!$AM$15</f>
        <v/>
      </c>
      <c r="F413" s="143" t="inlineStr">
        <is>
          <t>]</t>
        </is>
      </c>
      <c r="G413" s="143" t="inlineStr">
        <is>
          <t>,</t>
        </is>
      </c>
      <c r="S413" s="19">
        <f>A412</f>
        <v/>
      </c>
    </row>
    <row r="414">
      <c r="A414" s="143">
        <f>CONCATENATE(B413,C413,D413,E413,F413,G413)</f>
        <v/>
      </c>
      <c r="C414" s="143" t="inlineStr">
        <is>
          <t>[7,</t>
        </is>
      </c>
      <c r="D414" s="143" t="inlineStr">
        <is>
          <t>22,</t>
        </is>
      </c>
      <c r="E414" s="143">
        <f>'Control Panel'!$AN$15</f>
        <v/>
      </c>
      <c r="F414" s="143" t="inlineStr">
        <is>
          <t>]</t>
        </is>
      </c>
      <c r="G414" s="143" t="inlineStr">
        <is>
          <t>,</t>
        </is>
      </c>
      <c r="S414" s="19">
        <f>A413</f>
        <v/>
      </c>
    </row>
    <row r="415">
      <c r="A415" s="143">
        <f>CONCATENATE(B414,C414,D414,E414,F414,G414)</f>
        <v/>
      </c>
      <c r="C415" s="143" t="inlineStr">
        <is>
          <t>[7,</t>
        </is>
      </c>
      <c r="D415" s="143" t="inlineStr">
        <is>
          <t>23,</t>
        </is>
      </c>
      <c r="E415" s="143">
        <f>'Control Panel'!$AO$15</f>
        <v/>
      </c>
      <c r="F415" s="143" t="inlineStr">
        <is>
          <t>]</t>
        </is>
      </c>
      <c r="G415" s="143" t="inlineStr">
        <is>
          <t>,</t>
        </is>
      </c>
      <c r="S415" s="19">
        <f>A414</f>
        <v/>
      </c>
    </row>
    <row r="416">
      <c r="A416" s="143">
        <f>CONCATENATE(B415,C415,D415,E415,F415,G415)</f>
        <v/>
      </c>
      <c r="C416" s="143" t="inlineStr">
        <is>
          <t>[7,</t>
        </is>
      </c>
      <c r="D416" s="143" t="inlineStr">
        <is>
          <t>24,</t>
        </is>
      </c>
      <c r="E416" s="143">
        <f>'Control Panel'!$AP$15</f>
        <v/>
      </c>
      <c r="F416" s="143" t="inlineStr">
        <is>
          <t>]</t>
        </is>
      </c>
      <c r="G416" s="143" t="inlineStr">
        <is>
          <t>,</t>
        </is>
      </c>
      <c r="S416" s="19">
        <f>A415</f>
        <v/>
      </c>
    </row>
    <row r="417">
      <c r="A417" s="143">
        <f>CONCATENATE(B416,C416,D416,E416,F416,G416)</f>
        <v/>
      </c>
      <c r="C417" s="143" t="inlineStr">
        <is>
          <t>[7,</t>
        </is>
      </c>
      <c r="D417" s="143" t="inlineStr">
        <is>
          <t>25,</t>
        </is>
      </c>
      <c r="E417" s="143">
        <f>'Control Panel'!$AQ$15</f>
        <v/>
      </c>
      <c r="F417" s="143" t="inlineStr">
        <is>
          <t>]</t>
        </is>
      </c>
      <c r="G417" s="143" t="inlineStr">
        <is>
          <t>,</t>
        </is>
      </c>
      <c r="S417" s="19">
        <f>A416</f>
        <v/>
      </c>
    </row>
    <row r="418">
      <c r="A418" s="143">
        <f>CONCATENATE(B417,C417,D417,E417,F417,G417)</f>
        <v/>
      </c>
      <c r="S418" s="19">
        <f>A417</f>
        <v/>
      </c>
    </row>
    <row r="419">
      <c r="A419" s="143">
        <f>CONCATENATE(B418,C418,D418,E418,F418,G418)</f>
        <v/>
      </c>
      <c r="C419" s="143" t="inlineStr">
        <is>
          <t>[8,</t>
        </is>
      </c>
      <c r="D419" s="143" t="inlineStr">
        <is>
          <t>1,</t>
        </is>
      </c>
      <c r="E419" s="143">
        <f>'Control Panel'!$AS$11</f>
        <v/>
      </c>
      <c r="F419" s="143" t="inlineStr">
        <is>
          <t>]</t>
        </is>
      </c>
      <c r="G419" s="143" t="inlineStr">
        <is>
          <t>,</t>
        </is>
      </c>
      <c r="S419" s="19">
        <f>A418</f>
        <v/>
      </c>
    </row>
    <row r="420">
      <c r="A420" s="143">
        <f>CONCATENATE(B419,C419,D419,E419,F419,G419)</f>
        <v/>
      </c>
      <c r="C420" s="143" t="inlineStr">
        <is>
          <t>[8,</t>
        </is>
      </c>
      <c r="D420" s="143" t="inlineStr">
        <is>
          <t>2,</t>
        </is>
      </c>
      <c r="E420" s="143">
        <f>'Control Panel'!$AT$11</f>
        <v/>
      </c>
      <c r="F420" s="143" t="inlineStr">
        <is>
          <t>]</t>
        </is>
      </c>
      <c r="G420" s="143" t="inlineStr">
        <is>
          <t>,</t>
        </is>
      </c>
      <c r="S420" s="19">
        <f>A419</f>
        <v/>
      </c>
    </row>
    <row r="421">
      <c r="A421" s="143">
        <f>CONCATENATE(B420,C420,D420,E420,F420,G420)</f>
        <v/>
      </c>
      <c r="C421" s="143" t="inlineStr">
        <is>
          <t>[8,</t>
        </is>
      </c>
      <c r="D421" s="143" t="inlineStr">
        <is>
          <t>3,</t>
        </is>
      </c>
      <c r="E421" s="143">
        <f>'Control Panel'!$AU$11</f>
        <v/>
      </c>
      <c r="F421" s="143" t="inlineStr">
        <is>
          <t>]</t>
        </is>
      </c>
      <c r="G421" s="143" t="inlineStr">
        <is>
          <t>,</t>
        </is>
      </c>
      <c r="S421" s="19">
        <f>A420</f>
        <v/>
      </c>
    </row>
    <row r="422">
      <c r="A422" s="143">
        <f>CONCATENATE(B421,C421,D421,E421,F421,G421)</f>
        <v/>
      </c>
      <c r="C422" s="143" t="inlineStr">
        <is>
          <t>[8,</t>
        </is>
      </c>
      <c r="D422" s="143" t="inlineStr">
        <is>
          <t>4,</t>
        </is>
      </c>
      <c r="E422" s="143">
        <f>'Control Panel'!$AV$11</f>
        <v/>
      </c>
      <c r="F422" s="143" t="inlineStr">
        <is>
          <t>]</t>
        </is>
      </c>
      <c r="G422" s="143" t="inlineStr">
        <is>
          <t>,</t>
        </is>
      </c>
      <c r="S422" s="19">
        <f>A421</f>
        <v/>
      </c>
    </row>
    <row r="423">
      <c r="A423" s="143">
        <f>CONCATENATE(B422,C422,D422,E422,F422,G422)</f>
        <v/>
      </c>
      <c r="C423" s="143" t="inlineStr">
        <is>
          <t>[8,</t>
        </is>
      </c>
      <c r="D423" s="143" t="inlineStr">
        <is>
          <t>5,</t>
        </is>
      </c>
      <c r="E423" s="143">
        <f>'Control Panel'!$AW$11</f>
        <v/>
      </c>
      <c r="F423" s="143" t="inlineStr">
        <is>
          <t>]</t>
        </is>
      </c>
      <c r="G423" s="143" t="inlineStr">
        <is>
          <t>,</t>
        </is>
      </c>
      <c r="S423" s="19">
        <f>A422</f>
        <v/>
      </c>
    </row>
    <row r="424">
      <c r="A424" s="143">
        <f>CONCATENATE(B423,C423,D423,E423,F423,G423)</f>
        <v/>
      </c>
      <c r="C424" s="143" t="inlineStr">
        <is>
          <t>[8,</t>
        </is>
      </c>
      <c r="D424" s="143" t="inlineStr">
        <is>
          <t>6,</t>
        </is>
      </c>
      <c r="E424" s="143">
        <f>'Control Panel'!$AS$12</f>
        <v/>
      </c>
      <c r="F424" s="143" t="inlineStr">
        <is>
          <t>]</t>
        </is>
      </c>
      <c r="G424" s="143" t="inlineStr">
        <is>
          <t>,</t>
        </is>
      </c>
      <c r="S424" s="19">
        <f>A423</f>
        <v/>
      </c>
    </row>
    <row r="425">
      <c r="A425" s="143">
        <f>CONCATENATE(B424,C424,D424,E424,F424,G424)</f>
        <v/>
      </c>
      <c r="C425" s="143" t="inlineStr">
        <is>
          <t>[8,</t>
        </is>
      </c>
      <c r="D425" s="143" t="inlineStr">
        <is>
          <t>7,</t>
        </is>
      </c>
      <c r="E425" s="143">
        <f>'Control Panel'!$AT$12</f>
        <v/>
      </c>
      <c r="F425" s="143" t="inlineStr">
        <is>
          <t>]</t>
        </is>
      </c>
      <c r="G425" s="143" t="inlineStr">
        <is>
          <t>,</t>
        </is>
      </c>
      <c r="S425" s="19">
        <f>A424</f>
        <v/>
      </c>
    </row>
    <row r="426">
      <c r="A426" s="143">
        <f>CONCATENATE(B425,C425,D425,E425,F425,G425)</f>
        <v/>
      </c>
      <c r="C426" s="143" t="inlineStr">
        <is>
          <t>[8,</t>
        </is>
      </c>
      <c r="D426" s="143" t="inlineStr">
        <is>
          <t>8,</t>
        </is>
      </c>
      <c r="E426" s="143">
        <f>'Control Panel'!$AU$12</f>
        <v/>
      </c>
      <c r="F426" s="143" t="inlineStr">
        <is>
          <t>]</t>
        </is>
      </c>
      <c r="G426" s="143" t="inlineStr">
        <is>
          <t>,</t>
        </is>
      </c>
      <c r="S426" s="19">
        <f>A425</f>
        <v/>
      </c>
    </row>
    <row r="427">
      <c r="A427" s="143">
        <f>CONCATENATE(B426,C426,D426,E426,F426,G426)</f>
        <v/>
      </c>
      <c r="C427" s="143" t="inlineStr">
        <is>
          <t>[8,</t>
        </is>
      </c>
      <c r="D427" s="143" t="inlineStr">
        <is>
          <t>9,</t>
        </is>
      </c>
      <c r="E427" s="143">
        <f>'Control Panel'!$AV$12</f>
        <v/>
      </c>
      <c r="F427" s="143" t="inlineStr">
        <is>
          <t>]</t>
        </is>
      </c>
      <c r="G427" s="143" t="inlineStr">
        <is>
          <t>,</t>
        </is>
      </c>
      <c r="S427" s="19">
        <f>A426</f>
        <v/>
      </c>
    </row>
    <row r="428">
      <c r="A428" s="143">
        <f>CONCATENATE(B427,C427,D427,E427,F427,G427)</f>
        <v/>
      </c>
      <c r="C428" s="143" t="inlineStr">
        <is>
          <t>[8,</t>
        </is>
      </c>
      <c r="D428" s="143" t="inlineStr">
        <is>
          <t>10,</t>
        </is>
      </c>
      <c r="E428" s="143">
        <f>'Control Panel'!$AW$12</f>
        <v/>
      </c>
      <c r="F428" s="143" t="inlineStr">
        <is>
          <t>]</t>
        </is>
      </c>
      <c r="G428" s="143" t="inlineStr">
        <is>
          <t>,</t>
        </is>
      </c>
      <c r="S428" s="19">
        <f>A427</f>
        <v/>
      </c>
    </row>
    <row r="429">
      <c r="A429" s="143">
        <f>CONCATENATE(B428,C428,D428,E428,F428,G428)</f>
        <v/>
      </c>
      <c r="C429" s="143" t="inlineStr">
        <is>
          <t>[8,</t>
        </is>
      </c>
      <c r="D429" s="143" t="inlineStr">
        <is>
          <t>11,</t>
        </is>
      </c>
      <c r="E429" s="143">
        <f>'Control Panel'!$AS$13</f>
        <v/>
      </c>
      <c r="F429" s="143" t="inlineStr">
        <is>
          <t>]</t>
        </is>
      </c>
      <c r="G429" s="143" t="inlineStr">
        <is>
          <t>,</t>
        </is>
      </c>
      <c r="S429" s="19">
        <f>A428</f>
        <v/>
      </c>
    </row>
    <row r="430">
      <c r="A430" s="143">
        <f>CONCATENATE(B429,C429,D429,E429,F429,G429)</f>
        <v/>
      </c>
      <c r="C430" s="143" t="inlineStr">
        <is>
          <t>[8,</t>
        </is>
      </c>
      <c r="D430" s="143" t="inlineStr">
        <is>
          <t>12,</t>
        </is>
      </c>
      <c r="E430" s="143">
        <f>'Control Panel'!$AT$13</f>
        <v/>
      </c>
      <c r="F430" s="143" t="inlineStr">
        <is>
          <t>]</t>
        </is>
      </c>
      <c r="G430" s="143" t="inlineStr">
        <is>
          <t>,</t>
        </is>
      </c>
      <c r="S430" s="19">
        <f>A429</f>
        <v/>
      </c>
    </row>
    <row r="431">
      <c r="A431" s="143">
        <f>CONCATENATE(B430,C430,D430,E430,F430,G430)</f>
        <v/>
      </c>
      <c r="C431" s="143" t="inlineStr">
        <is>
          <t>[8,</t>
        </is>
      </c>
      <c r="D431" s="143" t="inlineStr">
        <is>
          <t>13,</t>
        </is>
      </c>
      <c r="E431" s="143" t="n">
        <v>0</v>
      </c>
      <c r="F431" s="143" t="inlineStr">
        <is>
          <t>]</t>
        </is>
      </c>
      <c r="G431" s="143" t="inlineStr">
        <is>
          <t>,</t>
        </is>
      </c>
      <c r="S431" s="19">
        <f>A430</f>
        <v/>
      </c>
    </row>
    <row r="432">
      <c r="A432" s="143">
        <f>CONCATENATE(B431,C431,D431,E431,F431,G431)</f>
        <v/>
      </c>
      <c r="C432" s="143" t="inlineStr">
        <is>
          <t>[8,</t>
        </is>
      </c>
      <c r="D432" s="143" t="inlineStr">
        <is>
          <t>14,</t>
        </is>
      </c>
      <c r="E432" s="143">
        <f>'Control Panel'!$AV$13</f>
        <v/>
      </c>
      <c r="F432" s="143" t="inlineStr">
        <is>
          <t>]</t>
        </is>
      </c>
      <c r="G432" s="143" t="inlineStr">
        <is>
          <t>,</t>
        </is>
      </c>
      <c r="S432" s="19">
        <f>A431</f>
        <v/>
      </c>
    </row>
    <row r="433">
      <c r="A433" s="143">
        <f>CONCATENATE(B432,C432,D432,E432,F432,G432)</f>
        <v/>
      </c>
      <c r="C433" s="143" t="inlineStr">
        <is>
          <t>[8,</t>
        </is>
      </c>
      <c r="D433" s="143" t="inlineStr">
        <is>
          <t>15,</t>
        </is>
      </c>
      <c r="E433" s="143">
        <f>'Control Panel'!$AW$13</f>
        <v/>
      </c>
      <c r="F433" s="143" t="inlineStr">
        <is>
          <t>]</t>
        </is>
      </c>
      <c r="G433" s="143" t="inlineStr">
        <is>
          <t>,</t>
        </is>
      </c>
      <c r="S433" s="19">
        <f>A432</f>
        <v/>
      </c>
    </row>
    <row r="434">
      <c r="A434" s="143">
        <f>CONCATENATE(B433,C433,D433,E433,F433,G433)</f>
        <v/>
      </c>
      <c r="C434" s="143" t="inlineStr">
        <is>
          <t>[8,</t>
        </is>
      </c>
      <c r="D434" s="143" t="inlineStr">
        <is>
          <t>16,</t>
        </is>
      </c>
      <c r="E434" s="143">
        <f>'Control Panel'!$AS$14</f>
        <v/>
      </c>
      <c r="F434" s="143" t="inlineStr">
        <is>
          <t>]</t>
        </is>
      </c>
      <c r="G434" s="143" t="inlineStr">
        <is>
          <t>,</t>
        </is>
      </c>
      <c r="S434" s="19">
        <f>A433</f>
        <v/>
      </c>
    </row>
    <row r="435">
      <c r="A435" s="143">
        <f>CONCATENATE(B434,C434,D434,E434,F434,G434)</f>
        <v/>
      </c>
      <c r="C435" s="143" t="inlineStr">
        <is>
          <t>[8,</t>
        </is>
      </c>
      <c r="D435" s="143" t="inlineStr">
        <is>
          <t>17,</t>
        </is>
      </c>
      <c r="E435" s="143">
        <f>'Control Panel'!$AT$14</f>
        <v/>
      </c>
      <c r="F435" s="143" t="inlineStr">
        <is>
          <t>]</t>
        </is>
      </c>
      <c r="G435" s="143" t="inlineStr">
        <is>
          <t>,</t>
        </is>
      </c>
      <c r="S435" s="19">
        <f>A434</f>
        <v/>
      </c>
    </row>
    <row r="436">
      <c r="A436" s="143">
        <f>CONCATENATE(B435,C435,D435,E435,F435,G435)</f>
        <v/>
      </c>
      <c r="C436" s="143" t="inlineStr">
        <is>
          <t>[8,</t>
        </is>
      </c>
      <c r="D436" s="143" t="inlineStr">
        <is>
          <t>18,</t>
        </is>
      </c>
      <c r="E436" s="143">
        <f>'Control Panel'!$AU$14</f>
        <v/>
      </c>
      <c r="F436" s="143" t="inlineStr">
        <is>
          <t>]</t>
        </is>
      </c>
      <c r="G436" s="143" t="inlineStr">
        <is>
          <t>,</t>
        </is>
      </c>
      <c r="S436" s="19">
        <f>A435</f>
        <v/>
      </c>
    </row>
    <row r="437">
      <c r="A437" s="143">
        <f>CONCATENATE(B436,C436,D436,E436,F436,G436)</f>
        <v/>
      </c>
      <c r="C437" s="143" t="inlineStr">
        <is>
          <t>[8,</t>
        </is>
      </c>
      <c r="D437" s="143" t="inlineStr">
        <is>
          <t>19,</t>
        </is>
      </c>
      <c r="E437" s="143">
        <f>'Control Panel'!$AV$14</f>
        <v/>
      </c>
      <c r="F437" s="143" t="inlineStr">
        <is>
          <t>]</t>
        </is>
      </c>
      <c r="G437" s="143" t="inlineStr">
        <is>
          <t>,</t>
        </is>
      </c>
      <c r="S437" s="19">
        <f>A436</f>
        <v/>
      </c>
    </row>
    <row r="438">
      <c r="A438" s="143">
        <f>CONCATENATE(B437,C437,D437,E437,F437,G437)</f>
        <v/>
      </c>
      <c r="C438" s="143" t="inlineStr">
        <is>
          <t>[8,</t>
        </is>
      </c>
      <c r="D438" s="143" t="inlineStr">
        <is>
          <t>20,</t>
        </is>
      </c>
      <c r="E438" s="143">
        <f>'Control Panel'!$AW$14</f>
        <v/>
      </c>
      <c r="F438" s="143" t="inlineStr">
        <is>
          <t>]</t>
        </is>
      </c>
      <c r="G438" s="143" t="inlineStr">
        <is>
          <t>,</t>
        </is>
      </c>
      <c r="S438" s="19">
        <f>A437</f>
        <v/>
      </c>
    </row>
    <row r="439">
      <c r="A439" s="143">
        <f>CONCATENATE(B438,C438,D438,E438,F438,G438)</f>
        <v/>
      </c>
      <c r="C439" s="143" t="inlineStr">
        <is>
          <t>[8,</t>
        </is>
      </c>
      <c r="D439" s="143" t="inlineStr">
        <is>
          <t>21,</t>
        </is>
      </c>
      <c r="E439" s="143">
        <f>'Control Panel'!$AS$15</f>
        <v/>
      </c>
      <c r="F439" s="143" t="inlineStr">
        <is>
          <t>]</t>
        </is>
      </c>
      <c r="G439" s="143" t="inlineStr">
        <is>
          <t>,</t>
        </is>
      </c>
      <c r="S439" s="19">
        <f>A438</f>
        <v/>
      </c>
    </row>
    <row r="440">
      <c r="A440" s="143">
        <f>CONCATENATE(B439,C439,D439,E439,F439,G439)</f>
        <v/>
      </c>
      <c r="C440" s="143" t="inlineStr">
        <is>
          <t>[8,</t>
        </is>
      </c>
      <c r="D440" s="143" t="inlineStr">
        <is>
          <t>22,</t>
        </is>
      </c>
      <c r="E440" s="143">
        <f>'Control Panel'!$AT$15</f>
        <v/>
      </c>
      <c r="F440" s="143" t="inlineStr">
        <is>
          <t>]</t>
        </is>
      </c>
      <c r="G440" s="143" t="inlineStr">
        <is>
          <t>,</t>
        </is>
      </c>
      <c r="S440" s="19">
        <f>A439</f>
        <v/>
      </c>
    </row>
    <row r="441">
      <c r="A441" s="143">
        <f>CONCATENATE(B440,C440,D440,E440,F440,G440)</f>
        <v/>
      </c>
      <c r="C441" s="143" t="inlineStr">
        <is>
          <t>[8,</t>
        </is>
      </c>
      <c r="D441" s="143" t="inlineStr">
        <is>
          <t>23,</t>
        </is>
      </c>
      <c r="E441" s="143">
        <f>'Control Panel'!$AU$15</f>
        <v/>
      </c>
      <c r="F441" s="143" t="inlineStr">
        <is>
          <t>]</t>
        </is>
      </c>
      <c r="G441" s="143" t="inlineStr">
        <is>
          <t>,</t>
        </is>
      </c>
      <c r="S441" s="19">
        <f>A440</f>
        <v/>
      </c>
    </row>
    <row r="442">
      <c r="A442" s="143">
        <f>CONCATENATE(B441,C441,D441,E441,F441,G441)</f>
        <v/>
      </c>
      <c r="C442" s="143" t="inlineStr">
        <is>
          <t>[8,</t>
        </is>
      </c>
      <c r="D442" s="143" t="inlineStr">
        <is>
          <t>24,</t>
        </is>
      </c>
      <c r="E442" s="143">
        <f>'Control Panel'!$AV$15</f>
        <v/>
      </c>
      <c r="F442" s="143" t="inlineStr">
        <is>
          <t>]</t>
        </is>
      </c>
      <c r="G442" s="143" t="inlineStr">
        <is>
          <t>,</t>
        </is>
      </c>
      <c r="S442" s="19">
        <f>A441</f>
        <v/>
      </c>
    </row>
    <row r="443">
      <c r="A443" s="143">
        <f>CONCATENATE(B442,C442,D442,E442,F442,G442)</f>
        <v/>
      </c>
      <c r="C443" s="143" t="inlineStr">
        <is>
          <t>[8,</t>
        </is>
      </c>
      <c r="D443" s="143" t="inlineStr">
        <is>
          <t>25,</t>
        </is>
      </c>
      <c r="E443" s="143">
        <f>'Control Panel'!$AW$15</f>
        <v/>
      </c>
      <c r="F443" s="143" t="inlineStr">
        <is>
          <t>]</t>
        </is>
      </c>
      <c r="G443" s="143" t="inlineStr">
        <is>
          <t>,</t>
        </is>
      </c>
      <c r="S443" s="19">
        <f>A442</f>
        <v/>
      </c>
    </row>
    <row r="444">
      <c r="A444" s="143">
        <f>CONCATENATE(B443,C443,D443,E443,F443,G443)</f>
        <v/>
      </c>
      <c r="B444" s="143" t="inlineStr">
        <is>
          <t>];</t>
        </is>
      </c>
      <c r="S444" s="19">
        <f>A443</f>
        <v/>
      </c>
    </row>
    <row r="450">
      <c r="K450" s="20" t="n"/>
    </row>
    <row r="452">
      <c r="M452" s="168" t="n"/>
      <c r="N452" s="168" t="n"/>
    </row>
    <row r="453">
      <c r="M453" s="168" t="n"/>
      <c r="N453" s="168" t="n"/>
    </row>
    <row r="454">
      <c r="M454" s="168" t="n"/>
      <c r="N454" s="168" t="n"/>
    </row>
    <row r="455">
      <c r="M455" s="168" t="n"/>
      <c r="N455" s="168" t="n"/>
    </row>
    <row r="456">
      <c r="M456" s="168" t="n"/>
      <c r="N456" s="168" t="n"/>
    </row>
    <row r="457">
      <c r="M457" s="168" t="n"/>
      <c r="N457" s="168" t="n"/>
    </row>
    <row r="458">
      <c r="M458" s="168" t="n"/>
      <c r="N458" s="168" t="n"/>
    </row>
    <row r="459">
      <c r="M459" s="168" t="n"/>
      <c r="N459" s="168" t="n"/>
    </row>
    <row r="460">
      <c r="M460" s="168" t="n"/>
      <c r="N460" s="168" t="n"/>
    </row>
    <row r="461">
      <c r="M461" s="168" t="n"/>
      <c r="N461" s="168" t="n"/>
    </row>
    <row r="462">
      <c r="M462" s="168" t="n"/>
      <c r="N462" s="168" t="n"/>
    </row>
    <row r="463">
      <c r="M463" s="168" t="n"/>
      <c r="N463" s="168" t="n"/>
    </row>
    <row r="464">
      <c r="M464" s="168" t="n"/>
      <c r="N464" s="168" t="n"/>
    </row>
    <row r="465">
      <c r="M465" s="168" t="n"/>
      <c r="N465" s="168" t="n"/>
    </row>
    <row r="466">
      <c r="M466" s="168" t="n"/>
      <c r="N466" s="168" t="n"/>
    </row>
    <row r="467">
      <c r="M467" s="168" t="n"/>
      <c r="N467" s="168" t="n"/>
    </row>
    <row r="468">
      <c r="M468" s="168" t="n"/>
      <c r="N468" s="168" t="n"/>
    </row>
    <row r="469">
      <c r="M469" s="168" t="n"/>
      <c r="N469" s="168" t="n"/>
    </row>
    <row r="470">
      <c r="M470" s="168" t="n"/>
      <c r="N470" s="168" t="n"/>
    </row>
    <row r="471">
      <c r="M471" s="168" t="n"/>
      <c r="N471" s="168" t="n"/>
    </row>
    <row r="472">
      <c r="M472" s="168" t="n"/>
      <c r="N472" s="168" t="n"/>
    </row>
    <row r="473">
      <c r="M473" s="168" t="n"/>
      <c r="N473" s="168" t="n"/>
    </row>
    <row r="474">
      <c r="M474" s="168" t="n"/>
      <c r="N474" s="168" t="n"/>
    </row>
    <row r="475">
      <c r="M475" s="168" t="n"/>
      <c r="N475" s="168" t="n"/>
    </row>
    <row r="476">
      <c r="M476" s="168" t="n"/>
      <c r="N476" s="168" t="n"/>
    </row>
    <row r="477">
      <c r="N477" s="168" t="n"/>
    </row>
  </sheetData>
  <mergeCells count="1">
    <mergeCell ref="A1:S1"/>
  </mergeCells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D10" sqref="D10"/>
    </sheetView>
  </sheetViews>
  <sheetFormatPr baseColWidth="8" defaultRowHeight="16.5"/>
  <cols>
    <col width="16.5" bestFit="1" customWidth="1" style="161" min="1" max="2"/>
    <col width="11.625" bestFit="1" customWidth="1" style="161" min="3" max="3"/>
    <col width="5.75" customWidth="1" style="161" min="4" max="5"/>
    <col width="26.375" bestFit="1" customWidth="1" style="161" min="6" max="6"/>
    <col width="16" bestFit="1" customWidth="1" style="161" min="7" max="7"/>
    <col width="9.25" bestFit="1" customWidth="1" style="161" min="8" max="10"/>
    <col width="10.25" bestFit="1" customWidth="1" style="161" min="11" max="12"/>
    <col width="9.125" bestFit="1" customWidth="1" style="161" min="15" max="15"/>
    <col width="9.25" bestFit="1" customWidth="1" style="161" min="16" max="17"/>
    <col width="10.25" bestFit="1" customWidth="1" style="161" min="18" max="19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A2" s="31" t="inlineStr">
        <is>
          <t>Based on 3000 Spins</t>
        </is>
      </c>
      <c r="F2" s="0" t="inlineStr">
        <is>
          <t>Exchange</t>
        </is>
      </c>
      <c r="H2" s="0" t="inlineStr">
        <is>
          <t>Range</t>
        </is>
      </c>
      <c r="N2" s="143" t="inlineStr">
        <is>
          <t>Bingo Position Expected Value</t>
        </is>
      </c>
      <c r="O2" s="143" t="n"/>
      <c r="P2" s="143" t="n"/>
      <c r="Q2" s="143" t="n"/>
      <c r="R2" s="143" t="n"/>
      <c r="S2" s="143" t="n"/>
    </row>
    <row r="3">
      <c r="A3" s="31" t="inlineStr">
        <is>
          <t>Bingo Level</t>
        </is>
      </c>
      <c r="B3" s="0" t="inlineStr">
        <is>
          <t>Avg Bingo Prize</t>
        </is>
      </c>
      <c r="C3" s="0" t="inlineStr">
        <is>
          <t>Amount per Symbol</t>
        </is>
      </c>
      <c r="D3" s="0" t="inlineStr">
        <is>
          <t>Multiplier</t>
        </is>
      </c>
      <c r="F3" s="0" t="inlineStr">
        <is>
          <t>Diamond</t>
        </is>
      </c>
      <c r="G3" s="0" t="inlineStr">
        <is>
          <t>Earned Amount/Diamond</t>
        </is>
      </c>
      <c r="H3" s="0" t="n">
        <v>50</v>
      </c>
      <c r="I3" s="0" t="n">
        <v>100</v>
      </c>
      <c r="J3" s="0" t="n">
        <v>200</v>
      </c>
      <c r="K3" s="0" t="n">
        <v>500</v>
      </c>
      <c r="L3" s="0" t="n">
        <v>1000</v>
      </c>
      <c r="N3" s="86" t="inlineStr">
        <is>
          <t>Bingo Level</t>
        </is>
      </c>
      <c r="O3" s="89" t="n">
        <v>1</v>
      </c>
      <c r="P3" s="89" t="n">
        <v>2</v>
      </c>
      <c r="Q3" s="89" t="n">
        <v>3</v>
      </c>
      <c r="R3" s="89" t="n">
        <v>4</v>
      </c>
      <c r="S3" s="89" t="n">
        <v>5</v>
      </c>
    </row>
    <row r="4">
      <c r="A4" s="37" t="n">
        <v>1</v>
      </c>
      <c r="B4" s="2" t="n">
        <v>435515.2243589744</v>
      </c>
      <c r="C4" s="2" t="n">
        <v>33501.17110453649</v>
      </c>
      <c r="D4" s="202" t="n">
        <v>1</v>
      </c>
      <c r="F4" s="0" t="n">
        <v>20</v>
      </c>
      <c r="G4" s="2">
        <f>B3/F3</f>
        <v/>
      </c>
      <c r="H4" s="2">
        <f>$G3*H$2</f>
        <v/>
      </c>
      <c r="I4" s="2">
        <f>$G3*I$2</f>
        <v/>
      </c>
      <c r="J4" s="2">
        <f>$G3*J$2</f>
        <v/>
      </c>
      <c r="K4" s="2">
        <f>$G3*K$2</f>
        <v/>
      </c>
      <c r="L4" s="2">
        <f>$G3*L$2</f>
        <v/>
      </c>
      <c r="N4" s="87" t="n">
        <v>1</v>
      </c>
      <c r="O4" s="88" t="n">
        <v>611</v>
      </c>
      <c r="P4" s="163" t="n">
        <v>94</v>
      </c>
      <c r="Q4" s="163" t="n">
        <v>76</v>
      </c>
      <c r="R4" s="163" t="n">
        <v>81</v>
      </c>
      <c r="S4" s="163" t="n">
        <v>85</v>
      </c>
    </row>
    <row r="5">
      <c r="A5" s="37" t="n">
        <v>2</v>
      </c>
      <c r="B5" s="2" t="n">
        <v>871030.4487179487</v>
      </c>
      <c r="C5" s="2" t="n">
        <v>67002.34220907299</v>
      </c>
      <c r="D5" s="202" t="n">
        <v>2</v>
      </c>
      <c r="F5" s="0" t="n">
        <v>40</v>
      </c>
      <c r="G5" s="2">
        <f>B4/F4</f>
        <v/>
      </c>
      <c r="H5" s="2">
        <f>$G4*H$2</f>
        <v/>
      </c>
      <c r="I5" s="2">
        <f>$G4*I$2</f>
        <v/>
      </c>
      <c r="J5" s="2">
        <f>$G4*J$2</f>
        <v/>
      </c>
      <c r="K5" s="2">
        <f>$G4*K$2</f>
        <v/>
      </c>
      <c r="L5" s="2">
        <f>$G4*L$2</f>
        <v/>
      </c>
      <c r="N5" s="87" t="n">
        <v>2</v>
      </c>
      <c r="O5" s="163" t="n">
        <v>305</v>
      </c>
      <c r="P5" s="163" t="n">
        <v>536</v>
      </c>
      <c r="Q5" s="163" t="n">
        <v>39</v>
      </c>
      <c r="R5" s="163" t="n">
        <v>41</v>
      </c>
      <c r="S5" s="163" t="n">
        <v>43</v>
      </c>
    </row>
    <row r="6">
      <c r="A6" s="37" t="n">
        <v>3</v>
      </c>
      <c r="B6" s="2" t="n">
        <v>1306545.673076923</v>
      </c>
      <c r="C6" s="2" t="n">
        <v>100503.5133136095</v>
      </c>
      <c r="D6" s="202" t="n">
        <v>3</v>
      </c>
      <c r="F6" s="0" t="n">
        <v>60</v>
      </c>
      <c r="G6" s="2">
        <f>B5/F5</f>
        <v/>
      </c>
      <c r="H6" s="2">
        <f>$G5*H$2</f>
        <v/>
      </c>
      <c r="I6" s="2">
        <f>$G5*I$2</f>
        <v/>
      </c>
      <c r="J6" s="2">
        <f>$G5*J$2</f>
        <v/>
      </c>
      <c r="K6" s="2">
        <f>$G5*K$2</f>
        <v/>
      </c>
      <c r="L6" s="2">
        <f>$G5*L$2</f>
        <v/>
      </c>
      <c r="N6" s="87" t="n">
        <v>3</v>
      </c>
      <c r="O6" s="163" t="n">
        <v>204</v>
      </c>
      <c r="P6" s="163" t="n">
        <v>357</v>
      </c>
      <c r="Q6" s="163" t="n">
        <v>26</v>
      </c>
      <c r="R6" s="163" t="n">
        <v>27</v>
      </c>
      <c r="S6" s="163" t="n">
        <v>28</v>
      </c>
    </row>
    <row r="7">
      <c r="A7" s="37" t="n">
        <v>4</v>
      </c>
      <c r="B7" s="2" t="n">
        <v>2177576.121794872</v>
      </c>
      <c r="C7" s="2" t="n">
        <v>167505.8555226825</v>
      </c>
      <c r="D7" s="202" t="n">
        <v>5</v>
      </c>
      <c r="F7" s="0" t="n">
        <v>100</v>
      </c>
      <c r="G7" s="2">
        <f>B6/F6</f>
        <v/>
      </c>
      <c r="H7" s="2">
        <f>$G6*H$2</f>
        <v/>
      </c>
      <c r="I7" s="2">
        <f>$G6*I$2</f>
        <v/>
      </c>
      <c r="J7" s="2">
        <f>$G6*J$2</f>
        <v/>
      </c>
      <c r="K7" s="2">
        <f>$G6*K$2</f>
        <v/>
      </c>
      <c r="L7" s="2">
        <f>$G6*L$2</f>
        <v/>
      </c>
      <c r="N7" s="87" t="n">
        <v>4</v>
      </c>
      <c r="O7" s="163" t="n">
        <v>35</v>
      </c>
      <c r="P7" s="163" t="n">
        <v>214</v>
      </c>
      <c r="Q7" s="163" t="n">
        <v>428</v>
      </c>
      <c r="R7" s="163" t="n">
        <v>16</v>
      </c>
      <c r="S7" s="163" t="n">
        <v>17</v>
      </c>
    </row>
    <row r="8">
      <c r="A8" s="37" t="n">
        <v>5</v>
      </c>
      <c r="B8" s="2" t="n">
        <v>2613091.346153846</v>
      </c>
      <c r="C8" s="2" t="n">
        <v>201007.0266272189</v>
      </c>
      <c r="D8" s="202" t="n">
        <v>6</v>
      </c>
      <c r="F8" s="0" t="n">
        <v>120</v>
      </c>
      <c r="G8" s="2">
        <f>B7/F7</f>
        <v/>
      </c>
      <c r="H8" s="2">
        <f>$G7*H$2</f>
        <v/>
      </c>
      <c r="I8" s="2">
        <f>$G7*I$2</f>
        <v/>
      </c>
      <c r="J8" s="2">
        <f>$G7*J$2</f>
        <v/>
      </c>
      <c r="K8" s="2">
        <f>$G7*K$2</f>
        <v/>
      </c>
      <c r="L8" s="2">
        <f>$G7*L$2</f>
        <v/>
      </c>
      <c r="N8" s="87" t="n">
        <v>5</v>
      </c>
      <c r="O8" s="163" t="n">
        <v>30</v>
      </c>
      <c r="P8" s="163" t="n">
        <v>15</v>
      </c>
      <c r="Q8" s="163" t="n">
        <v>357</v>
      </c>
      <c r="R8" s="163" t="n">
        <v>413</v>
      </c>
      <c r="S8" s="163" t="n">
        <v>14</v>
      </c>
    </row>
    <row r="9">
      <c r="A9" s="37" t="n">
        <v>6</v>
      </c>
      <c r="B9" s="2" t="n">
        <v>3048606.570512821</v>
      </c>
      <c r="C9" s="2" t="n">
        <v>234508.1977317554</v>
      </c>
      <c r="D9" s="202" t="n">
        <v>7</v>
      </c>
      <c r="F9" s="0" t="n">
        <v>140</v>
      </c>
      <c r="G9" s="2">
        <f>B8/F8</f>
        <v/>
      </c>
      <c r="H9" s="2">
        <f>$G8*H$2</f>
        <v/>
      </c>
      <c r="I9" s="2">
        <f>$G8*I$2</f>
        <v/>
      </c>
      <c r="J9" s="2">
        <f>$G8*J$2</f>
        <v/>
      </c>
      <c r="K9" s="2">
        <f>$G8*K$2</f>
        <v/>
      </c>
      <c r="L9" s="2">
        <f>$G8*L$2</f>
        <v/>
      </c>
      <c r="N9" s="87" t="n">
        <v>6</v>
      </c>
      <c r="O9" s="163" t="n">
        <v>25</v>
      </c>
      <c r="P9" s="163" t="n">
        <v>13</v>
      </c>
      <c r="Q9" s="163" t="n">
        <v>306</v>
      </c>
      <c r="R9" s="163" t="n">
        <v>354</v>
      </c>
      <c r="S9" s="163" t="n">
        <v>413</v>
      </c>
    </row>
    <row r="10">
      <c r="A10" s="37" t="n">
        <v>7</v>
      </c>
      <c r="B10" s="2" t="n">
        <v>3484121.794871795</v>
      </c>
      <c r="C10" s="2" t="n">
        <v>268009.3688362919</v>
      </c>
      <c r="D10" s="202" t="n">
        <v>8</v>
      </c>
      <c r="F10" s="0" t="n">
        <v>160</v>
      </c>
      <c r="G10" s="2">
        <f>B9/F9</f>
        <v/>
      </c>
      <c r="H10" s="2">
        <f>$G9*H$2</f>
        <v/>
      </c>
      <c r="I10" s="2">
        <f>$G9*I$2</f>
        <v/>
      </c>
      <c r="J10" s="2">
        <f>$G9*J$2</f>
        <v/>
      </c>
      <c r="K10" s="2">
        <f>$G9*K$2</f>
        <v/>
      </c>
      <c r="L10" s="2">
        <f>$G9*L$2</f>
        <v/>
      </c>
      <c r="N10" s="87" t="n">
        <v>7</v>
      </c>
      <c r="O10" s="163" t="n">
        <v>22</v>
      </c>
      <c r="P10" s="163" t="n">
        <v>12</v>
      </c>
      <c r="Q10" s="163" t="n">
        <v>10</v>
      </c>
      <c r="R10" s="163" t="n">
        <v>310</v>
      </c>
      <c r="S10" s="163" t="n">
        <v>361</v>
      </c>
    </row>
    <row r="11">
      <c r="A11" s="37" t="n">
        <v>8</v>
      </c>
      <c r="B11" s="2" t="n">
        <v>4355152.243589744</v>
      </c>
      <c r="C11" s="2" t="n">
        <v>335011.7110453649</v>
      </c>
      <c r="D11" s="202" t="n">
        <v>10</v>
      </c>
      <c r="F11" s="0" t="n">
        <v>200</v>
      </c>
      <c r="G11" s="2">
        <f>B10/F10</f>
        <v/>
      </c>
      <c r="H11" s="2">
        <f>$G10*H$2</f>
        <v/>
      </c>
      <c r="I11" s="2">
        <f>$G10*I$2</f>
        <v/>
      </c>
      <c r="J11" s="2">
        <f>$G10*J$2</f>
        <v/>
      </c>
      <c r="K11" s="2">
        <f>$G10*K$2</f>
        <v/>
      </c>
      <c r="L11" s="2">
        <f>$G10*L$2</f>
        <v/>
      </c>
      <c r="N11" s="87" t="n">
        <v>8</v>
      </c>
      <c r="O11" s="163" t="n">
        <v>18</v>
      </c>
      <c r="P11" s="163" t="n">
        <v>9</v>
      </c>
      <c r="Q11" s="163" t="n">
        <v>8</v>
      </c>
      <c r="R11" s="163" t="n">
        <v>8</v>
      </c>
      <c r="S11" s="163" t="n">
        <v>289</v>
      </c>
    </row>
    <row r="12">
      <c r="A12" s="39" t="n"/>
      <c r="G12" s="2" t="inlineStr">
        <is>
          <t>Average</t>
        </is>
      </c>
      <c r="H12" s="2">
        <f>AVERAGE(H3:H10)</f>
        <v/>
      </c>
      <c r="I12" s="2">
        <f>AVERAGE(I3:I10)</f>
        <v/>
      </c>
      <c r="J12" s="2">
        <f>AVERAGE(J3:J10)</f>
        <v/>
      </c>
      <c r="K12" s="2">
        <f>AVERAGE(K3:K10)</f>
        <v/>
      </c>
      <c r="L12" s="2">
        <f>AVERAGE(L3:L10)</f>
        <v/>
      </c>
      <c r="N12" s="143" t="inlineStr">
        <is>
          <t>Daily Expected Value</t>
        </is>
      </c>
      <c r="O12" s="164" t="n">
        <v>627316</v>
      </c>
      <c r="P12" s="164" t="n">
        <v>1006619</v>
      </c>
      <c r="Q12" s="164" t="n">
        <v>1830605.3</v>
      </c>
      <c r="R12" s="164" t="n">
        <v>2124709.6</v>
      </c>
      <c r="S12" s="164" t="n">
        <v>2448109.6</v>
      </c>
    </row>
    <row r="13">
      <c r="A13" s="40" t="n"/>
      <c r="F13" s="0" t="inlineStr">
        <is>
          <t>Recommended-&gt;</t>
        </is>
      </c>
      <c r="G13" s="8" t="n">
        <v>0.1</v>
      </c>
      <c r="H13" s="42">
        <f>H$11*$G12</f>
        <v/>
      </c>
      <c r="I13" s="42">
        <f>I$11*$G12</f>
        <v/>
      </c>
      <c r="J13" s="42">
        <f>J$11*$G12</f>
        <v/>
      </c>
      <c r="K13" s="42">
        <f>K$11*$G12</f>
        <v/>
      </c>
      <c r="L13" s="42">
        <f>L$11*$G12</f>
        <v/>
      </c>
      <c r="O13" s="0" t="inlineStr">
        <is>
          <t>Exchange Range</t>
        </is>
      </c>
    </row>
    <row r="14">
      <c r="A14" s="41" t="n"/>
      <c r="G14" s="8" t="n">
        <v>0.2</v>
      </c>
      <c r="H14" s="42">
        <f>H$11*$G13</f>
        <v/>
      </c>
      <c r="I14" s="42">
        <f>I$11*$G13</f>
        <v/>
      </c>
      <c r="J14" s="42">
        <f>J$11*$G13</f>
        <v/>
      </c>
      <c r="K14" s="42">
        <f>K$11*$G13</f>
        <v/>
      </c>
      <c r="L14" s="42">
        <f>L$11*$G13</f>
        <v/>
      </c>
      <c r="N14" s="31" t="inlineStr">
        <is>
          <t>Bingo Level</t>
        </is>
      </c>
      <c r="O14" s="38" t="n">
        <v>50</v>
      </c>
      <c r="P14" s="38" t="n">
        <v>100</v>
      </c>
      <c r="Q14" s="38" t="n">
        <v>200</v>
      </c>
      <c r="R14" s="38" t="n">
        <v>500</v>
      </c>
      <c r="S14" s="38" t="n">
        <v>1000</v>
      </c>
      <c r="T14" s="0" t="inlineStr">
        <is>
          <t>Bingo Prize</t>
        </is>
      </c>
    </row>
    <row r="15">
      <c r="G15" s="8" t="n">
        <v>0.3</v>
      </c>
      <c r="H15" s="42">
        <f>H$11*$G14</f>
        <v/>
      </c>
      <c r="I15" s="42">
        <f>I$11*$G14</f>
        <v/>
      </c>
      <c r="J15" s="42">
        <f>J$11*$G14</f>
        <v/>
      </c>
      <c r="K15" s="42">
        <f>K$11*$G14</f>
        <v/>
      </c>
      <c r="L15" s="42">
        <f>L$11*$G14</f>
        <v/>
      </c>
      <c r="N15" s="43" t="n">
        <v>1</v>
      </c>
      <c r="O15" s="31" t="n">
        <v>0.5</v>
      </c>
      <c r="P15" s="31" t="n"/>
      <c r="Q15" s="31" t="n"/>
      <c r="R15" s="31" t="n"/>
      <c r="S15" s="31" t="n"/>
      <c r="T15" s="2" t="n">
        <v>435515.2243589744</v>
      </c>
    </row>
    <row r="16">
      <c r="N16" s="37" t="n">
        <v>2</v>
      </c>
      <c r="O16" s="31" t="n">
        <v>0.5</v>
      </c>
      <c r="P16" s="31" t="n">
        <v>0.5</v>
      </c>
      <c r="Q16" s="31" t="n"/>
      <c r="R16" s="31" t="n"/>
      <c r="S16" s="31" t="n"/>
      <c r="T16" s="2" t="n">
        <v>871030.4487179487</v>
      </c>
    </row>
    <row r="17">
      <c r="N17" s="37" t="n">
        <v>3</v>
      </c>
      <c r="O17" s="31" t="n">
        <v>0.5</v>
      </c>
      <c r="P17" s="31" t="n">
        <v>0.5</v>
      </c>
      <c r="Q17" s="31" t="n">
        <v>1</v>
      </c>
      <c r="R17" s="31" t="n"/>
      <c r="S17" s="31" t="n"/>
      <c r="T17" s="2" t="n">
        <v>1306545.673076923</v>
      </c>
    </row>
    <row r="18">
      <c r="N18" s="37" t="n">
        <v>4</v>
      </c>
      <c r="O18" s="31" t="n">
        <v>0.5</v>
      </c>
      <c r="P18" s="31" t="n">
        <v>0.5</v>
      </c>
      <c r="Q18" s="31" t="n">
        <v>1</v>
      </c>
      <c r="R18" s="31" t="n">
        <v>1</v>
      </c>
      <c r="S18" s="31" t="n"/>
      <c r="T18" s="2" t="n">
        <v>2177576.121794872</v>
      </c>
    </row>
    <row r="19">
      <c r="G19" s="0" t="inlineStr">
        <is>
          <t>Range</t>
        </is>
      </c>
      <c r="H19" s="31" t="n">
        <v>50</v>
      </c>
      <c r="I19" s="31" t="n">
        <v>100</v>
      </c>
      <c r="J19" s="31" t="n">
        <v>200</v>
      </c>
      <c r="K19" s="31" t="n">
        <v>500</v>
      </c>
      <c r="L19" s="31" t="n">
        <v>1000</v>
      </c>
      <c r="N19" s="37" t="n">
        <v>5</v>
      </c>
      <c r="O19" s="31" t="n"/>
      <c r="P19" s="31" t="n">
        <v>0.5</v>
      </c>
      <c r="Q19" s="31" t="n">
        <v>0.5</v>
      </c>
      <c r="R19" s="31" t="n">
        <v>1</v>
      </c>
      <c r="S19" s="31" t="n">
        <v>1.5</v>
      </c>
      <c r="T19" s="2" t="n">
        <v>2613091.346153846</v>
      </c>
    </row>
    <row r="20">
      <c r="F20" s="0" t="inlineStr">
        <is>
          <t>Base Reward</t>
        </is>
      </c>
      <c r="G20" s="8" t="n">
        <v>0.1</v>
      </c>
      <c r="H20" s="154">
        <f>INDEX(H12:H14,MATCH($G19,$G$12:$G$14,0))</f>
        <v/>
      </c>
      <c r="I20" s="154">
        <f>INDEX(I12:I14,MATCH($G19,$G$12:$G$14,0))</f>
        <v/>
      </c>
      <c r="J20" s="154">
        <f>INDEX(J12:J14,MATCH($G19,$G$12:$G$14,0))</f>
        <v/>
      </c>
      <c r="K20" s="154">
        <f>INDEX(K12:K14,MATCH($G19,$G$12:$G$14,0))</f>
        <v/>
      </c>
      <c r="L20" s="154">
        <f>INDEX(L12:L14,MATCH($G19,$G$12:$G$14,0))</f>
        <v/>
      </c>
      <c r="N20" s="37" t="n">
        <v>6</v>
      </c>
      <c r="O20" s="31" t="n"/>
      <c r="P20" s="31" t="n"/>
      <c r="Q20" s="31" t="n">
        <v>0.5</v>
      </c>
      <c r="R20" s="31" t="n">
        <v>1</v>
      </c>
      <c r="S20" s="31" t="n">
        <v>1.5</v>
      </c>
      <c r="T20" s="2" t="n">
        <v>3048606.570512821</v>
      </c>
    </row>
    <row r="21">
      <c r="F21" s="0" t="inlineStr">
        <is>
          <t>Provided Bingo Coin</t>
        </is>
      </c>
      <c r="H21" s="154">
        <f>O31</f>
        <v/>
      </c>
      <c r="I21" s="154">
        <f>P31</f>
        <v/>
      </c>
      <c r="J21" s="154">
        <f>Q31</f>
        <v/>
      </c>
      <c r="K21" s="154">
        <f>R31</f>
        <v/>
      </c>
      <c r="L21" s="154">
        <f>S31</f>
        <v/>
      </c>
      <c r="N21" s="37" t="n">
        <v>7</v>
      </c>
      <c r="O21" s="31" t="n"/>
      <c r="P21" s="31" t="n"/>
      <c r="Q21" s="31" t="n"/>
      <c r="R21" s="31" t="n">
        <v>0.5</v>
      </c>
      <c r="S21" s="31" t="n">
        <v>1.5</v>
      </c>
      <c r="T21" s="2" t="n">
        <v>3484121.794871795</v>
      </c>
    </row>
    <row r="22">
      <c r="F22" s="0" t="inlineStr">
        <is>
          <t>Base Reward + Provided Bingo Coin</t>
        </is>
      </c>
      <c r="H22" s="154">
        <f>SUM(H19:H20)</f>
        <v/>
      </c>
      <c r="I22" s="154">
        <f>SUM(I19:I20)</f>
        <v/>
      </c>
      <c r="J22" s="154">
        <f>SUM(J19:J20)</f>
        <v/>
      </c>
      <c r="K22" s="154">
        <f>SUM(K19:K20)</f>
        <v/>
      </c>
      <c r="L22" s="154">
        <f>SUM(L19:L20)</f>
        <v/>
      </c>
      <c r="N22" s="37" t="n">
        <v>8</v>
      </c>
      <c r="O22" s="31" t="n"/>
      <c r="P22" s="31" t="n"/>
      <c r="Q22" s="31" t="n"/>
      <c r="R22" s="31" t="n"/>
      <c r="S22" s="31" t="n">
        <v>1.5</v>
      </c>
      <c r="T22" s="2" t="n">
        <v>4355152.243589744</v>
      </c>
    </row>
    <row r="23">
      <c r="F23" s="0" t="inlineStr">
        <is>
          <t>Bonus Rate</t>
        </is>
      </c>
      <c r="H23" s="8">
        <f>H21/H3</f>
        <v/>
      </c>
      <c r="I23" s="8">
        <f>I21/I3</f>
        <v/>
      </c>
      <c r="J23" s="8">
        <f>J21/J3</f>
        <v/>
      </c>
      <c r="K23" s="8">
        <f>K21/K3</f>
        <v/>
      </c>
      <c r="L23" s="8">
        <f>L21/L3</f>
        <v/>
      </c>
      <c r="N23" s="0" t="inlineStr">
        <is>
          <t>Provided Count</t>
        </is>
      </c>
      <c r="O23" s="2">
        <f>SUM(O14:O21)</f>
        <v/>
      </c>
      <c r="P23" s="2">
        <f>SUM(P14:P21)</f>
        <v/>
      </c>
      <c r="Q23" s="2">
        <f>SUM(Q14:Q21)</f>
        <v/>
      </c>
      <c r="R23" s="2">
        <f>SUM(R14:R21)</f>
        <v/>
      </c>
      <c r="S23" s="2">
        <f>SUM(S14:S21)</f>
        <v/>
      </c>
    </row>
    <row r="24">
      <c r="F24" s="0" t="inlineStr">
        <is>
          <t>Actual Diamond Value</t>
        </is>
      </c>
      <c r="G24" s="8">
        <f>AVERAGE(H22:L22)</f>
        <v/>
      </c>
      <c r="H24" s="2">
        <f>G10*G23</f>
        <v/>
      </c>
      <c r="N24" s="37" t="n">
        <v>1</v>
      </c>
      <c r="O24" s="154">
        <f>$C3*O14</f>
        <v/>
      </c>
      <c r="P24" s="154">
        <f>$C3*P14</f>
        <v/>
      </c>
      <c r="Q24" s="154">
        <f>$C3*Q14</f>
        <v/>
      </c>
      <c r="R24" s="154">
        <f>$C3*R14</f>
        <v/>
      </c>
      <c r="S24" s="154">
        <f>$C3*S14</f>
        <v/>
      </c>
    </row>
    <row r="25">
      <c r="N25" s="37" t="n">
        <v>2</v>
      </c>
      <c r="O25" s="154">
        <f>$C4*O15</f>
        <v/>
      </c>
      <c r="P25" s="154">
        <f>$C4*P15</f>
        <v/>
      </c>
      <c r="Q25" s="154">
        <f>$C4*Q15</f>
        <v/>
      </c>
      <c r="R25" s="154">
        <f>$C4*R15</f>
        <v/>
      </c>
      <c r="S25" s="154">
        <f>$C4*S15</f>
        <v/>
      </c>
    </row>
    <row r="26">
      <c r="N26" s="37" t="n">
        <v>3</v>
      </c>
      <c r="O26" s="154">
        <f>$C5*O16</f>
        <v/>
      </c>
      <c r="P26" s="154">
        <f>$C5*P16</f>
        <v/>
      </c>
      <c r="Q26" s="154">
        <f>$C5*Q16</f>
        <v/>
      </c>
      <c r="R26" s="154">
        <f>$C5*R16</f>
        <v/>
      </c>
      <c r="S26" s="154">
        <f>$C5*S16</f>
        <v/>
      </c>
    </row>
    <row r="27">
      <c r="N27" s="37" t="n">
        <v>4</v>
      </c>
      <c r="O27" s="154">
        <f>$C6*O17</f>
        <v/>
      </c>
      <c r="P27" s="154">
        <f>$C6*P17</f>
        <v/>
      </c>
      <c r="Q27" s="154">
        <f>$C6*Q17</f>
        <v/>
      </c>
      <c r="R27" s="154">
        <f>$C6*R17</f>
        <v/>
      </c>
      <c r="S27" s="154">
        <f>$C6*S17</f>
        <v/>
      </c>
    </row>
    <row r="28">
      <c r="N28" s="37" t="n">
        <v>5</v>
      </c>
      <c r="O28" s="154">
        <f>$C7*O18</f>
        <v/>
      </c>
      <c r="P28" s="154">
        <f>$C7*P18</f>
        <v/>
      </c>
      <c r="Q28" s="154">
        <f>$C7*Q18</f>
        <v/>
      </c>
      <c r="R28" s="154">
        <f>$C7*R18</f>
        <v/>
      </c>
      <c r="S28" s="154">
        <f>$C7*S18</f>
        <v/>
      </c>
    </row>
    <row r="29">
      <c r="N29" s="37" t="n">
        <v>6</v>
      </c>
      <c r="O29" s="154">
        <f>$C8*O19</f>
        <v/>
      </c>
      <c r="P29" s="154">
        <f>$C8*P19</f>
        <v/>
      </c>
      <c r="Q29" s="154">
        <f>$C8*Q19</f>
        <v/>
      </c>
      <c r="R29" s="154">
        <f>$C8*R19</f>
        <v/>
      </c>
      <c r="S29" s="154">
        <f>$C8*S19</f>
        <v/>
      </c>
    </row>
    <row r="30">
      <c r="N30" s="37" t="n">
        <v>7</v>
      </c>
      <c r="O30" s="154">
        <f>$C9*O20</f>
        <v/>
      </c>
      <c r="P30" s="154">
        <f>$C9*P20</f>
        <v/>
      </c>
      <c r="Q30" s="154">
        <f>$C9*Q20</f>
        <v/>
      </c>
      <c r="R30" s="154">
        <f>$C9*R20</f>
        <v/>
      </c>
      <c r="S30" s="154">
        <f>$C9*S20</f>
        <v/>
      </c>
    </row>
    <row r="31">
      <c r="N31" s="37" t="n">
        <v>8</v>
      </c>
      <c r="O31" s="154">
        <f>$C10*O21</f>
        <v/>
      </c>
      <c r="P31" s="154">
        <f>$C10*P21</f>
        <v/>
      </c>
      <c r="Q31" s="154">
        <f>$C10*Q21</f>
        <v/>
      </c>
      <c r="R31" s="154">
        <f>$C10*R21</f>
        <v/>
      </c>
      <c r="S31" s="154">
        <f>$C10*S21</f>
        <v/>
      </c>
    </row>
    <row r="32">
      <c r="N32" s="31" t="inlineStr">
        <is>
          <t>Expected Value</t>
        </is>
      </c>
      <c r="O32" s="154">
        <f>SUM(O23:O30)</f>
        <v/>
      </c>
      <c r="P32" s="154">
        <f>SUM(P23:P30)</f>
        <v/>
      </c>
      <c r="Q32" s="154">
        <f>SUM(Q23:Q30)</f>
        <v/>
      </c>
      <c r="R32" s="154">
        <f>SUM(R23:R30)</f>
        <v/>
      </c>
      <c r="S32" s="154">
        <f>SUM(S23:S30)</f>
        <v/>
      </c>
    </row>
    <row r="33">
      <c r="H33" s="2" t="n"/>
      <c r="I33" s="2" t="n"/>
      <c r="J33" s="2" t="n"/>
      <c r="K33" s="2" t="n"/>
      <c r="L33" s="2" t="n"/>
      <c r="N33" s="31" t="inlineStr">
        <is>
          <t>Multi</t>
        </is>
      </c>
      <c r="O33" s="31" t="n">
        <v>1</v>
      </c>
      <c r="P33" s="31" t="n">
        <v>2</v>
      </c>
      <c r="Q33" s="31" t="n">
        <v>4</v>
      </c>
      <c r="R33" s="31" t="n">
        <v>10</v>
      </c>
      <c r="S33" s="31" t="n">
        <v>20</v>
      </c>
    </row>
    <row r="34">
      <c r="H34" s="8" t="n"/>
      <c r="I34" s="8" t="n"/>
      <c r="J34" s="8" t="n"/>
      <c r="K34" s="8" t="n"/>
      <c r="L34" s="8" t="n"/>
      <c r="P34" s="2">
        <f>$O$31*P32</f>
        <v/>
      </c>
      <c r="Q34" s="2">
        <f>$O$31*Q32</f>
        <v/>
      </c>
      <c r="R34" s="2">
        <f>$O$31*R32</f>
        <v/>
      </c>
      <c r="S34" s="2">
        <f>$O$31*S32</f>
        <v/>
      </c>
    </row>
  </sheetData>
  <mergeCells count="1">
    <mergeCell ref="A1:T1"/>
  </mergeCells>
  <conditionalFormatting sqref="O3:S10">
    <cfRule type="dataBar" priority="1">
      <dataBar>
        <cfvo type="min"/>
        <cfvo type="max"/>
        <color rgb="FF63C384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BF564"/>
  <sheetViews>
    <sheetView zoomScale="85" zoomScaleNormal="85" workbookViewId="0">
      <selection activeCell="A26" sqref="A26"/>
    </sheetView>
  </sheetViews>
  <sheetFormatPr baseColWidth="8" defaultRowHeight="16.5"/>
  <cols>
    <col width="122.875" bestFit="1" customWidth="1" style="161" min="1" max="1"/>
    <col width="101.5" bestFit="1" customWidth="1" style="161" min="2" max="2"/>
    <col width="10" bestFit="1" customWidth="1" style="161" min="16" max="16"/>
    <col width="9.25" bestFit="1" customWidth="1" style="161" min="21" max="21"/>
    <col width="12" bestFit="1" customWidth="1" style="161" min="24" max="24"/>
    <col width="9.25" bestFit="1" customWidth="1" style="161" min="26" max="26"/>
    <col width="9.875" bestFit="1" customWidth="1" style="161" min="32" max="32"/>
    <col width="9.875" bestFit="1" customWidth="1" style="161" min="40" max="40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A2" s="151" t="inlineStr">
        <is>
          <t xml:space="preserve">#Bet Range by Position Assignment. </t>
        </is>
      </c>
      <c r="B2" s="0">
        <f>CONCATENATE(C1,D1,E1,F1,G1,H1,I1,J1,K1,L1,M1,N1,O1,P1,Q1,R1,S1,T1,U1,V1,W1,X1,Y1,Z1,AA1,AB1,AC1,AD1,AE1,AF1,AG1,AH1,AI1,AJ1,AK1,AL1,AM1,AN1,AO1,AP1,AQ1,AR1,AS1,AT1,AU1,AV1,AW1,AX1,AY1,AZ1,BA1,BB1,BC1,BD1,BE1,BF1,BG1,BH1)</f>
        <v/>
      </c>
      <c r="C2" s="0" t="inlineStr">
        <is>
          <t xml:space="preserve">#Bet Range by Position Assignment. </t>
        </is>
      </c>
    </row>
    <row r="3">
      <c r="B3" s="0">
        <f>CONCATENATE(C2,D2,E2,F2,G2,H2,I2,J2,K2,L2,M2,N2,O2,P2,Q2,R2,S2,T2,U2,V2,W2,X2,Y2,Z2,AA2,AB2,AC2,AD2,AE2,AF2,AG2,AH2,AI2,AJ2,AK2,AL2,AM2,AN2,AO2,AP2,AQ2,AR2,AS2,AT2,AU2,AV2,AW2,AX2,AY2,AZ2,BA2,BB2,BC2,BD2,BE2,BF2,BG2,BH2)</f>
        <v/>
      </c>
      <c r="C3" s="0" t="n">
        <v>0</v>
      </c>
    </row>
    <row r="4">
      <c r="A4" s="151" t="inlineStr">
        <is>
          <t xml:space="preserve">var eventBingoSelectTable = [ </t>
        </is>
      </c>
      <c r="B4" s="0">
        <f>CONCATENATE(C3,D3,E3,F3,G3,H3,I3,J3,K3,L3,M3,N3,O3,P3,Q3,R3,S3,T3,U3,V3,W3,X3,Y3,Z3,AA3,AB3,AC3,AD3,AE3,AF3,AG3,AH3,AI3,AJ3,AK3,AL3,AM3,AN3,AO3,AP3,AQ3,AR3,AS3,AT3,AU3,AV3,AW3,AX3,AY3,AZ3,BA3,BB3,BC3,BD3,BE3,BF3,BG3,BH3)</f>
        <v/>
      </c>
      <c r="C4" s="0" t="inlineStr">
        <is>
          <t xml:space="preserve">var eventBingoSelectTable = [ </t>
        </is>
      </c>
    </row>
    <row r="5">
      <c r="A5" s="151" t="inlineStr">
        <is>
          <t xml:space="preserve">[ </t>
        </is>
      </c>
      <c r="B5" s="0">
        <f>CONCATENATE(C4,D4,E4,F4,G4,H4,I4,J4,K4,L4,M4,N4,O4,P4,Q4,R4,S4,T4,U4,V4,W4,X4,Y4,Z4,AA4,AB4,AC4,AD4,AE4,AF4,AG4,AH4,AI4,AJ4,AK4,AL4,AM4,AN4,AO4,AP4,AQ4,AR4,AS4,AT4,AU4,AV4,AW4,AX4,AY4,AZ4,BA4,BB4,BC4,BD4,BE4,BF4,BG4,BH4)</f>
        <v/>
      </c>
      <c r="C5" s="0" t="inlineStr">
        <is>
          <t xml:space="preserve">[ </t>
        </is>
      </c>
    </row>
    <row r="6">
      <c r="A6" s="151" t="inlineStr">
        <is>
          <t xml:space="preserve">[1,5,1],[1,5,2],[1,5,3],[1,6,4],[1,5,5], </t>
        </is>
      </c>
      <c r="B6" s="0">
        <f>CONCATENATE(C5,D5,E5,F5,G5,H5,I5,J5,K5,L5,M5,N5,O5,P5,Q5,R5,S5,T5,U5,V5,W5,X5,Y5,Z5,AA5,AB5,AC5,AD5,AE5,AF5,AG5,AH5,AI5,AJ5,AK5,AL5,AM5,AN5,AO5,AP5,AQ5,AR5,AS5,AT5,AU5,AV5,AW5,AX5,AY5,AZ5,BA5,BB5,BC5,BD5,BE5,BF5,BG5,BH5)</f>
        <v/>
      </c>
      <c r="C6" s="0" t="inlineStr">
        <is>
          <t>[1,</t>
        </is>
      </c>
      <c r="D6" s="203">
        <f>'Control Panel'!AA19</f>
        <v/>
      </c>
      <c r="E6" s="0" t="inlineStr">
        <is>
          <t>,1],[1,</t>
        </is>
      </c>
      <c r="F6" s="203">
        <f>'Control Panel'!AB19</f>
        <v/>
      </c>
      <c r="G6" s="0" t="inlineStr">
        <is>
          <t>,2],[1,</t>
        </is>
      </c>
      <c r="H6" s="203">
        <f>'Control Panel'!AD19</f>
        <v/>
      </c>
      <c r="I6" s="0" t="inlineStr">
        <is>
          <t>,3],[1,</t>
        </is>
      </c>
      <c r="J6" s="203">
        <f>'Control Panel'!AD19</f>
        <v/>
      </c>
      <c r="K6" s="0" t="inlineStr">
        <is>
          <t>,4],[1,</t>
        </is>
      </c>
      <c r="L6" s="203">
        <f>'Control Panel'!AE19</f>
        <v/>
      </c>
      <c r="M6" s="0" t="inlineStr">
        <is>
          <t>,5],</t>
        </is>
      </c>
    </row>
    <row r="7">
      <c r="A7" s="151" t="inlineStr">
        <is>
          <t xml:space="preserve">[1,5,6],[1,5,7],[1,5,8],[1,6,9],[1,5,10], </t>
        </is>
      </c>
      <c r="B7" s="0">
        <f>CONCATENATE(C6,D6,E6,F6,G6,H6,I6,J6,K6,L6,M6,N6,O6,P6,Q6,R6,S6,T6,U6,V6,W6,X6,Y6,Z6,AA6,AB6,AC6,AD6,AE6,AF6,AG6,AH6,AI6,AJ6,AK6,AL6,AM6,AN6,AO6,AP6,AQ6,AR6,AS6,AT6,AU6,AV6,AW6,AX6,AY6,AZ6,BA6,BB6,BC6,BD6,BE6,BF6,BG6,BH6)</f>
        <v/>
      </c>
      <c r="C7" s="0" t="inlineStr">
        <is>
          <t>[1,</t>
        </is>
      </c>
      <c r="D7" s="203">
        <f>'Control Panel'!AA20</f>
        <v/>
      </c>
      <c r="E7" s="0" t="inlineStr">
        <is>
          <t>,6],[1,</t>
        </is>
      </c>
      <c r="F7" s="203">
        <f>'Control Panel'!AB20</f>
        <v/>
      </c>
      <c r="G7" s="0" t="inlineStr">
        <is>
          <t>,7],[1,</t>
        </is>
      </c>
      <c r="H7" s="203">
        <f>'Control Panel'!AD20</f>
        <v/>
      </c>
      <c r="I7" s="0" t="inlineStr">
        <is>
          <t>,8],[1,</t>
        </is>
      </c>
      <c r="J7" s="203">
        <f>'Control Panel'!AD20</f>
        <v/>
      </c>
      <c r="K7" s="0" t="inlineStr">
        <is>
          <t>,9],[1,</t>
        </is>
      </c>
      <c r="L7" s="203">
        <f>'Control Panel'!AE20</f>
        <v/>
      </c>
      <c r="M7" s="0" t="inlineStr">
        <is>
          <t>,10],</t>
        </is>
      </c>
    </row>
    <row r="8">
      <c r="A8" s="151" t="inlineStr">
        <is>
          <t xml:space="preserve">[1,5,11],[1,5,12],[1,0,13],[1,6,14],[1,5,15], </t>
        </is>
      </c>
      <c r="B8" s="0">
        <f>CONCATENATE(C7,D7,E7,F7,G7,H7,I7,J7,K7,L7,M7,N7,O7,P7,Q7,R7,S7,T7,U7,V7,W7,X7,Y7,Z7,AA7,AB7,AC7,AD7,AE7,AF7,AG7,AH7,AI7,AJ7,AK7,AL7,AM7,AN7,AO7,AP7,AQ7,AR7,AS7,AT7,AU7,AV7,AW7,AX7,AY7,AZ7,BA7,BB7,BC7,BD7,BE7,BF7,BG7,BH7)</f>
        <v/>
      </c>
      <c r="C8" s="0" t="inlineStr">
        <is>
          <t>[1,</t>
        </is>
      </c>
      <c r="D8" s="203">
        <f>'Control Panel'!AA21</f>
        <v/>
      </c>
      <c r="E8" s="0" t="inlineStr">
        <is>
          <t>,11],[1,</t>
        </is>
      </c>
      <c r="F8" s="203">
        <f>'Control Panel'!AB21</f>
        <v/>
      </c>
      <c r="G8" s="0" t="inlineStr">
        <is>
          <t>,12],[1,</t>
        </is>
      </c>
      <c r="H8" s="203" t="n">
        <v>0</v>
      </c>
      <c r="I8" s="0" t="inlineStr">
        <is>
          <t>,13],[1,</t>
        </is>
      </c>
      <c r="J8" s="203">
        <f>'Control Panel'!AD21</f>
        <v/>
      </c>
      <c r="K8" s="0" t="inlineStr">
        <is>
          <t>,14],[1,</t>
        </is>
      </c>
      <c r="L8" s="203">
        <f>'Control Panel'!AE21</f>
        <v/>
      </c>
      <c r="M8" s="0" t="inlineStr">
        <is>
          <t>,15],</t>
        </is>
      </c>
    </row>
    <row r="9">
      <c r="A9" s="151" t="inlineStr">
        <is>
          <t xml:space="preserve">[1,5,16],[1,5,17],[1,5,18],[1,6,19],[1,5,20], </t>
        </is>
      </c>
      <c r="B9" s="0">
        <f>CONCATENATE(C8,D8,E8,F8,G8,H8,I8,J8,K8,L8,M8,N8,O8,P8,Q8,R8,S8,T8,U8,V8,W8,X8,Y8,Z8,AA8,AB8,AC8,AD8,AE8,AF8,AG8,AH8,AI8,AJ8,AK8,AL8,AM8,AN8,AO8,AP8,AQ8,AR8,AS8,AT8,AU8,AV8,AW8,AX8,AY8,AZ8,BA8,BB8,BC8,BD8,BE8,BF8,BG8,BH8)</f>
        <v/>
      </c>
      <c r="C9" s="0" t="inlineStr">
        <is>
          <t>[1,</t>
        </is>
      </c>
      <c r="D9" s="203">
        <f>'Control Panel'!AA22</f>
        <v/>
      </c>
      <c r="E9" s="0" t="inlineStr">
        <is>
          <t>,16],[1,</t>
        </is>
      </c>
      <c r="F9" s="203">
        <f>'Control Panel'!AB22</f>
        <v/>
      </c>
      <c r="G9" s="0" t="inlineStr">
        <is>
          <t>,17],[1,</t>
        </is>
      </c>
      <c r="H9" s="203">
        <f>'Control Panel'!AD22</f>
        <v/>
      </c>
      <c r="I9" s="0" t="inlineStr">
        <is>
          <t>,18],[1,</t>
        </is>
      </c>
      <c r="J9" s="203">
        <f>'Control Panel'!AD22</f>
        <v/>
      </c>
      <c r="K9" s="0" t="inlineStr">
        <is>
          <t>,19],[1,</t>
        </is>
      </c>
      <c r="L9" s="203">
        <f>'Control Panel'!AE22</f>
        <v/>
      </c>
      <c r="M9" s="0" t="inlineStr">
        <is>
          <t>,20],</t>
        </is>
      </c>
    </row>
    <row r="10">
      <c r="A10" s="151" t="inlineStr">
        <is>
          <t xml:space="preserve">[1,5,21],[1,5,22],[1,5,23],[1,6,24],[1,5,25], </t>
        </is>
      </c>
      <c r="B10" s="0">
        <f>CONCATENATE(C9,D9,E9,F9,G9,H9,I9,J9,K9,L9,M9,N9,O9,P9,Q9,R9,S9,T9,U9,V9,W9,X9,Y9,Z9,AA9,AB9,AC9,AD9,AE9,AF9,AG9,AH9,AI9,AJ9,AK9,AL9,AM9,AN9,AO9,AP9,AQ9,AR9,AS9,AT9,AU9,AV9,AW9,AX9,AY9,AZ9,BA9,BB9,BC9,BD9,BE9,BF9,BG9,BH9)</f>
        <v/>
      </c>
      <c r="C10" s="0" t="inlineStr">
        <is>
          <t>[1,</t>
        </is>
      </c>
      <c r="D10" s="203">
        <f>'Control Panel'!AA23</f>
        <v/>
      </c>
      <c r="E10" s="0" t="inlineStr">
        <is>
          <t>,21],[1,</t>
        </is>
      </c>
      <c r="F10" s="203">
        <f>'Control Panel'!AB23</f>
        <v/>
      </c>
      <c r="G10" s="0" t="inlineStr">
        <is>
          <t>,22],[1,</t>
        </is>
      </c>
      <c r="H10" s="203">
        <f>'Control Panel'!AD23</f>
        <v/>
      </c>
      <c r="I10" s="0" t="inlineStr">
        <is>
          <t>,23],[1,</t>
        </is>
      </c>
      <c r="J10" s="203">
        <f>'Control Panel'!AD23</f>
        <v/>
      </c>
      <c r="K10" s="0" t="inlineStr">
        <is>
          <t>,24],[1,</t>
        </is>
      </c>
      <c r="L10" s="203">
        <f>'Control Panel'!AE23</f>
        <v/>
      </c>
      <c r="M10" s="0" t="inlineStr">
        <is>
          <t>,25],</t>
        </is>
      </c>
    </row>
    <row r="11">
      <c r="B11" s="0">
        <f>CONCATENATE(C10,D10,E10,F10,G10,H10,I10,J10,K10,L10,M10,N10,O10,P10,Q10,R10,S10,T10,U10,V10,W10,X10,Y10,Z10,AA10,AB10,AC10,AD10,AE10,AF10,AG10,AH10,AI10,AJ10,AK10,AL10,AM10,AN10,AO10,AP10,AQ10,AR10,AS10,AT10,AU10,AV10,AW10,AX10,AY10,AZ10,BA10,BB10,BC10,BD10,BE10,BF10,BG10,BH10)</f>
        <v/>
      </c>
    </row>
    <row r="12">
      <c r="A12" s="151" t="inlineStr">
        <is>
          <t xml:space="preserve">[2,5,1],[2,5,2],[2,5,3],[2,6,4],[2,5,5], </t>
        </is>
      </c>
      <c r="B12" s="0">
        <f>CONCATENATE(C11,D11,E11,F11,G11,H11,I11,J11,K11,L11,M11,N11,O11,P11,Q11,R11,S11,T11,U11,V11,W11,X11,Y11,Z11,AA11,AB11,AC11,AD11,AE11,AF11,AG11,AH11,AI11,AJ11,AK11,AL11,AM11,AN11,AO11,AP11,AQ11,AR11,AS11,AT11,AU11,AV11,AW11,AX11,AY11,AZ11,BA11,BB11,BC11,BD11,BE11,BF11,BG11,BH11)</f>
        <v/>
      </c>
      <c r="C12" s="0" t="inlineStr">
        <is>
          <t>[2,</t>
        </is>
      </c>
      <c r="D12" s="203">
        <f>'Control Panel'!AG19</f>
        <v/>
      </c>
      <c r="E12" s="0" t="inlineStr">
        <is>
          <t>,1],[2,</t>
        </is>
      </c>
      <c r="F12" s="203">
        <f>$D$11</f>
        <v/>
      </c>
      <c r="G12" s="0" t="inlineStr">
        <is>
          <t>,2],[2,</t>
        </is>
      </c>
      <c r="H12" s="203">
        <f>$D$11</f>
        <v/>
      </c>
      <c r="I12" s="0" t="inlineStr">
        <is>
          <t>,3],[2,</t>
        </is>
      </c>
      <c r="J12" s="203">
        <f>$D$11</f>
        <v/>
      </c>
      <c r="K12" s="0" t="inlineStr">
        <is>
          <t>,4],[2,</t>
        </is>
      </c>
      <c r="L12" s="203">
        <f>$D$11</f>
        <v/>
      </c>
      <c r="M12" s="0" t="inlineStr">
        <is>
          <t>,5],</t>
        </is>
      </c>
    </row>
    <row r="13">
      <c r="A13" s="151" t="inlineStr">
        <is>
          <t xml:space="preserve">[2,5,6],[2,5,7],[2,5,8],[2,6,9],[2,5,10], </t>
        </is>
      </c>
      <c r="B13" s="0">
        <f>CONCATENATE(C12,D12,E12,F12,G12,H12,I12,J12,K12,L12,M12,N12,O12,P12,Q12,R12,S12,T12,U12,V12,W12,X12,Y12,Z12,AA12,AB12,AC12,AD12,AE12,AF12,AG12,AH12,AI12,AJ12,AK12,AL12,AM12,AN12,AO12,AP12,AQ12,AR12,AS12,AT12,AU12,AV12,AW12,AX12,AY12,AZ12,BA12,BB12,BC12,BD12,BE12,BF12,BG12,BH12)</f>
        <v/>
      </c>
      <c r="C13" s="0" t="inlineStr">
        <is>
          <t>[2,</t>
        </is>
      </c>
      <c r="D13" s="203">
        <f>$D$11</f>
        <v/>
      </c>
      <c r="E13" s="0" t="inlineStr">
        <is>
          <t>,6],[2,</t>
        </is>
      </c>
      <c r="F13" s="203">
        <f>$D$11</f>
        <v/>
      </c>
      <c r="G13" s="0" t="inlineStr">
        <is>
          <t>,7],[2,</t>
        </is>
      </c>
      <c r="H13" s="203">
        <f>$D$11</f>
        <v/>
      </c>
      <c r="I13" s="0" t="inlineStr">
        <is>
          <t>,8],[2,</t>
        </is>
      </c>
      <c r="J13" s="203">
        <f>$D$11</f>
        <v/>
      </c>
      <c r="K13" s="0" t="inlineStr">
        <is>
          <t>,9],[2,</t>
        </is>
      </c>
      <c r="L13" s="203">
        <f>$D$11</f>
        <v/>
      </c>
      <c r="M13" s="0" t="inlineStr">
        <is>
          <t>,10],</t>
        </is>
      </c>
    </row>
    <row r="14">
      <c r="A14" s="151" t="inlineStr">
        <is>
          <t xml:space="preserve">[2,5,11],[2,5,12],[2,0,13],[2,6,14],[2,5,15], </t>
        </is>
      </c>
      <c r="B14" s="0">
        <f>CONCATENATE(C13,D13,E13,F13,G13,H13,I13,J13,K13,L13,M13,N13,O13,P13,Q13,R13,S13,T13,U13,V13,W13,X13,Y13,Z13,AA13,AB13,AC13,AD13,AE13,AF13,AG13,AH13,AI13,AJ13,AK13,AL13,AM13,AN13,AO13,AP13,AQ13,AR13,AS13,AT13,AU13,AV13,AW13,AX13,AY13,AZ13,BA13,BB13,BC13,BD13,BE13,BF13,BG13,BH13)</f>
        <v/>
      </c>
      <c r="C14" s="0" t="inlineStr">
        <is>
          <t>[2,</t>
        </is>
      </c>
      <c r="D14" s="203">
        <f>$D$11</f>
        <v/>
      </c>
      <c r="E14" s="0" t="inlineStr">
        <is>
          <t>,11],[2,</t>
        </is>
      </c>
      <c r="F14" s="203">
        <f>$D$11</f>
        <v/>
      </c>
      <c r="G14" s="0" t="inlineStr">
        <is>
          <t>,12],[2,</t>
        </is>
      </c>
      <c r="H14" s="203" t="n">
        <v>0</v>
      </c>
      <c r="I14" s="0" t="inlineStr">
        <is>
          <t>,13],[2,</t>
        </is>
      </c>
      <c r="J14" s="203">
        <f>$D$11</f>
        <v/>
      </c>
      <c r="K14" s="0" t="inlineStr">
        <is>
          <t>,14],[2,</t>
        </is>
      </c>
      <c r="L14" s="203">
        <f>$D$11</f>
        <v/>
      </c>
      <c r="M14" s="0" t="inlineStr">
        <is>
          <t>,15],</t>
        </is>
      </c>
    </row>
    <row r="15">
      <c r="A15" s="151" t="inlineStr">
        <is>
          <t xml:space="preserve">[2,5,16],[2,5,17],[2,5,18],[2,6,19],[2,5,20], </t>
        </is>
      </c>
      <c r="B15" s="0">
        <f>CONCATENATE(C14,D14,E14,F14,G14,H14,I14,J14,K14,L14,M14,N14,O14,P14,Q14,R14,S14,T14,U14,V14,W14,X14,Y14,Z14,AA14,AB14,AC14,AD14,AE14,AF14,AG14,AH14,AI14,AJ14,AK14,AL14,AM14,AN14,AO14,AP14,AQ14,AR14,AS14,AT14,AU14,AV14,AW14,AX14,AY14,AZ14,BA14,BB14,BC14,BD14,BE14,BF14,BG14,BH14)</f>
        <v/>
      </c>
      <c r="C15" s="0" t="inlineStr">
        <is>
          <t>[2,</t>
        </is>
      </c>
      <c r="D15" s="203">
        <f>$D$11</f>
        <v/>
      </c>
      <c r="E15" s="0" t="inlineStr">
        <is>
          <t>,16],[2,</t>
        </is>
      </c>
      <c r="F15" s="203">
        <f>$D$11</f>
        <v/>
      </c>
      <c r="G15" s="0" t="inlineStr">
        <is>
          <t>,17],[2,</t>
        </is>
      </c>
      <c r="H15" s="203">
        <f>$D$11</f>
        <v/>
      </c>
      <c r="I15" s="0" t="inlineStr">
        <is>
          <t>,18],[2,</t>
        </is>
      </c>
      <c r="J15" s="203">
        <f>$D$11</f>
        <v/>
      </c>
      <c r="K15" s="0" t="inlineStr">
        <is>
          <t>,19],[2,</t>
        </is>
      </c>
      <c r="L15" s="203">
        <f>$D$11</f>
        <v/>
      </c>
      <c r="M15" s="0" t="inlineStr">
        <is>
          <t>,20],</t>
        </is>
      </c>
    </row>
    <row r="16">
      <c r="A16" s="151" t="inlineStr">
        <is>
          <t xml:space="preserve">[2,5,21],[2,5,22],[2,5,23],[2,6,24],[2,5,25], </t>
        </is>
      </c>
      <c r="B16" s="0">
        <f>CONCATENATE(C15,D15,E15,F15,G15,H15,I15,J15,K15,L15,M15,N15,O15,P15,Q15,R15,S15,T15,U15,V15,W15,X15,Y15,Z15,AA15,AB15,AC15,AD15,AE15,AF15,AG15,AH15,AI15,AJ15,AK15,AL15,AM15,AN15,AO15,AP15,AQ15,AR15,AS15,AT15,AU15,AV15,AW15,AX15,AY15,AZ15,BA15,BB15,BC15,BD15,BE15,BF15,BG15,BH15)</f>
        <v/>
      </c>
      <c r="C16" s="0" t="inlineStr">
        <is>
          <t>[2,</t>
        </is>
      </c>
      <c r="D16" s="203">
        <f>$D$11</f>
        <v/>
      </c>
      <c r="E16" s="0" t="inlineStr">
        <is>
          <t>,21],[2,</t>
        </is>
      </c>
      <c r="F16" s="203">
        <f>$D$11</f>
        <v/>
      </c>
      <c r="G16" s="0" t="inlineStr">
        <is>
          <t>,22],[2,</t>
        </is>
      </c>
      <c r="H16" s="203">
        <f>$D$11</f>
        <v/>
      </c>
      <c r="I16" s="0" t="inlineStr">
        <is>
          <t>,23],[2,</t>
        </is>
      </c>
      <c r="J16" s="203">
        <f>$D$11</f>
        <v/>
      </c>
      <c r="K16" s="0" t="inlineStr">
        <is>
          <t>,24],[2,</t>
        </is>
      </c>
      <c r="L16" s="203">
        <f>$D$11</f>
        <v/>
      </c>
      <c r="M16" s="0" t="inlineStr">
        <is>
          <t>,25],</t>
        </is>
      </c>
    </row>
    <row r="17">
      <c r="B17" s="0">
        <f>CONCATENATE(C16,D16,E16,F16,G16,H16,I16,J16,K16,L16,M16,N16,O16,P16,Q16,R16,S16,T16,U16,V16,W16,X16,Y16,Z16,AA16,AB16,AC16,AD16,AE16,AF16,AG16,AH16,AI16,AJ16,AK16,AL16,AM16,AN16,AO16,AP16,AQ16,AR16,AS16,AT16,AU16,AV16,AW16,AX16,AY16,AZ16,BA16,BB16,BC16,BD16,BE16,BF16,BG16,BH16)</f>
        <v/>
      </c>
    </row>
    <row r="18">
      <c r="A18" s="151" t="inlineStr">
        <is>
          <t xml:space="preserve">[3,5,1],[3,5,2],[3,5,3],[3,6,4],[3,5,5], </t>
        </is>
      </c>
      <c r="B18" s="0">
        <f>CONCATENATE(C17,D17,E17,F17,G17,H17,I17,J17,K17,L17,M17,N17,O17,P17,Q17,R17,S17,T17,U17,V17,W17,X17,Y17,Z17,AA17,AB17,AC17,AD17,AE17,AF17,AG17,AH17,AI17,AJ17,AK17,AL17,AM17,AN17,AO17,AP17,AQ17,AR17,AS17,AT17,AU17,AV17,AW17,AX17,AY17,AZ17,BA17,BB17,BC17,BD17,BE17,BF17,BG17,BH17)</f>
        <v/>
      </c>
      <c r="C18" s="0" t="inlineStr">
        <is>
          <t>[3,</t>
        </is>
      </c>
      <c r="D18" s="203">
        <f>'Control Panel'!AM19</f>
        <v/>
      </c>
      <c r="E18" s="0" t="inlineStr">
        <is>
          <t>,1],[3,</t>
        </is>
      </c>
      <c r="F18" s="203">
        <f>$D$17</f>
        <v/>
      </c>
      <c r="G18" s="0" t="inlineStr">
        <is>
          <t>,2],[3,</t>
        </is>
      </c>
      <c r="H18" s="203">
        <f>$D$17</f>
        <v/>
      </c>
      <c r="I18" s="0" t="inlineStr">
        <is>
          <t>,3],[3,</t>
        </is>
      </c>
      <c r="J18" s="203">
        <f>$D$17</f>
        <v/>
      </c>
      <c r="K18" s="0" t="inlineStr">
        <is>
          <t>,4],[3,</t>
        </is>
      </c>
      <c r="L18" s="203">
        <f>$D$17</f>
        <v/>
      </c>
      <c r="M18" s="0" t="inlineStr">
        <is>
          <t>,5],</t>
        </is>
      </c>
    </row>
    <row r="19">
      <c r="A19" s="151" t="inlineStr">
        <is>
          <t xml:space="preserve">[3,5,6],[3,5,7],[3,5,8],[3,6,9],[3,5,10], </t>
        </is>
      </c>
      <c r="B19" s="0">
        <f>CONCATENATE(C18,D18,E18,F18,G18,H18,I18,J18,K18,L18,M18,N18,O18,P18,Q18,R18,S18,T18,U18,V18,W18,X18,Y18,Z18,AA18,AB18,AC18,AD18,AE18,AF18,AG18,AH18,AI18,AJ18,AK18,AL18,AM18,AN18,AO18,AP18,AQ18,AR18,AS18,AT18,AU18,AV18,AW18,AX18,AY18,AZ18,BA18,BB18,BC18,BD18,BE18,BF18,BG18,BH18)</f>
        <v/>
      </c>
      <c r="C19" s="0" t="inlineStr">
        <is>
          <t>[3,</t>
        </is>
      </c>
      <c r="D19" s="203">
        <f>$D$17</f>
        <v/>
      </c>
      <c r="E19" s="0" t="inlineStr">
        <is>
          <t>,6],[3,</t>
        </is>
      </c>
      <c r="F19" s="203">
        <f>$D$17</f>
        <v/>
      </c>
      <c r="G19" s="0" t="inlineStr">
        <is>
          <t>,7],[3,</t>
        </is>
      </c>
      <c r="H19" s="203">
        <f>$D$17</f>
        <v/>
      </c>
      <c r="I19" s="0" t="inlineStr">
        <is>
          <t>,8],[3,</t>
        </is>
      </c>
      <c r="J19" s="203">
        <f>$D$17</f>
        <v/>
      </c>
      <c r="K19" s="0" t="inlineStr">
        <is>
          <t>,9],[3,</t>
        </is>
      </c>
      <c r="L19" s="203">
        <f>$D$17</f>
        <v/>
      </c>
      <c r="M19" s="0" t="inlineStr">
        <is>
          <t>,10],</t>
        </is>
      </c>
    </row>
    <row r="20">
      <c r="A20" s="151" t="inlineStr">
        <is>
          <t xml:space="preserve">[3,5,11],[3,5,12],[3,0,13],[3,6,14],[3,5,15], </t>
        </is>
      </c>
      <c r="B20" s="0">
        <f>CONCATENATE(C19,D19,E19,F19,G19,H19,I19,J19,K19,L19,M19,N19,O19,P19,Q19,R19,S19,T19,U19,V19,W19,X19,Y19,Z19,AA19,AB19,AC19,AD19,AE19,AF19,AG19,AH19,AI19,AJ19,AK19,AL19,AM19,AN19,AO19,AP19,AQ19,AR19,AS19,AT19,AU19,AV19,AW19,AX19,AY19,AZ19,BA19,BB19,BC19,BD19,BE19,BF19,BG19,BH19)</f>
        <v/>
      </c>
      <c r="C20" s="0" t="inlineStr">
        <is>
          <t>[3,</t>
        </is>
      </c>
      <c r="D20" s="203">
        <f>$D$17</f>
        <v/>
      </c>
      <c r="E20" s="0" t="inlineStr">
        <is>
          <t>,11],[3,</t>
        </is>
      </c>
      <c r="F20" s="203">
        <f>$D$17</f>
        <v/>
      </c>
      <c r="G20" s="0" t="inlineStr">
        <is>
          <t>,12],[3,</t>
        </is>
      </c>
      <c r="H20" s="203" t="n">
        <v>0</v>
      </c>
      <c r="I20" s="0" t="inlineStr">
        <is>
          <t>,13],[3,</t>
        </is>
      </c>
      <c r="J20" s="203">
        <f>$D$17</f>
        <v/>
      </c>
      <c r="K20" s="0" t="inlineStr">
        <is>
          <t>,14],[3,</t>
        </is>
      </c>
      <c r="L20" s="203">
        <f>$D$17</f>
        <v/>
      </c>
      <c r="M20" s="0" t="inlineStr">
        <is>
          <t>,15],</t>
        </is>
      </c>
    </row>
    <row r="21">
      <c r="A21" s="151" t="inlineStr">
        <is>
          <t xml:space="preserve">[3,5,16],[3,5,17],[3,5,18],[3,6,19],[3,5,20], </t>
        </is>
      </c>
      <c r="B21" s="0">
        <f>CONCATENATE(C20,D20,E20,F20,G20,H20,I20,J20,K20,L20,M20,N20,O20,P20,Q20,R20,S20,T20,U20,V20,W20,X20,Y20,Z20,AA20,AB20,AC20,AD20,AE20,AF20,AG20,AH20,AI20,AJ20,AK20,AL20,AM20,AN20,AO20,AP20,AQ20,AR20,AS20,AT20,AU20,AV20,AW20,AX20,AY20,AZ20,BA20,BB20,BC20,BD20,BE20,BF20,BG20,BH20)</f>
        <v/>
      </c>
      <c r="C21" s="0" t="inlineStr">
        <is>
          <t>[3,</t>
        </is>
      </c>
      <c r="D21" s="203">
        <f>$D$17</f>
        <v/>
      </c>
      <c r="E21" s="0" t="inlineStr">
        <is>
          <t>,16],[3,</t>
        </is>
      </c>
      <c r="F21" s="203">
        <f>$D$17</f>
        <v/>
      </c>
      <c r="G21" s="0" t="inlineStr">
        <is>
          <t>,17],[3,</t>
        </is>
      </c>
      <c r="H21" s="203">
        <f>$D$17</f>
        <v/>
      </c>
      <c r="I21" s="0" t="inlineStr">
        <is>
          <t>,18],[3,</t>
        </is>
      </c>
      <c r="J21" s="203">
        <f>$D$17</f>
        <v/>
      </c>
      <c r="K21" s="0" t="inlineStr">
        <is>
          <t>,19],[3,</t>
        </is>
      </c>
      <c r="L21" s="203">
        <f>$D$17</f>
        <v/>
      </c>
      <c r="M21" s="0" t="inlineStr">
        <is>
          <t>,20],</t>
        </is>
      </c>
    </row>
    <row r="22">
      <c r="A22" s="151" t="inlineStr">
        <is>
          <t xml:space="preserve">[3,5,21],[3,5,22],[3,5,23],[3,6,24],[3,5,25], </t>
        </is>
      </c>
      <c r="B22" s="0">
        <f>CONCATENATE(C21,D21,E21,F21,G21,H21,I21,J21,K21,L21,M21,N21,O21,P21,Q21,R21,S21,T21,U21,V21,W21,X21,Y21,Z21,AA21,AB21,AC21,AD21,AE21,AF21,AG21,AH21,AI21,AJ21,AK21,AL21,AM21,AN21,AO21,AP21,AQ21,AR21,AS21,AT21,AU21,AV21,AW21,AX21,AY21,AZ21,BA21,BB21,BC21,BD21,BE21,BF21,BG21,BH21)</f>
        <v/>
      </c>
      <c r="C22" s="0" t="inlineStr">
        <is>
          <t>[3,</t>
        </is>
      </c>
      <c r="D22" s="203">
        <f>$D$17</f>
        <v/>
      </c>
      <c r="E22" s="0" t="inlineStr">
        <is>
          <t>,21],[3,</t>
        </is>
      </c>
      <c r="F22" s="203">
        <f>$D$17</f>
        <v/>
      </c>
      <c r="G22" s="0" t="inlineStr">
        <is>
          <t>,22],[3,</t>
        </is>
      </c>
      <c r="H22" s="203">
        <f>$D$17</f>
        <v/>
      </c>
      <c r="I22" s="0" t="inlineStr">
        <is>
          <t>,23],[3,</t>
        </is>
      </c>
      <c r="J22" s="203">
        <f>$D$17</f>
        <v/>
      </c>
      <c r="K22" s="0" t="inlineStr">
        <is>
          <t>,24],[3,</t>
        </is>
      </c>
      <c r="L22" s="203">
        <f>$D$17</f>
        <v/>
      </c>
      <c r="M22" s="0" t="inlineStr">
        <is>
          <t>,25],</t>
        </is>
      </c>
    </row>
    <row r="23">
      <c r="B23" s="0">
        <f>CONCATENATE(C22,D22,E22,F22,G22,H22,I22,J22,K22,L22,M22,N22,O22,P22,Q22,R22,S22,T22,U22,V22,W22,X22,Y22,Z22,AA22,AB22,AC22,AD22,AE22,AF22,AG22,AH22,AI22,AJ22,AK22,AL22,AM22,AN22,AO22,AP22,AQ22,AR22,AS22,AT22,AU22,AV22,AW22,AX22,AY22,AZ22,BA22,BB22,BC22,BD22,BE22,BF22,BG22,BH22)</f>
        <v/>
      </c>
    </row>
    <row r="24">
      <c r="A24" s="151" t="inlineStr">
        <is>
          <t xml:space="preserve">[4,5,1],[4,5,2],[4,5,3],[4,6,4],[4,5,5], </t>
        </is>
      </c>
      <c r="B24" s="0">
        <f>CONCATENATE(C23,D23,E23,F23,G23,H23,I23,J23,K23,L23,M23,N23,O23,P23,Q23,R23,S23,T23,U23,V23,W23,X23,Y23,Z23,AA23,AB23,AC23,AD23,AE23,AF23,AG23,AH23,AI23,AJ23,AK23,AL23,AM23,AN23,AO23,AP23,AQ23,AR23,AS23,AT23,AU23,AV23,AW23,AX23,AY23,AZ23,BA23,BB23,BC23,BD23,BE23,BF23,BG23,BH23)</f>
        <v/>
      </c>
      <c r="C24" s="0" t="inlineStr">
        <is>
          <t>[4,</t>
        </is>
      </c>
      <c r="D24" s="203">
        <f>'Control Panel'!AS19</f>
        <v/>
      </c>
      <c r="E24" s="0" t="inlineStr">
        <is>
          <t>,1],[4,</t>
        </is>
      </c>
      <c r="F24" s="203">
        <f>$D$23</f>
        <v/>
      </c>
      <c r="G24" s="0" t="inlineStr">
        <is>
          <t>,2],[4,</t>
        </is>
      </c>
      <c r="H24" s="203">
        <f>$D$23</f>
        <v/>
      </c>
      <c r="I24" s="0" t="inlineStr">
        <is>
          <t>,3],[4,</t>
        </is>
      </c>
      <c r="J24" s="203">
        <f>$D$23</f>
        <v/>
      </c>
      <c r="K24" s="0" t="inlineStr">
        <is>
          <t>,4],[4,</t>
        </is>
      </c>
      <c r="L24" s="203">
        <f>$D$23</f>
        <v/>
      </c>
      <c r="M24" s="0" t="inlineStr">
        <is>
          <t>,5],</t>
        </is>
      </c>
    </row>
    <row r="25">
      <c r="A25" s="151" t="inlineStr">
        <is>
          <t xml:space="preserve">[4,5,6],[4,5,7],[4,5,8],[4,6,9],[4,5,10], </t>
        </is>
      </c>
      <c r="B25" s="0">
        <f>CONCATENATE(C24,D24,E24,F24,G24,H24,I24,J24,K24,L24,M24,N24,O24,P24,Q24,R24,S24,T24,U24,V24,W24,X24,Y24,Z24,AA24,AB24,AC24,AD24,AE24,AF24,AG24,AH24,AI24,AJ24,AK24,AL24,AM24,AN24,AO24,AP24,AQ24,AR24,AS24,AT24,AU24,AV24,AW24,AX24,AY24,AZ24,BA24,BB24,BC24,BD24,BE24,BF24,BG24,BH24)</f>
        <v/>
      </c>
      <c r="C25" s="0" t="inlineStr">
        <is>
          <t>[4,</t>
        </is>
      </c>
      <c r="D25" s="203">
        <f>$D$23</f>
        <v/>
      </c>
      <c r="E25" s="0" t="inlineStr">
        <is>
          <t>,6],[4,</t>
        </is>
      </c>
      <c r="F25" s="203">
        <f>$D$23</f>
        <v/>
      </c>
      <c r="G25" s="0" t="inlineStr">
        <is>
          <t>,7],[4,</t>
        </is>
      </c>
      <c r="H25" s="203">
        <f>$D$23</f>
        <v/>
      </c>
      <c r="I25" s="0" t="inlineStr">
        <is>
          <t>,8],[4,</t>
        </is>
      </c>
      <c r="J25" s="203">
        <f>$D$23</f>
        <v/>
      </c>
      <c r="K25" s="0" t="inlineStr">
        <is>
          <t>,9],[4,</t>
        </is>
      </c>
      <c r="L25" s="203">
        <f>$D$23</f>
        <v/>
      </c>
      <c r="M25" s="0" t="inlineStr">
        <is>
          <t>,10],</t>
        </is>
      </c>
    </row>
    <row r="26">
      <c r="A26" s="151" t="inlineStr">
        <is>
          <t xml:space="preserve">[4,5,11],[4,5,12],[4,0,13],[4,6,14],[4,5,15], </t>
        </is>
      </c>
      <c r="B26" s="0">
        <f>CONCATENATE(C25,D25,E25,F25,G25,H25,I25,J25,K25,L25,M25,N25,O25,P25,Q25,R25,S25,T25,U25,V25,W25,X25,Y25,Z25,AA25,AB25,AC25,AD25,AE25,AF25,AG25,AH25,AI25,AJ25,AK25,AL25,AM25,AN25,AO25,AP25,AQ25,AR25,AS25,AT25,AU25,AV25,AW25,AX25,AY25,AZ25,BA25,BB25,BC25,BD25,BE25,BF25,BG25,BH25)</f>
        <v/>
      </c>
      <c r="C26" s="0" t="inlineStr">
        <is>
          <t>[4,</t>
        </is>
      </c>
      <c r="D26" s="203">
        <f>$D$23</f>
        <v/>
      </c>
      <c r="E26" s="0" t="inlineStr">
        <is>
          <t>,11],[4,</t>
        </is>
      </c>
      <c r="F26" s="203">
        <f>$D$23</f>
        <v/>
      </c>
      <c r="G26" s="0" t="inlineStr">
        <is>
          <t>,12],[4,</t>
        </is>
      </c>
      <c r="H26" s="203" t="n">
        <v>0</v>
      </c>
      <c r="I26" s="0" t="inlineStr">
        <is>
          <t>,13],[4,</t>
        </is>
      </c>
      <c r="J26" s="203">
        <f>$D$23</f>
        <v/>
      </c>
      <c r="K26" s="0" t="inlineStr">
        <is>
          <t>,14],[4,</t>
        </is>
      </c>
      <c r="L26" s="203">
        <f>$D$23</f>
        <v/>
      </c>
      <c r="M26" s="0" t="inlineStr">
        <is>
          <t>,15],</t>
        </is>
      </c>
    </row>
    <row r="27">
      <c r="A27" s="151" t="inlineStr">
        <is>
          <t xml:space="preserve">[4,5,16],[4,5,17],[4,5,18],[4,6,19],[4,5,20], </t>
        </is>
      </c>
      <c r="B27" s="0">
        <f>CONCATENATE(C26,D26,E26,F26,G26,H26,I26,J26,K26,L26,M26,N26,O26,P26,Q26,R26,S26,T26,U26,V26,W26,X26,Y26,Z26,AA26,AB26,AC26,AD26,AE26,AF26,AG26,AH26,AI26,AJ26,AK26,AL26,AM26,AN26,AO26,AP26,AQ26,AR26,AS26,AT26,AU26,AV26,AW26,AX26,AY26,AZ26,BA26,BB26,BC26,BD26,BE26,BF26,BG26,BH26)</f>
        <v/>
      </c>
      <c r="C27" s="0" t="inlineStr">
        <is>
          <t>[4,</t>
        </is>
      </c>
      <c r="D27" s="203">
        <f>$D$23</f>
        <v/>
      </c>
      <c r="E27" s="0" t="inlineStr">
        <is>
          <t>,16],[4,</t>
        </is>
      </c>
      <c r="F27" s="203">
        <f>$D$23</f>
        <v/>
      </c>
      <c r="G27" s="0" t="inlineStr">
        <is>
          <t>,17],[4,</t>
        </is>
      </c>
      <c r="H27" s="203">
        <f>$D$23</f>
        <v/>
      </c>
      <c r="I27" s="0" t="inlineStr">
        <is>
          <t>,18],[4,</t>
        </is>
      </c>
      <c r="J27" s="203">
        <f>$D$23</f>
        <v/>
      </c>
      <c r="K27" s="0" t="inlineStr">
        <is>
          <t>,19],[4,</t>
        </is>
      </c>
      <c r="L27" s="203">
        <f>$D$23</f>
        <v/>
      </c>
      <c r="M27" s="0" t="inlineStr">
        <is>
          <t>,20],</t>
        </is>
      </c>
    </row>
    <row r="28">
      <c r="A28" s="151" t="inlineStr">
        <is>
          <t xml:space="preserve">[4,5,21],[4,5,22],[4,5,23],[4,6,24],[4,5,25], </t>
        </is>
      </c>
      <c r="B28" s="0">
        <f>CONCATENATE(C27,D27,E27,F27,G27,H27,I27,J27,K27,L27,M27,N27,O27,P27,Q27,R27,S27,T27,U27,V27,W27,X27,Y27,Z27,AA27,AB27,AC27,AD27,AE27,AF27,AG27,AH27,AI27,AJ27,AK27,AL27,AM27,AN27,AO27,AP27,AQ27,AR27,AS27,AT27,AU27,AV27,AW27,AX27,AY27,AZ27,BA27,BB27,BC27,BD27,BE27,BF27,BG27,BH27)</f>
        <v/>
      </c>
      <c r="C28" s="0" t="inlineStr">
        <is>
          <t>[4,</t>
        </is>
      </c>
      <c r="D28" s="203">
        <f>$D$23</f>
        <v/>
      </c>
      <c r="E28" s="0" t="inlineStr">
        <is>
          <t>,21],[4,</t>
        </is>
      </c>
      <c r="F28" s="203">
        <f>$D$23</f>
        <v/>
      </c>
      <c r="G28" s="0" t="inlineStr">
        <is>
          <t>,22],[4,</t>
        </is>
      </c>
      <c r="H28" s="203">
        <f>$D$23</f>
        <v/>
      </c>
      <c r="I28" s="0" t="inlineStr">
        <is>
          <t>,23],[4,</t>
        </is>
      </c>
      <c r="J28" s="203">
        <f>$D$23</f>
        <v/>
      </c>
      <c r="K28" s="0" t="inlineStr">
        <is>
          <t>,24],[4,</t>
        </is>
      </c>
      <c r="L28" s="203">
        <f>$D$23</f>
        <v/>
      </c>
      <c r="M28" s="0" t="inlineStr">
        <is>
          <t>,25],</t>
        </is>
      </c>
    </row>
    <row r="29">
      <c r="B29" s="0">
        <f>CONCATENATE(C28,D28,E28,F28,G28,H28,I28,J28,K28,L28,M28,N28,O28,P28,Q28,R28,S28,T28,U28,V28,W28,X28,Y28,Z28,AA28,AB28,AC28,AD28,AE28,AF28,AG28,AH28,AI28,AJ28,AK28,AL28,AM28,AN28,AO28,AP28,AQ28,AR28,AS28,AT28,AU28,AV28,AW28,AX28,AY28,AZ28,BA28,BB28,BC28,BD28,BE28,BF28,BG28,BH28)</f>
        <v/>
      </c>
    </row>
    <row r="30">
      <c r="A30" s="151" t="inlineStr">
        <is>
          <t xml:space="preserve">[5,5,1],[5,5,2],[5,5,3],[5,6,4],[5,5,5], </t>
        </is>
      </c>
      <c r="B30" s="0">
        <f>CONCATENATE(C29,D29,E29,F29,G29,H29,I29,J29,K29,L29,M29,N29,O29,P29,Q29,R29,S29,T29,U29,V29,W29,X29,Y29,Z29,AA29,AB29,AC29,AD29,AE29,AF29,AG29,AH29,AI29,AJ29,AK29,AL29,AM29,AN29,AO29,AP29,AQ29,AR29,AS29,AT29,AU29,AV29,AW29,AX29,AY29,AZ29,BA29,BB29,BC29,BD29,BE29,BF29,BG29,BH29)</f>
        <v/>
      </c>
      <c r="C30" s="0" t="inlineStr">
        <is>
          <t>[5,</t>
        </is>
      </c>
      <c r="D30" s="203">
        <f>'Control Panel'!AA26</f>
        <v/>
      </c>
      <c r="E30" s="0" t="inlineStr">
        <is>
          <t>,1],[5,</t>
        </is>
      </c>
      <c r="F30" s="203">
        <f>$D$29</f>
        <v/>
      </c>
      <c r="G30" s="0" t="inlineStr">
        <is>
          <t>,2],[5,</t>
        </is>
      </c>
      <c r="H30" s="203">
        <f>$D$29</f>
        <v/>
      </c>
      <c r="I30" s="0" t="inlineStr">
        <is>
          <t>,3],[5,</t>
        </is>
      </c>
      <c r="J30" s="203">
        <f>$D$29</f>
        <v/>
      </c>
      <c r="K30" s="0" t="inlineStr">
        <is>
          <t>,4],[5,</t>
        </is>
      </c>
      <c r="L30" s="203">
        <f>$D$29</f>
        <v/>
      </c>
      <c r="M30" s="0" t="inlineStr">
        <is>
          <t>,5],</t>
        </is>
      </c>
    </row>
    <row r="31">
      <c r="A31" s="151" t="inlineStr">
        <is>
          <t xml:space="preserve">[5,5,6],[5,5,7],[5,5,8],[5,6,9],[5,5,10], </t>
        </is>
      </c>
      <c r="B31" s="0">
        <f>CONCATENATE(C30,D30,E30,F30,G30,H30,I30,J30,K30,L30,M30,N30,O30,P30,Q30,R30,S30,T30,U30,V30,W30,X30,Y30,Z30,AA30,AB30,AC30,AD30,AE30,AF30,AG30,AH30,AI30,AJ30,AK30,AL30,AM30,AN30,AO30,AP30,AQ30,AR30,AS30,AT30,AU30,AV30,AW30,AX30,AY30,AZ30,BA30,BB30,BC30,BD30,BE30,BF30,BG30,BH30)</f>
        <v/>
      </c>
      <c r="C31" s="0" t="inlineStr">
        <is>
          <t>[5,</t>
        </is>
      </c>
      <c r="D31" s="203">
        <f>$D$29</f>
        <v/>
      </c>
      <c r="E31" s="0" t="inlineStr">
        <is>
          <t>,6],[5,</t>
        </is>
      </c>
      <c r="F31" s="203">
        <f>$D$29</f>
        <v/>
      </c>
      <c r="G31" s="0" t="inlineStr">
        <is>
          <t>,7],[5,</t>
        </is>
      </c>
      <c r="H31" s="203">
        <f>$D$29</f>
        <v/>
      </c>
      <c r="I31" s="0" t="inlineStr">
        <is>
          <t>,8],[5,</t>
        </is>
      </c>
      <c r="J31" s="203">
        <f>$D$29</f>
        <v/>
      </c>
      <c r="K31" s="0" t="inlineStr">
        <is>
          <t>,9],[5,</t>
        </is>
      </c>
      <c r="L31" s="203">
        <f>$D$29</f>
        <v/>
      </c>
      <c r="M31" s="0" t="inlineStr">
        <is>
          <t>,10],</t>
        </is>
      </c>
    </row>
    <row r="32">
      <c r="A32" s="151" t="inlineStr">
        <is>
          <t xml:space="preserve">[5,5,11],[5,5,12],[5,0,13],[5,6,14],[5,5,15], </t>
        </is>
      </c>
      <c r="B32" s="0">
        <f>CONCATENATE(C31,D31,E31,F31,G31,H31,I31,J31,K31,L31,M31,N31,O31,P31,Q31,R31,S31,T31,U31,V31,W31,X31,Y31,Z31,AA31,AB31,AC31,AD31,AE31,AF31,AG31,AH31,AI31,AJ31,AK31,AL31,AM31,AN31,AO31,AP31,AQ31,AR31,AS31,AT31,AU31,AV31,AW31,AX31,AY31,AZ31,BA31,BB31,BC31,BD31,BE31,BF31,BG31,BH31)</f>
        <v/>
      </c>
      <c r="C32" s="0" t="inlineStr">
        <is>
          <t>[5,</t>
        </is>
      </c>
      <c r="D32" s="203">
        <f>$D$29</f>
        <v/>
      </c>
      <c r="E32" s="0" t="inlineStr">
        <is>
          <t>,11],[5,</t>
        </is>
      </c>
      <c r="F32" s="203">
        <f>$D$29</f>
        <v/>
      </c>
      <c r="G32" s="0" t="inlineStr">
        <is>
          <t>,12],[5,</t>
        </is>
      </c>
      <c r="H32" s="203" t="n">
        <v>0</v>
      </c>
      <c r="I32" s="0" t="inlineStr">
        <is>
          <t>,13],[5,</t>
        </is>
      </c>
      <c r="J32" s="203">
        <f>$D$29</f>
        <v/>
      </c>
      <c r="K32" s="0" t="inlineStr">
        <is>
          <t>,14],[5,</t>
        </is>
      </c>
      <c r="L32" s="203">
        <f>$D$29</f>
        <v/>
      </c>
      <c r="M32" s="0" t="inlineStr">
        <is>
          <t>,15],</t>
        </is>
      </c>
    </row>
    <row r="33">
      <c r="A33" s="151" t="inlineStr">
        <is>
          <t xml:space="preserve">[5,5,16],[5,5,17],[5,5,18],[5,6,19],[5,5,20], </t>
        </is>
      </c>
      <c r="B33" s="0">
        <f>CONCATENATE(C32,D32,E32,F32,G32,H32,I32,J32,K32,L32,M32,N32,O32,P32,Q32,R32,S32,T32,U32,V32,W32,X32,Y32,Z32,AA32,AB32,AC32,AD32,AE32,AF32,AG32,AH32,AI32,AJ32,AK32,AL32,AM32,AN32,AO32,AP32,AQ32,AR32,AS32,AT32,AU32,AV32,AW32,AX32,AY32,AZ32,BA32,BB32,BC32,BD32,BE32,BF32,BG32,BH32)</f>
        <v/>
      </c>
      <c r="C33" s="0" t="inlineStr">
        <is>
          <t>[5,</t>
        </is>
      </c>
      <c r="D33" s="203">
        <f>$D$29</f>
        <v/>
      </c>
      <c r="E33" s="0" t="inlineStr">
        <is>
          <t>,16],[5,</t>
        </is>
      </c>
      <c r="F33" s="203">
        <f>$D$29</f>
        <v/>
      </c>
      <c r="G33" s="0" t="inlineStr">
        <is>
          <t>,17],[5,</t>
        </is>
      </c>
      <c r="H33" s="203">
        <f>$D$29</f>
        <v/>
      </c>
      <c r="I33" s="0" t="inlineStr">
        <is>
          <t>,18],[5,</t>
        </is>
      </c>
      <c r="J33" s="203">
        <f>$D$29</f>
        <v/>
      </c>
      <c r="K33" s="0" t="inlineStr">
        <is>
          <t>,19],[5,</t>
        </is>
      </c>
      <c r="L33" s="203">
        <f>$D$29</f>
        <v/>
      </c>
      <c r="M33" s="0" t="inlineStr">
        <is>
          <t>,20],</t>
        </is>
      </c>
    </row>
    <row r="34">
      <c r="A34" s="151" t="inlineStr">
        <is>
          <t xml:space="preserve">[5,5,21],[5,5,22],[5,5,23],[5,6,24],[5,5,25], </t>
        </is>
      </c>
      <c r="B34" s="0">
        <f>CONCATENATE(C33,D33,E33,F33,G33,H33,I33,J33,K33,L33,M33,N33,O33,P33,Q33,R33,S33,T33,U33,V33,W33,X33,Y33,Z33,AA33,AB33,AC33,AD33,AE33,AF33,AG33,AH33,AI33,AJ33,AK33,AL33,AM33,AN33,AO33,AP33,AQ33,AR33,AS33,AT33,AU33,AV33,AW33,AX33,AY33,AZ33,BA33,BB33,BC33,BD33,BE33,BF33,BG33,BH33)</f>
        <v/>
      </c>
      <c r="C34" s="0" t="inlineStr">
        <is>
          <t>[5,</t>
        </is>
      </c>
      <c r="D34" s="203">
        <f>$D$29</f>
        <v/>
      </c>
      <c r="E34" s="0" t="inlineStr">
        <is>
          <t>,21],[5,</t>
        </is>
      </c>
      <c r="F34" s="203">
        <f>$D$29</f>
        <v/>
      </c>
      <c r="G34" s="0" t="inlineStr">
        <is>
          <t>,22],[5,</t>
        </is>
      </c>
      <c r="H34" s="203">
        <f>$D$29</f>
        <v/>
      </c>
      <c r="I34" s="0" t="inlineStr">
        <is>
          <t>,23],[5,</t>
        </is>
      </c>
      <c r="J34" s="203">
        <f>$D$29</f>
        <v/>
      </c>
      <c r="K34" s="0" t="inlineStr">
        <is>
          <t>,24],[5,</t>
        </is>
      </c>
      <c r="L34" s="203">
        <f>$D$29</f>
        <v/>
      </c>
      <c r="M34" s="0" t="inlineStr">
        <is>
          <t>,25],</t>
        </is>
      </c>
    </row>
    <row r="35">
      <c r="B35" s="0">
        <f>CONCATENATE(C34,D34,E34,F34,G34,H34,I34,J34,K34,L34,M34,N34,O34,P34,Q34,R34,S34,T34,U34,V34,W34,X34,Y34,Z34,AA34,AB34,AC34,AD34,AE34,AF34,AG34,AH34,AI34,AJ34,AK34,AL34,AM34,AN34,AO34,AP34,AQ34,AR34,AS34,AT34,AU34,AV34,AW34,AX34,AY34,AZ34,BA34,BB34,BC34,BD34,BE34,BF34,BG34,BH34)</f>
        <v/>
      </c>
    </row>
    <row r="36">
      <c r="A36" s="151" t="inlineStr">
        <is>
          <t xml:space="preserve">[6,5,1],[6,5,2],[6,5,3],[6,6,4],[6,5,5], </t>
        </is>
      </c>
      <c r="B36" s="0">
        <f>CONCATENATE(C35,D35,E35,F35,G35,H35,I35,J35,K35,L35,M35,N35,O35,P35,Q35,R35,S35,T35,U35,V35,W35,X35,Y35,Z35,AA35,AB35,AC35,AD35,AE35,AF35,AG35,AH35,AI35,AJ35,AK35,AL35,AM35,AN35,AO35,AP35,AQ35,AR35,AS35,AT35,AU35,AV35,AW35,AX35,AY35,AZ35,BA35,BB35,BC35,BD35,BE35,BF35,BG35,BH35)</f>
        <v/>
      </c>
      <c r="C36" s="0" t="inlineStr">
        <is>
          <t>[6,</t>
        </is>
      </c>
      <c r="D36" s="203">
        <f>'Control Panel'!AG26</f>
        <v/>
      </c>
      <c r="E36" s="0" t="inlineStr">
        <is>
          <t>,1],[6,</t>
        </is>
      </c>
      <c r="F36" s="203">
        <f>$D$35</f>
        <v/>
      </c>
      <c r="G36" s="0" t="inlineStr">
        <is>
          <t>,2],[6,</t>
        </is>
      </c>
      <c r="H36" s="203">
        <f>$D$35</f>
        <v/>
      </c>
      <c r="I36" s="0" t="inlineStr">
        <is>
          <t>,3],[6,</t>
        </is>
      </c>
      <c r="J36" s="203">
        <f>$D$35</f>
        <v/>
      </c>
      <c r="K36" s="0" t="inlineStr">
        <is>
          <t>,4],[6,</t>
        </is>
      </c>
      <c r="L36" s="203">
        <f>$D$35</f>
        <v/>
      </c>
      <c r="M36" s="0" t="inlineStr">
        <is>
          <t>,5],</t>
        </is>
      </c>
    </row>
    <row r="37">
      <c r="A37" s="151" t="inlineStr">
        <is>
          <t xml:space="preserve">[6,5,6],[6,5,7],[6,5,8],[6,6,9],[6,5,10], </t>
        </is>
      </c>
      <c r="B37" s="0">
        <f>CONCATENATE(C36,D36,E36,F36,G36,H36,I36,J36,K36,L36,M36,N36,O36,P36,Q36,R36,S36,T36,U36,V36,W36,X36,Y36,Z36,AA36,AB36,AC36,AD36,AE36,AF36,AG36,AH36,AI36,AJ36,AK36,AL36,AM36,AN36,AO36,AP36,AQ36,AR36,AS36,AT36,AU36,AV36,AW36,AX36,AY36,AZ36,BA36,BB36,BC36,BD36,BE36,BF36,BG36,BH36)</f>
        <v/>
      </c>
      <c r="C37" s="0" t="inlineStr">
        <is>
          <t>[6,</t>
        </is>
      </c>
      <c r="D37" s="203">
        <f>$D$35</f>
        <v/>
      </c>
      <c r="E37" s="0" t="inlineStr">
        <is>
          <t>,6],[6,</t>
        </is>
      </c>
      <c r="F37" s="203">
        <f>$D$35</f>
        <v/>
      </c>
      <c r="G37" s="0" t="inlineStr">
        <is>
          <t>,7],[6,</t>
        </is>
      </c>
      <c r="H37" s="203">
        <f>$D$35</f>
        <v/>
      </c>
      <c r="I37" s="0" t="inlineStr">
        <is>
          <t>,8],[6,</t>
        </is>
      </c>
      <c r="J37" s="203">
        <f>$D$35</f>
        <v/>
      </c>
      <c r="K37" s="0" t="inlineStr">
        <is>
          <t>,9],[6,</t>
        </is>
      </c>
      <c r="L37" s="203">
        <f>$D$35</f>
        <v/>
      </c>
      <c r="M37" s="0" t="inlineStr">
        <is>
          <t>,10],</t>
        </is>
      </c>
    </row>
    <row r="38">
      <c r="A38" s="151" t="inlineStr">
        <is>
          <t xml:space="preserve">[6,5,11],[6,5,12],[6,0,13],[6,6,14],[6,5,15], </t>
        </is>
      </c>
      <c r="B38" s="0">
        <f>CONCATENATE(C37,D37,E37,F37,G37,H37,I37,J37,K37,L37,M37,N37,O37,P37,Q37,R37,S37,T37,U37,V37,W37,X37,Y37,Z37,AA37,AB37,AC37,AD37,AE37,AF37,AG37,AH37,AI37,AJ37,AK37,AL37,AM37,AN37,AO37,AP37,AQ37,AR37,AS37,AT37,AU37,AV37,AW37,AX37,AY37,AZ37,BA37,BB37,BC37,BD37,BE37,BF37,BG37,BH37)</f>
        <v/>
      </c>
      <c r="C38" s="0" t="inlineStr">
        <is>
          <t>[6,</t>
        </is>
      </c>
      <c r="D38" s="203">
        <f>$D$35</f>
        <v/>
      </c>
      <c r="E38" s="0" t="inlineStr">
        <is>
          <t>,11],[6,</t>
        </is>
      </c>
      <c r="F38" s="203">
        <f>$D$35</f>
        <v/>
      </c>
      <c r="G38" s="0" t="inlineStr">
        <is>
          <t>,12],[6,</t>
        </is>
      </c>
      <c r="H38" s="203" t="n">
        <v>0</v>
      </c>
      <c r="I38" s="0" t="inlineStr">
        <is>
          <t>,13],[6,</t>
        </is>
      </c>
      <c r="J38" s="203">
        <f>$D$35</f>
        <v/>
      </c>
      <c r="K38" s="0" t="inlineStr">
        <is>
          <t>,14],[6,</t>
        </is>
      </c>
      <c r="L38" s="203">
        <f>$D$35</f>
        <v/>
      </c>
      <c r="M38" s="0" t="inlineStr">
        <is>
          <t>,15],</t>
        </is>
      </c>
    </row>
    <row r="39">
      <c r="A39" s="151" t="inlineStr">
        <is>
          <t xml:space="preserve">[6,5,16],[6,5,17],[6,5,18],[6,6,19],[6,5,20], </t>
        </is>
      </c>
      <c r="B39" s="0">
        <f>CONCATENATE(C38,D38,E38,F38,G38,H38,I38,J38,K38,L38,M38,N38,O38,P38,Q38,R38,S38,T38,U38,V38,W38,X38,Y38,Z38,AA38,AB38,AC38,AD38,AE38,AF38,AG38,AH38,AI38,AJ38,AK38,AL38,AM38,AN38,AO38,AP38,AQ38,AR38,AS38,AT38,AU38,AV38,AW38,AX38,AY38,AZ38,BA38,BB38,BC38,BD38,BE38,BF38,BG38,BH38)</f>
        <v/>
      </c>
      <c r="C39" s="0" t="inlineStr">
        <is>
          <t>[6,</t>
        </is>
      </c>
      <c r="D39" s="203">
        <f>$D$35</f>
        <v/>
      </c>
      <c r="E39" s="0" t="inlineStr">
        <is>
          <t>,16],[6,</t>
        </is>
      </c>
      <c r="F39" s="203">
        <f>$D$35</f>
        <v/>
      </c>
      <c r="G39" s="0" t="inlineStr">
        <is>
          <t>,17],[6,</t>
        </is>
      </c>
      <c r="H39" s="203">
        <f>$D$35</f>
        <v/>
      </c>
      <c r="I39" s="0" t="inlineStr">
        <is>
          <t>,18],[6,</t>
        </is>
      </c>
      <c r="J39" s="203">
        <f>$D$35</f>
        <v/>
      </c>
      <c r="K39" s="0" t="inlineStr">
        <is>
          <t>,19],[6,</t>
        </is>
      </c>
      <c r="L39" s="203">
        <f>$D$35</f>
        <v/>
      </c>
      <c r="M39" s="0" t="inlineStr">
        <is>
          <t>,20],</t>
        </is>
      </c>
    </row>
    <row r="40">
      <c r="A40" s="151" t="inlineStr">
        <is>
          <t xml:space="preserve">[6,5,21],[6,5,22],[6,5,23],[6,6,24],[6,5,25], </t>
        </is>
      </c>
      <c r="B40" s="0">
        <f>CONCATENATE(C39,D39,E39,F39,G39,H39,I39,J39,K39,L39,M39,N39,O39,P39,Q39,R39,S39,T39,U39,V39,W39,X39,Y39,Z39,AA39,AB39,AC39,AD39,AE39,AF39,AG39,AH39,AI39,AJ39,AK39,AL39,AM39,AN39,AO39,AP39,AQ39,AR39,AS39,AT39,AU39,AV39,AW39,AX39,AY39,AZ39,BA39,BB39,BC39,BD39,BE39,BF39,BG39,BH39)</f>
        <v/>
      </c>
      <c r="C40" s="0" t="inlineStr">
        <is>
          <t>[6,</t>
        </is>
      </c>
      <c r="D40" s="203">
        <f>$D$35</f>
        <v/>
      </c>
      <c r="E40" s="0" t="inlineStr">
        <is>
          <t>,21],[6,</t>
        </is>
      </c>
      <c r="F40" s="203">
        <f>$D$35</f>
        <v/>
      </c>
      <c r="G40" s="0" t="inlineStr">
        <is>
          <t>,22],[6,</t>
        </is>
      </c>
      <c r="H40" s="203">
        <f>$D$35</f>
        <v/>
      </c>
      <c r="I40" s="0" t="inlineStr">
        <is>
          <t>,23],[6,</t>
        </is>
      </c>
      <c r="J40" s="203">
        <f>$D$35</f>
        <v/>
      </c>
      <c r="K40" s="0" t="inlineStr">
        <is>
          <t>,24],[6,</t>
        </is>
      </c>
      <c r="L40" s="203">
        <f>$D$35</f>
        <v/>
      </c>
      <c r="M40" s="0" t="inlineStr">
        <is>
          <t>,25],</t>
        </is>
      </c>
    </row>
    <row r="41">
      <c r="B41" s="0">
        <f>CONCATENATE(C40,D40,E40,F40,G40,H40,I40,J40,K40,L40,M40,N40,O40,P40,Q40,R40,S40,T40,U40,V40,W40,X40,Y40,Z40,AA40,AB40,AC40,AD40,AE40,AF40,AG40,AH40,AI40,AJ40,AK40,AL40,AM40,AN40,AO40,AP40,AQ40,AR40,AS40,AT40,AU40,AV40,AW40,AX40,AY40,AZ40,BA40,BB40,BC40,BD40,BE40,BF40,BG40,BH40)</f>
        <v/>
      </c>
    </row>
    <row r="42">
      <c r="A42" s="151" t="inlineStr">
        <is>
          <t xml:space="preserve">[7,5,1],[7,5,2],[7,5,3],[7,6,4],[7,5,5], </t>
        </is>
      </c>
      <c r="B42" s="0">
        <f>CONCATENATE(C41,D41,E41,F41,G41,H41,I41,J41,K41,L41,M41,N41,O41,P41,Q41,R41,S41,T41,U41,V41,W41,X41,Y41,Z41,AA41,AB41,AC41,AD41,AE41,AF41,AG41,AH41,AI41,AJ41,AK41,AL41,AM41,AN41,AO41,AP41,AQ41,AR41,AS41,AT41,AU41,AV41,AW41,AX41,AY41,AZ41,BA41,BB41,BC41,BD41,BE41,BF41,BG41,BH41)</f>
        <v/>
      </c>
      <c r="C42" s="0" t="inlineStr">
        <is>
          <t>[7,</t>
        </is>
      </c>
      <c r="D42" s="203">
        <f>'Control Panel'!AM26</f>
        <v/>
      </c>
      <c r="E42" s="0" t="inlineStr">
        <is>
          <t>,1],[7,</t>
        </is>
      </c>
      <c r="F42" s="203">
        <f>$D$41</f>
        <v/>
      </c>
      <c r="G42" s="0" t="inlineStr">
        <is>
          <t>,2],[7,</t>
        </is>
      </c>
      <c r="H42" s="203">
        <f>$D$41</f>
        <v/>
      </c>
      <c r="I42" s="0" t="inlineStr">
        <is>
          <t>,3],[7,</t>
        </is>
      </c>
      <c r="J42" s="203">
        <f>$D$41</f>
        <v/>
      </c>
      <c r="K42" s="0" t="inlineStr">
        <is>
          <t>,4],[7,</t>
        </is>
      </c>
      <c r="L42" s="203">
        <f>$D$41</f>
        <v/>
      </c>
      <c r="M42" s="0" t="inlineStr">
        <is>
          <t>,5],</t>
        </is>
      </c>
    </row>
    <row r="43">
      <c r="A43" s="151" t="inlineStr">
        <is>
          <t xml:space="preserve">[7,5,6],[7,5,7],[7,5,8],[7,6,9],[7,5,10], </t>
        </is>
      </c>
      <c r="B43" s="0">
        <f>CONCATENATE(C42,D42,E42,F42,G42,H42,I42,J42,K42,L42,M42,N42,O42,P42,Q42,R42,S42,T42,U42,V42,W42,X42,Y42,Z42,AA42,AB42,AC42,AD42,AE42,AF42,AG42,AH42,AI42,AJ42,AK42,AL42,AM42,AN42,AO42,AP42,AQ42,AR42,AS42,AT42,AU42,AV42,AW42,AX42,AY42,AZ42,BA42,BB42,BC42,BD42,BE42,BF42,BG42,BH42)</f>
        <v/>
      </c>
      <c r="C43" s="0" t="inlineStr">
        <is>
          <t>[7,</t>
        </is>
      </c>
      <c r="D43" s="203">
        <f>$D$41</f>
        <v/>
      </c>
      <c r="E43" s="0" t="inlineStr">
        <is>
          <t>,6],[7,</t>
        </is>
      </c>
      <c r="F43" s="203">
        <f>$D$41</f>
        <v/>
      </c>
      <c r="G43" s="0" t="inlineStr">
        <is>
          <t>,7],[7,</t>
        </is>
      </c>
      <c r="H43" s="203">
        <f>$D$41</f>
        <v/>
      </c>
      <c r="I43" s="0" t="inlineStr">
        <is>
          <t>,8],[7,</t>
        </is>
      </c>
      <c r="J43" s="203">
        <f>$D$41</f>
        <v/>
      </c>
      <c r="K43" s="0" t="inlineStr">
        <is>
          <t>,9],[7,</t>
        </is>
      </c>
      <c r="L43" s="203">
        <f>$D$41</f>
        <v/>
      </c>
      <c r="M43" s="0" t="inlineStr">
        <is>
          <t>,10],</t>
        </is>
      </c>
    </row>
    <row r="44">
      <c r="A44" s="151" t="inlineStr">
        <is>
          <t xml:space="preserve">[7,5,11],[7,5,12],[7,0,13],[7,6,14],[7,5,15], </t>
        </is>
      </c>
      <c r="B44" s="0">
        <f>CONCATENATE(C43,D43,E43,F43,G43,H43,I43,J43,K43,L43,M43,N43,O43,P43,Q43,R43,S43,T43,U43,V43,W43,X43,Y43,Z43,AA43,AB43,AC43,AD43,AE43,AF43,AG43,AH43,AI43,AJ43,AK43,AL43,AM43,AN43,AO43,AP43,AQ43,AR43,AS43,AT43,AU43,AV43,AW43,AX43,AY43,AZ43,BA43,BB43,BC43,BD43,BE43,BF43,BG43,BH43)</f>
        <v/>
      </c>
      <c r="C44" s="0" t="inlineStr">
        <is>
          <t>[7,</t>
        </is>
      </c>
      <c r="D44" s="203">
        <f>$D$41</f>
        <v/>
      </c>
      <c r="E44" s="0" t="inlineStr">
        <is>
          <t>,11],[7,</t>
        </is>
      </c>
      <c r="F44" s="203">
        <f>$D$41</f>
        <v/>
      </c>
      <c r="G44" s="0" t="inlineStr">
        <is>
          <t>,12],[7,</t>
        </is>
      </c>
      <c r="H44" s="203" t="n">
        <v>0</v>
      </c>
      <c r="I44" s="0" t="inlineStr">
        <is>
          <t>,13],[7,</t>
        </is>
      </c>
      <c r="J44" s="203">
        <f>$D$41</f>
        <v/>
      </c>
      <c r="K44" s="0" t="inlineStr">
        <is>
          <t>,14],[7,</t>
        </is>
      </c>
      <c r="L44" s="203">
        <f>$D$41</f>
        <v/>
      </c>
      <c r="M44" s="0" t="inlineStr">
        <is>
          <t>,15],</t>
        </is>
      </c>
    </row>
    <row r="45">
      <c r="A45" s="151" t="inlineStr">
        <is>
          <t xml:space="preserve">[7,5,16],[7,5,17],[7,5,18],[7,6,19],[7,5,20], </t>
        </is>
      </c>
      <c r="B45" s="0">
        <f>CONCATENATE(C44,D44,E44,F44,G44,H44,I44,J44,K44,L44,M44,N44,O44,P44,Q44,R44,S44,T44,U44,V44,W44,X44,Y44,Z44,AA44,AB44,AC44,AD44,AE44,AF44,AG44,AH44,AI44,AJ44,AK44,AL44,AM44,AN44,AO44,AP44,AQ44,AR44,AS44,AT44,AU44,AV44,AW44,AX44,AY44,AZ44,BA44,BB44,BC44,BD44,BE44,BF44,BG44,BH44)</f>
        <v/>
      </c>
      <c r="C45" s="0" t="inlineStr">
        <is>
          <t>[7,</t>
        </is>
      </c>
      <c r="D45" s="203">
        <f>$D$41</f>
        <v/>
      </c>
      <c r="E45" s="0" t="inlineStr">
        <is>
          <t>,16],[7,</t>
        </is>
      </c>
      <c r="F45" s="203">
        <f>$D$41</f>
        <v/>
      </c>
      <c r="G45" s="0" t="inlineStr">
        <is>
          <t>,17],[7,</t>
        </is>
      </c>
      <c r="H45" s="203">
        <f>$D$41</f>
        <v/>
      </c>
      <c r="I45" s="0" t="inlineStr">
        <is>
          <t>,18],[7,</t>
        </is>
      </c>
      <c r="J45" s="203">
        <f>$D$41</f>
        <v/>
      </c>
      <c r="K45" s="0" t="inlineStr">
        <is>
          <t>,19],[7,</t>
        </is>
      </c>
      <c r="L45" s="203">
        <f>$D$41</f>
        <v/>
      </c>
      <c r="M45" s="0" t="inlineStr">
        <is>
          <t>,20],</t>
        </is>
      </c>
    </row>
    <row r="46">
      <c r="A46" s="151" t="inlineStr">
        <is>
          <t xml:space="preserve">[7,5,21],[7,5,22],[7,5,23],[7,6,24],[7,5,25], </t>
        </is>
      </c>
      <c r="B46" s="0">
        <f>CONCATENATE(C45,D45,E45,F45,G45,H45,I45,J45,K45,L45,M45,N45,O45,P45,Q45,R45,S45,T45,U45,V45,W45,X45,Y45,Z45,AA45,AB45,AC45,AD45,AE45,AF45,AG45,AH45,AI45,AJ45,AK45,AL45,AM45,AN45,AO45,AP45,AQ45,AR45,AS45,AT45,AU45,AV45,AW45,AX45,AY45,AZ45,BA45,BB45,BC45,BD45,BE45,BF45,BG45,BH45)</f>
        <v/>
      </c>
      <c r="C46" s="0" t="inlineStr">
        <is>
          <t>[7,</t>
        </is>
      </c>
      <c r="D46" s="203">
        <f>$D$41</f>
        <v/>
      </c>
      <c r="E46" s="0" t="inlineStr">
        <is>
          <t>,21],[7,</t>
        </is>
      </c>
      <c r="F46" s="203">
        <f>$D$41</f>
        <v/>
      </c>
      <c r="G46" s="0" t="inlineStr">
        <is>
          <t>,22],[7,</t>
        </is>
      </c>
      <c r="H46" s="203">
        <f>$D$41</f>
        <v/>
      </c>
      <c r="I46" s="0" t="inlineStr">
        <is>
          <t>,23],[7,</t>
        </is>
      </c>
      <c r="J46" s="203">
        <f>$D$41</f>
        <v/>
      </c>
      <c r="K46" s="0" t="inlineStr">
        <is>
          <t>,24],[7,</t>
        </is>
      </c>
      <c r="L46" s="203">
        <f>$D$41</f>
        <v/>
      </c>
      <c r="M46" s="0" t="inlineStr">
        <is>
          <t>,25],</t>
        </is>
      </c>
    </row>
    <row r="47">
      <c r="B47" s="0">
        <f>CONCATENATE(C46,D46,E46,F46,G46,H46,I46,J46,K46,L46,M46,N46,O46,P46,Q46,R46,S46,T46,U46,V46,W46,X46,Y46,Z46,AA46,AB46,AC46,AD46,AE46,AF46,AG46,AH46,AI46,AJ46,AK46,AL46,AM46,AN46,AO46,AP46,AQ46,AR46,AS46,AT46,AU46,AV46,AW46,AX46,AY46,AZ46,BA46,BB46,BC46,BD46,BE46,BF46,BG46,BH46)</f>
        <v/>
      </c>
    </row>
    <row r="48">
      <c r="A48" s="151" t="inlineStr">
        <is>
          <t xml:space="preserve">[8,5,1],[8,5,2],[8,5,3],[8,6,4],[8,5,5], </t>
        </is>
      </c>
      <c r="B48" s="0">
        <f>CONCATENATE(C47,D47,E47,F47,G47,H47,I47,J47,K47,L47,M47,N47,O47,P47,Q47,R47,S47,T47,U47,V47,W47,X47,Y47,Z47,AA47,AB47,AC47,AD47,AE47,AF47,AG47,AH47,AI47,AJ47,AK47,AL47,AM47,AN47,AO47,AP47,AQ47,AR47,AS47,AT47,AU47,AV47,AW47,AX47,AY47,AZ47,BA47,BB47,BC47,BD47,BE47,BF47,BG47,BH47)</f>
        <v/>
      </c>
      <c r="C48" s="0" t="inlineStr">
        <is>
          <t>[8,</t>
        </is>
      </c>
      <c r="D48" s="203">
        <f>'Control Panel'!AS26</f>
        <v/>
      </c>
      <c r="E48" s="0" t="inlineStr">
        <is>
          <t>,1],[8,</t>
        </is>
      </c>
      <c r="F48" s="203">
        <f>$D$47</f>
        <v/>
      </c>
      <c r="G48" s="0" t="inlineStr">
        <is>
          <t>,2],[8,</t>
        </is>
      </c>
      <c r="H48" s="203">
        <f>$D$47</f>
        <v/>
      </c>
      <c r="I48" s="0" t="inlineStr">
        <is>
          <t>,3],[8,</t>
        </is>
      </c>
      <c r="J48" s="203">
        <f>$D$47</f>
        <v/>
      </c>
      <c r="K48" s="0" t="inlineStr">
        <is>
          <t>,4],[8,</t>
        </is>
      </c>
      <c r="L48" s="203">
        <f>$D$47</f>
        <v/>
      </c>
      <c r="M48" s="0" t="inlineStr">
        <is>
          <t>,5],</t>
        </is>
      </c>
    </row>
    <row r="49">
      <c r="A49" s="151" t="inlineStr">
        <is>
          <t xml:space="preserve">[8,5,6],[8,5,7],[8,5,8],[8,6,9],[8,5,10], </t>
        </is>
      </c>
      <c r="B49" s="0">
        <f>CONCATENATE(C48,D48,E48,F48,G48,H48,I48,J48,K48,L48,M48,N48,O48,P48,Q48,R48,S48,T48,U48,V48,W48,X48,Y48,Z48,AA48,AB48,AC48,AD48,AE48,AF48,AG48,AH48,AI48,AJ48,AK48,AL48,AM48,AN48,AO48,AP48,AQ48,AR48,AS48,AT48,AU48,AV48,AW48,AX48,AY48,AZ48,BA48,BB48,BC48,BD48,BE48,BF48,BG48,BH48)</f>
        <v/>
      </c>
      <c r="C49" s="0" t="inlineStr">
        <is>
          <t>[8,</t>
        </is>
      </c>
      <c r="D49" s="203">
        <f>$D$47</f>
        <v/>
      </c>
      <c r="E49" s="0" t="inlineStr">
        <is>
          <t>,6],[8,</t>
        </is>
      </c>
      <c r="F49" s="203">
        <f>$D$47</f>
        <v/>
      </c>
      <c r="G49" s="0" t="inlineStr">
        <is>
          <t>,7],[8,</t>
        </is>
      </c>
      <c r="H49" s="203">
        <f>$D$47</f>
        <v/>
      </c>
      <c r="I49" s="0" t="inlineStr">
        <is>
          <t>,8],[8,</t>
        </is>
      </c>
      <c r="J49" s="203">
        <f>$D$47</f>
        <v/>
      </c>
      <c r="K49" s="0" t="inlineStr">
        <is>
          <t>,9],[8,</t>
        </is>
      </c>
      <c r="L49" s="203">
        <f>$D$47</f>
        <v/>
      </c>
      <c r="M49" s="0" t="inlineStr">
        <is>
          <t>,10],</t>
        </is>
      </c>
    </row>
    <row r="50">
      <c r="A50" s="151" t="inlineStr">
        <is>
          <t xml:space="preserve">[8,5,11],[8,5,12],[8,0,13],[8,6,14],[8,5,15], </t>
        </is>
      </c>
      <c r="B50" s="0">
        <f>CONCATENATE(C49,D49,E49,F49,G49,H49,I49,J49,K49,L49,M49,N49,O49,P49,Q49,R49,S49,T49,U49,V49,W49,X49,Y49,Z49,AA49,AB49,AC49,AD49,AE49,AF49,AG49,AH49,AI49,AJ49,AK49,AL49,AM49,AN49,AO49,AP49,AQ49,AR49,AS49,AT49,AU49,AV49,AW49,AX49,AY49,AZ49,BA49,BB49,BC49,BD49,BE49,BF49,BG49,BH49)</f>
        <v/>
      </c>
      <c r="C50" s="0" t="inlineStr">
        <is>
          <t>[8,</t>
        </is>
      </c>
      <c r="D50" s="203">
        <f>$D$47</f>
        <v/>
      </c>
      <c r="E50" s="0" t="inlineStr">
        <is>
          <t>,11],[8,</t>
        </is>
      </c>
      <c r="F50" s="203">
        <f>$D$47</f>
        <v/>
      </c>
      <c r="G50" s="0" t="inlineStr">
        <is>
          <t>,12],[8,</t>
        </is>
      </c>
      <c r="H50" s="203" t="n">
        <v>0</v>
      </c>
      <c r="I50" s="0" t="inlineStr">
        <is>
          <t>,13],[8,</t>
        </is>
      </c>
      <c r="J50" s="203">
        <f>$D$47</f>
        <v/>
      </c>
      <c r="K50" s="0" t="inlineStr">
        <is>
          <t>,14],[8,</t>
        </is>
      </c>
      <c r="L50" s="203">
        <f>$D$47</f>
        <v/>
      </c>
      <c r="M50" s="0" t="inlineStr">
        <is>
          <t>,15],</t>
        </is>
      </c>
    </row>
    <row r="51">
      <c r="A51" s="151" t="inlineStr">
        <is>
          <t xml:space="preserve">[8,5,16],[8,5,17],[8,5,18],[8,6,19],[8,5,20], </t>
        </is>
      </c>
      <c r="B51" s="0">
        <f>CONCATENATE(C50,D50,E50,F50,G50,H50,I50,J50,K50,L50,M50,N50,O50,P50,Q50,R50,S50,T50,U50,V50,W50,X50,Y50,Z50,AA50,AB50,AC50,AD50,AE50,AF50,AG50,AH50,AI50,AJ50,AK50,AL50,AM50,AN50,AO50,AP50,AQ50,AR50,AS50,AT50,AU50,AV50,AW50,AX50,AY50,AZ50,BA50,BB50,BC50,BD50,BE50,BF50,BG50,BH50)</f>
        <v/>
      </c>
      <c r="C51" s="0" t="inlineStr">
        <is>
          <t>[8,</t>
        </is>
      </c>
      <c r="D51" s="203">
        <f>$D$47</f>
        <v/>
      </c>
      <c r="E51" s="0" t="inlineStr">
        <is>
          <t>,16],[8,</t>
        </is>
      </c>
      <c r="F51" s="203">
        <f>$D$47</f>
        <v/>
      </c>
      <c r="G51" s="0" t="inlineStr">
        <is>
          <t>,17],[8,</t>
        </is>
      </c>
      <c r="H51" s="203">
        <f>$D$47</f>
        <v/>
      </c>
      <c r="I51" s="0" t="inlineStr">
        <is>
          <t>,18],[8,</t>
        </is>
      </c>
      <c r="J51" s="203">
        <f>$D$47</f>
        <v/>
      </c>
      <c r="K51" s="0" t="inlineStr">
        <is>
          <t>,19],[8,</t>
        </is>
      </c>
      <c r="L51" s="203">
        <f>$D$47</f>
        <v/>
      </c>
      <c r="M51" s="0" t="inlineStr">
        <is>
          <t>,20],</t>
        </is>
      </c>
    </row>
    <row r="52">
      <c r="A52" s="151" t="inlineStr">
        <is>
          <t xml:space="preserve">[8,5,21],[8,5,22],[8,5,23],[8,6,24],[8,5,25] </t>
        </is>
      </c>
      <c r="B52" s="0">
        <f>CONCATENATE(C51,D51,E51,F51,G51,H51,I51,J51,K51,L51,M51,N51,O51,P51,Q51,R51,S51,T51,U51,V51,W51,X51,Y51,Z51,AA51,AB51,AC51,AD51,AE51,AF51,AG51,AH51,AI51,AJ51,AK51,AL51,AM51,AN51,AO51,AP51,AQ51,AR51,AS51,AT51,AU51,AV51,AW51,AX51,AY51,AZ51,BA51,BB51,BC51,BD51,BE51,BF51,BG51,BH51)</f>
        <v/>
      </c>
      <c r="C52" s="0" t="inlineStr">
        <is>
          <t>[8,</t>
        </is>
      </c>
      <c r="D52" s="203">
        <f>$D$47</f>
        <v/>
      </c>
      <c r="E52" s="0" t="inlineStr">
        <is>
          <t>,21],[8,</t>
        </is>
      </c>
      <c r="F52" s="203">
        <f>$D$47</f>
        <v/>
      </c>
      <c r="G52" s="0" t="inlineStr">
        <is>
          <t>,22],[8,</t>
        </is>
      </c>
      <c r="H52" s="203">
        <f>$D$47</f>
        <v/>
      </c>
      <c r="I52" s="0" t="inlineStr">
        <is>
          <t>,23],[8,</t>
        </is>
      </c>
      <c r="J52" s="203">
        <f>$D$47</f>
        <v/>
      </c>
      <c r="K52" s="0" t="inlineStr">
        <is>
          <t>,24],[8,</t>
        </is>
      </c>
      <c r="L52" s="203">
        <f>$D$47</f>
        <v/>
      </c>
      <c r="M52" s="0" t="inlineStr">
        <is>
          <t>,25],</t>
        </is>
      </c>
    </row>
    <row r="53">
      <c r="A53" s="151" t="inlineStr">
        <is>
          <t xml:space="preserve">], </t>
        </is>
      </c>
      <c r="B53" s="0">
        <f>CONCATENATE(C52,D52,E52,F52,G52,H52,I52,J52,K52,L52,M52,N52,O52,P52,Q52,R52,S52,T52,U52,V52,W52,X52,Y52,Z52,AA52,AB52,AC52,AD52,AE52,AF52,AG52,AH52,AI52,AJ52,AK52,AL52,AM52,AN52,AO52,AP52,AQ52,AR52,AS52,AT52,AU52,AV52,AW52,AX52,AY52,AZ52,BA52,BB52,BC52,BD52,BE52,BF52,BG52,BH52)</f>
        <v/>
      </c>
      <c r="C53" s="0" t="inlineStr">
        <is>
          <t xml:space="preserve">], </t>
        </is>
      </c>
    </row>
    <row r="54">
      <c r="A54" s="151" t="inlineStr">
        <is>
          <t xml:space="preserve">[ </t>
        </is>
      </c>
      <c r="B54" s="0">
        <f>CONCATENATE(C53,D53,E53,F53,G53,H53,I53,J53,K53,L53,M53,N53,O53,P53,Q53,R53,S53,T53,U53,V53,W53,X53,Y53,Z53,AA53,AB53,AC53,AD53,AE53,AF53,AG53,AH53,AI53,AJ53,AK53,AL53,AM53,AN53,AO53,AP53,AQ53,AR53,AS53,AT53,AU53,AV53,AW53,AX53,AY53,AZ53,BA53,BB53,BC53,BD53,BE53,BF53,BG53,BH53)</f>
        <v/>
      </c>
      <c r="C54" s="0" t="inlineStr">
        <is>
          <t xml:space="preserve">[ </t>
        </is>
      </c>
    </row>
    <row r="55">
      <c r="A55" s="151" t="inlineStr">
        <is>
          <t xml:space="preserve">[1,5,1],[1,5,2],[1,5,3],[1,6,4],[1,5,5], </t>
        </is>
      </c>
      <c r="B55" s="0">
        <f>CONCATENATE(C54,D54,E54,F54,G54,H54,I54,J54,K54,L54,M54,N54,O54,P54,Q54,R54,S54,T54,U54,V54,W54,X54,Y54,Z54,AA54,AB54,AC54,AD54,AE54,AF54,AG54,AH54,AI54,AJ54,AK54,AL54,AM54,AN54,AO54,AP54,AQ54,AR54,AS54,AT54,AU54,AV54,AW54,AX54,AY54,AZ54,BA54,BB54,BC54,BD54,BE54,BF54,BG54,BH54)</f>
        <v/>
      </c>
      <c r="C55" s="0" t="inlineStr">
        <is>
          <t>[1,</t>
        </is>
      </c>
      <c r="D55" s="203">
        <f>'Control Panel'!AA34</f>
        <v/>
      </c>
      <c r="E55" s="0" t="inlineStr">
        <is>
          <t>,1],[1,</t>
        </is>
      </c>
      <c r="F55" s="203">
        <f>$D$54</f>
        <v/>
      </c>
      <c r="G55" s="0" t="inlineStr">
        <is>
          <t>,2],[1,</t>
        </is>
      </c>
      <c r="H55" s="203">
        <f>$D$54</f>
        <v/>
      </c>
      <c r="I55" s="0" t="inlineStr">
        <is>
          <t>,3],[1,</t>
        </is>
      </c>
      <c r="J55" s="203">
        <f>$D$54</f>
        <v/>
      </c>
      <c r="K55" s="0" t="inlineStr">
        <is>
          <t>,4],[1,</t>
        </is>
      </c>
      <c r="L55" s="203">
        <f>$D$54</f>
        <v/>
      </c>
      <c r="M55" s="0" t="inlineStr">
        <is>
          <t>,5],</t>
        </is>
      </c>
    </row>
    <row r="56">
      <c r="A56" s="151" t="inlineStr">
        <is>
          <t xml:space="preserve">[1,5,6],[1,5,7],[1,5,8],[1,6,9],[1,5,10], </t>
        </is>
      </c>
      <c r="B56" s="0">
        <f>CONCATENATE(C55,D55,E55,F55,G55,H55,I55,J55,K55,L55,M55,N55,O55,P55,Q55,R55,S55,T55,U55,V55,W55,X55,Y55,Z55,AA55,AB55,AC55,AD55,AE55,AF55,AG55,AH55,AI55,AJ55,AK55,AL55,AM55,AN55,AO55,AP55,AQ55,AR55,AS55,AT55,AU55,AV55,AW55,AX55,AY55,AZ55,BA55,BB55,BC55,BD55,BE55,BF55,BG55,BH55)</f>
        <v/>
      </c>
      <c r="C56" s="0" t="inlineStr">
        <is>
          <t>[1,</t>
        </is>
      </c>
      <c r="D56" s="203">
        <f>$D$54</f>
        <v/>
      </c>
      <c r="E56" s="0" t="inlineStr">
        <is>
          <t>,6],[1,</t>
        </is>
      </c>
      <c r="F56" s="203">
        <f>$D$54</f>
        <v/>
      </c>
      <c r="G56" s="0" t="inlineStr">
        <is>
          <t>,7],[1,</t>
        </is>
      </c>
      <c r="H56" s="203">
        <f>$D$54</f>
        <v/>
      </c>
      <c r="I56" s="0" t="inlineStr">
        <is>
          <t>,8],[1,</t>
        </is>
      </c>
      <c r="J56" s="203">
        <f>$D$54</f>
        <v/>
      </c>
      <c r="K56" s="0" t="inlineStr">
        <is>
          <t>,9],[1,</t>
        </is>
      </c>
      <c r="L56" s="203">
        <f>$D$54</f>
        <v/>
      </c>
      <c r="M56" s="0" t="inlineStr">
        <is>
          <t>,10],</t>
        </is>
      </c>
    </row>
    <row r="57">
      <c r="A57" s="151" t="inlineStr">
        <is>
          <t xml:space="preserve">[1,5,11],[1,5,12],[1,0,13],[1,6,14],[1,5,15], </t>
        </is>
      </c>
      <c r="B57" s="0">
        <f>CONCATENATE(C56,D56,E56,F56,G56,H56,I56,J56,K56,L56,M56,N56,O56,P56,Q56,R56,S56,T56,U56,V56,W56,X56,Y56,Z56,AA56,AB56,AC56,AD56,AE56,AF56,AG56,AH56,AI56,AJ56,AK56,AL56,AM56,AN56,AO56,AP56,AQ56,AR56,AS56,AT56,AU56,AV56,AW56,AX56,AY56,AZ56,BA56,BB56,BC56,BD56,BE56,BF56,BG56,BH56)</f>
        <v/>
      </c>
      <c r="C57" s="0" t="inlineStr">
        <is>
          <t>[1,</t>
        </is>
      </c>
      <c r="D57" s="203">
        <f>$D$54</f>
        <v/>
      </c>
      <c r="E57" s="0" t="inlineStr">
        <is>
          <t>,11],[1,</t>
        </is>
      </c>
      <c r="F57" s="203">
        <f>$D$54</f>
        <v/>
      </c>
      <c r="G57" s="0" t="inlineStr">
        <is>
          <t>,12],[1,</t>
        </is>
      </c>
      <c r="H57" s="203" t="n">
        <v>0</v>
      </c>
      <c r="I57" s="0" t="inlineStr">
        <is>
          <t>,13],[1,</t>
        </is>
      </c>
      <c r="J57" s="203">
        <f>$D$54</f>
        <v/>
      </c>
      <c r="K57" s="0" t="inlineStr">
        <is>
          <t>,14],[1,</t>
        </is>
      </c>
      <c r="L57" s="203">
        <f>$D$54</f>
        <v/>
      </c>
      <c r="M57" s="0" t="inlineStr">
        <is>
          <t>,15],</t>
        </is>
      </c>
    </row>
    <row r="58">
      <c r="A58" s="151" t="inlineStr">
        <is>
          <t xml:space="preserve">[1,5,16],[1,5,17],[1,5,18],[1,6,19],[1,5,20], </t>
        </is>
      </c>
      <c r="B58" s="0">
        <f>CONCATENATE(C57,D57,E57,F57,G57,H57,I57,J57,K57,L57,M57,N57,O57,P57,Q57,R57,S57,T57,U57,V57,W57,X57,Y57,Z57,AA57,AB57,AC57,AD57,AE57,AF57,AG57,AH57,AI57,AJ57,AK57,AL57,AM57,AN57,AO57,AP57,AQ57,AR57,AS57,AT57,AU57,AV57,AW57,AX57,AY57,AZ57,BA57,BB57,BC57,BD57,BE57,BF57,BG57,BH57)</f>
        <v/>
      </c>
      <c r="C58" s="0" t="inlineStr">
        <is>
          <t>[1,</t>
        </is>
      </c>
      <c r="D58" s="203">
        <f>$D$54</f>
        <v/>
      </c>
      <c r="E58" s="0" t="inlineStr">
        <is>
          <t>,16],[1,</t>
        </is>
      </c>
      <c r="F58" s="203">
        <f>$D$54</f>
        <v/>
      </c>
      <c r="G58" s="0" t="inlineStr">
        <is>
          <t>,17],[1,</t>
        </is>
      </c>
      <c r="H58" s="203">
        <f>$D$54</f>
        <v/>
      </c>
      <c r="I58" s="0" t="inlineStr">
        <is>
          <t>,18],[1,</t>
        </is>
      </c>
      <c r="J58" s="203">
        <f>$D$54</f>
        <v/>
      </c>
      <c r="K58" s="0" t="inlineStr">
        <is>
          <t>,19],[1,</t>
        </is>
      </c>
      <c r="L58" s="203">
        <f>$D$54</f>
        <v/>
      </c>
      <c r="M58" s="0" t="inlineStr">
        <is>
          <t>,20],</t>
        </is>
      </c>
    </row>
    <row r="59">
      <c r="A59" s="151" t="inlineStr">
        <is>
          <t xml:space="preserve">[1,5,21],[1,5,22],[1,5,23],[1,6,24],[1,5,25], </t>
        </is>
      </c>
      <c r="B59" s="0">
        <f>CONCATENATE(C58,D58,E58,F58,G58,H58,I58,J58,K58,L58,M58,N58,O58,P58,Q58,R58,S58,T58,U58,V58,W58,X58,Y58,Z58,AA58,AB58,AC58,AD58,AE58,AF58,AG58,AH58,AI58,AJ58,AK58,AL58,AM58,AN58,AO58,AP58,AQ58,AR58,AS58,AT58,AU58,AV58,AW58,AX58,AY58,AZ58,BA58,BB58,BC58,BD58,BE58,BF58,BG58,BH58)</f>
        <v/>
      </c>
      <c r="C59" s="0" t="inlineStr">
        <is>
          <t>[1,</t>
        </is>
      </c>
      <c r="D59" s="203">
        <f>$D$54</f>
        <v/>
      </c>
      <c r="E59" s="0" t="inlineStr">
        <is>
          <t>,21],[1,</t>
        </is>
      </c>
      <c r="F59" s="203">
        <f>$D$54</f>
        <v/>
      </c>
      <c r="G59" s="0" t="inlineStr">
        <is>
          <t>,22],[1,</t>
        </is>
      </c>
      <c r="H59" s="203">
        <f>$D$54</f>
        <v/>
      </c>
      <c r="I59" s="0" t="inlineStr">
        <is>
          <t>,23],[1,</t>
        </is>
      </c>
      <c r="J59" s="203">
        <f>$D$54</f>
        <v/>
      </c>
      <c r="K59" s="0" t="inlineStr">
        <is>
          <t>,24],[1,</t>
        </is>
      </c>
      <c r="L59" s="203">
        <f>$D$54</f>
        <v/>
      </c>
      <c r="M59" s="0" t="inlineStr">
        <is>
          <t>,25],</t>
        </is>
      </c>
    </row>
    <row r="60">
      <c r="B60" s="0">
        <f>CONCATENATE(C59,D59,E59,F59,G59,H59,I59,J59,K59,L59,M59,N59,O59,P59,Q59,R59,S59,T59,U59,V59,W59,X59,Y59,Z59,AA59,AB59,AC59,AD59,AE59,AF59,AG59,AH59,AI59,AJ59,AK59,AL59,AM59,AN59,AO59,AP59,AQ59,AR59,AS59,AT59,AU59,AV59,AW59,AX59,AY59,AZ59,BA59,BB59,BC59,BD59,BE59,BF59,BG59,BH59)</f>
        <v/>
      </c>
    </row>
    <row r="61">
      <c r="A61" s="151" t="inlineStr">
        <is>
          <t xml:space="preserve">[2,5,1],[2,5,2],[2,5,3],[2,6,4],[2,5,5], </t>
        </is>
      </c>
      <c r="B61" s="0">
        <f>CONCATENATE(C60,D60,E60,F60,G60,H60,I60,J60,K60,L60,M60,N60,O60,P60,Q60,R60,S60,T60,U60,V60,W60,X60,Y60,Z60,AA60,AB60,AC60,AD60,AE60,AF60,AG60,AH60,AI60,AJ60,AK60,AL60,AM60,AN60,AO60,AP60,AQ60,AR60,AS60,AT60,AU60,AV60,AW60,AX60,AY60,AZ60,BA60,BB60,BC60,BD60,BE60,BF60,BG60,BH60)</f>
        <v/>
      </c>
      <c r="C61" s="0" t="inlineStr">
        <is>
          <t>[2,</t>
        </is>
      </c>
      <c r="D61" s="203">
        <f>'Control Panel'!AG34</f>
        <v/>
      </c>
      <c r="E61" s="0" t="inlineStr">
        <is>
          <t>,1],[2,</t>
        </is>
      </c>
      <c r="F61" s="203">
        <f>$D$60</f>
        <v/>
      </c>
      <c r="G61" s="0" t="inlineStr">
        <is>
          <t>,2],[2,</t>
        </is>
      </c>
      <c r="H61" s="203">
        <f>$D$60</f>
        <v/>
      </c>
      <c r="I61" s="0" t="inlineStr">
        <is>
          <t>,3],[2,</t>
        </is>
      </c>
      <c r="J61" s="203">
        <f>$D$60</f>
        <v/>
      </c>
      <c r="K61" s="0" t="inlineStr">
        <is>
          <t>,4],[2,</t>
        </is>
      </c>
      <c r="L61" s="203">
        <f>$D$60</f>
        <v/>
      </c>
      <c r="M61" s="0" t="inlineStr">
        <is>
          <t>,5],</t>
        </is>
      </c>
    </row>
    <row r="62">
      <c r="A62" s="151" t="inlineStr">
        <is>
          <t xml:space="preserve">[2,5,6],[2,5,7],[2,5,8],[2,6,9],[2,5,10], </t>
        </is>
      </c>
      <c r="B62" s="0">
        <f>CONCATENATE(C61,D61,E61,F61,G61,H61,I61,J61,K61,L61,M61,N61,O61,P61,Q61,R61,S61,T61,U61,V61,W61,X61,Y61,Z61,AA61,AB61,AC61,AD61,AE61,AF61,AG61,AH61,AI61,AJ61,AK61,AL61,AM61,AN61,AO61,AP61,AQ61,AR61,AS61,AT61,AU61,AV61,AW61,AX61,AY61,AZ61,BA61,BB61,BC61,BD61,BE61,BF61,BG61,BH61)</f>
        <v/>
      </c>
      <c r="C62" s="0" t="inlineStr">
        <is>
          <t>[2,</t>
        </is>
      </c>
      <c r="D62" s="203">
        <f>$D$60</f>
        <v/>
      </c>
      <c r="E62" s="0" t="inlineStr">
        <is>
          <t>,6],[2,</t>
        </is>
      </c>
      <c r="F62" s="203">
        <f>$D$60</f>
        <v/>
      </c>
      <c r="G62" s="0" t="inlineStr">
        <is>
          <t>,7],[2,</t>
        </is>
      </c>
      <c r="H62" s="203">
        <f>$D$60</f>
        <v/>
      </c>
      <c r="I62" s="0" t="inlineStr">
        <is>
          <t>,8],[2,</t>
        </is>
      </c>
      <c r="J62" s="203">
        <f>$D$60</f>
        <v/>
      </c>
      <c r="K62" s="0" t="inlineStr">
        <is>
          <t>,9],[2,</t>
        </is>
      </c>
      <c r="L62" s="203">
        <f>$D$60</f>
        <v/>
      </c>
      <c r="M62" s="0" t="inlineStr">
        <is>
          <t>,10],</t>
        </is>
      </c>
    </row>
    <row r="63">
      <c r="A63" s="151" t="inlineStr">
        <is>
          <t xml:space="preserve">[2,5,11],[2,5,12],[2,0,13],[2,6,14],[2,5,15], </t>
        </is>
      </c>
      <c r="B63" s="0">
        <f>CONCATENATE(C62,D62,E62,F62,G62,H62,I62,J62,K62,L62,M62,N62,O62,P62,Q62,R62,S62,T62,U62,V62,W62,X62,Y62,Z62,AA62,AB62,AC62,AD62,AE62,AF62,AG62,AH62,AI62,AJ62,AK62,AL62,AM62,AN62,AO62,AP62,AQ62,AR62,AS62,AT62,AU62,AV62,AW62,AX62,AY62,AZ62,BA62,BB62,BC62,BD62,BE62,BF62,BG62,BH62)</f>
        <v/>
      </c>
      <c r="C63" s="0" t="inlineStr">
        <is>
          <t>[2,</t>
        </is>
      </c>
      <c r="D63" s="203">
        <f>$D$60</f>
        <v/>
      </c>
      <c r="E63" s="0" t="inlineStr">
        <is>
          <t>,11],[2,</t>
        </is>
      </c>
      <c r="F63" s="203">
        <f>$D$60</f>
        <v/>
      </c>
      <c r="G63" s="0" t="inlineStr">
        <is>
          <t>,12],[2,</t>
        </is>
      </c>
      <c r="H63" s="203" t="n">
        <v>0</v>
      </c>
      <c r="I63" s="0" t="inlineStr">
        <is>
          <t>,13],[2,</t>
        </is>
      </c>
      <c r="J63" s="203">
        <f>$D$60</f>
        <v/>
      </c>
      <c r="K63" s="0" t="inlineStr">
        <is>
          <t>,14],[2,</t>
        </is>
      </c>
      <c r="L63" s="203">
        <f>$D$60</f>
        <v/>
      </c>
      <c r="M63" s="0" t="inlineStr">
        <is>
          <t>,15],</t>
        </is>
      </c>
    </row>
    <row r="64">
      <c r="A64" s="151" t="inlineStr">
        <is>
          <t xml:space="preserve">[2,5,16],[2,5,17],[2,5,18],[2,6,19],[2,5,20], </t>
        </is>
      </c>
      <c r="B64" s="0">
        <f>CONCATENATE(C63,D63,E63,F63,G63,H63,I63,J63,K63,L63,M63,N63,O63,P63,Q63,R63,S63,T63,U63,V63,W63,X63,Y63,Z63,AA63,AB63,AC63,AD63,AE63,AF63,AG63,AH63,AI63,AJ63,AK63,AL63,AM63,AN63,AO63,AP63,AQ63,AR63,AS63,AT63,AU63,AV63,AW63,AX63,AY63,AZ63,BA63,BB63,BC63,BD63,BE63,BF63,BG63,BH63)</f>
        <v/>
      </c>
      <c r="C64" s="0" t="inlineStr">
        <is>
          <t>[2,</t>
        </is>
      </c>
      <c r="D64" s="203">
        <f>$D$60</f>
        <v/>
      </c>
      <c r="E64" s="0" t="inlineStr">
        <is>
          <t>,16],[2,</t>
        </is>
      </c>
      <c r="F64" s="203">
        <f>$D$60</f>
        <v/>
      </c>
      <c r="G64" s="0" t="inlineStr">
        <is>
          <t>,17],[2,</t>
        </is>
      </c>
      <c r="H64" s="203">
        <f>$D$60</f>
        <v/>
      </c>
      <c r="I64" s="0" t="inlineStr">
        <is>
          <t>,18],[2,</t>
        </is>
      </c>
      <c r="J64" s="203">
        <f>$D$60</f>
        <v/>
      </c>
      <c r="K64" s="0" t="inlineStr">
        <is>
          <t>,19],[2,</t>
        </is>
      </c>
      <c r="L64" s="203">
        <f>$D$60</f>
        <v/>
      </c>
      <c r="M64" s="0" t="inlineStr">
        <is>
          <t>,20],</t>
        </is>
      </c>
    </row>
    <row r="65">
      <c r="A65" s="151" t="inlineStr">
        <is>
          <t xml:space="preserve">[2,5,21],[2,5,22],[2,5,23],[2,6,24],[2,5,25], </t>
        </is>
      </c>
      <c r="B65" s="0">
        <f>CONCATENATE(C64,D64,E64,F64,G64,H64,I64,J64,K64,L64,M64,N64,O64,P64,Q64,R64,S64,T64,U64,V64,W64,X64,Y64,Z64,AA64,AB64,AC64,AD64,AE64,AF64,AG64,AH64,AI64,AJ64,AK64,AL64,AM64,AN64,AO64,AP64,AQ64,AR64,AS64,AT64,AU64,AV64,AW64,AX64,AY64,AZ64,BA64,BB64,BC64,BD64,BE64,BF64,BG64,BH64)</f>
        <v/>
      </c>
      <c r="C65" s="0" t="inlineStr">
        <is>
          <t>[2,</t>
        </is>
      </c>
      <c r="D65" s="203">
        <f>$D$60</f>
        <v/>
      </c>
      <c r="E65" s="0" t="inlineStr">
        <is>
          <t>,21],[2,</t>
        </is>
      </c>
      <c r="F65" s="203">
        <f>$D$60</f>
        <v/>
      </c>
      <c r="G65" s="0" t="inlineStr">
        <is>
          <t>,22],[2,</t>
        </is>
      </c>
      <c r="H65" s="203">
        <f>$D$60</f>
        <v/>
      </c>
      <c r="I65" s="0" t="inlineStr">
        <is>
          <t>,23],[2,</t>
        </is>
      </c>
      <c r="J65" s="203">
        <f>$D$60</f>
        <v/>
      </c>
      <c r="K65" s="0" t="inlineStr">
        <is>
          <t>,24],[2,</t>
        </is>
      </c>
      <c r="L65" s="203">
        <f>$D$60</f>
        <v/>
      </c>
      <c r="M65" s="0" t="inlineStr">
        <is>
          <t>,25],</t>
        </is>
      </c>
    </row>
    <row r="66">
      <c r="B66" s="0">
        <f>CONCATENATE(C65,D65,E65,F65,G65,H65,I65,J65,K65,L65,M65,N65,O65,P65,Q65,R65,S65,T65,U65,V65,W65,X65,Y65,Z65,AA65,AB65,AC65,AD65,AE65,AF65,AG65,AH65,AI65,AJ65,AK65,AL65,AM65,AN65,AO65,AP65,AQ65,AR65,AS65,AT65,AU65,AV65,AW65,AX65,AY65,AZ65,BA65,BB65,BC65,BD65,BE65,BF65,BG65,BH65)</f>
        <v/>
      </c>
    </row>
    <row r="67">
      <c r="A67" s="151" t="inlineStr">
        <is>
          <t xml:space="preserve">[3,5,1],[3,5,2],[3,5,3],[3,6,4],[3,5,5], </t>
        </is>
      </c>
      <c r="B67" s="0">
        <f>CONCATENATE(C66,D66,E66,F66,G66,H66,I66,J66,K66,L66,M66,N66,O66,P66,Q66,R66,S66,T66,U66,V66,W66,X66,Y66,Z66,AA66,AB66,AC66,AD66,AE66,AF66,AG66,AH66,AI66,AJ66,AK66,AL66,AM66,AN66,AO66,AP66,AQ66,AR66,AS66,AT66,AU66,AV66,AW66,AX66,AY66,AZ66,BA66,BB66,BC66,BD66,BE66,BF66,BG66,BH66)</f>
        <v/>
      </c>
      <c r="C67" s="0" t="inlineStr">
        <is>
          <t>[3,</t>
        </is>
      </c>
      <c r="D67" s="203">
        <f>'Control Panel'!AM34</f>
        <v/>
      </c>
      <c r="E67" s="0" t="inlineStr">
        <is>
          <t>,1],[3,</t>
        </is>
      </c>
      <c r="F67" s="203">
        <f>$D$66</f>
        <v/>
      </c>
      <c r="G67" s="0" t="inlineStr">
        <is>
          <t>,2],[3,</t>
        </is>
      </c>
      <c r="H67" s="203">
        <f>$D$66</f>
        <v/>
      </c>
      <c r="I67" s="0" t="inlineStr">
        <is>
          <t>,3],[3,</t>
        </is>
      </c>
      <c r="J67" s="203">
        <f>$D$66</f>
        <v/>
      </c>
      <c r="K67" s="0" t="inlineStr">
        <is>
          <t>,4],[3,</t>
        </is>
      </c>
      <c r="L67" s="203">
        <f>$D$66</f>
        <v/>
      </c>
      <c r="M67" s="0" t="inlineStr">
        <is>
          <t>,5],</t>
        </is>
      </c>
    </row>
    <row r="68">
      <c r="A68" s="151" t="inlineStr">
        <is>
          <t xml:space="preserve">[3,5,6],[3,5,7],[3,5,8],[3,6,9],[3,5,10], </t>
        </is>
      </c>
      <c r="B68" s="0">
        <f>CONCATENATE(C67,D67,E67,F67,G67,H67,I67,J67,K67,L67,M67,N67,O67,P67,Q67,R67,S67,T67,U67,V67,W67,X67,Y67,Z67,AA67,AB67,AC67,AD67,AE67,AF67,AG67,AH67,AI67,AJ67,AK67,AL67,AM67,AN67,AO67,AP67,AQ67,AR67,AS67,AT67,AU67,AV67,AW67,AX67,AY67,AZ67,BA67,BB67,BC67,BD67,BE67,BF67,BG67,BH67)</f>
        <v/>
      </c>
      <c r="C68" s="0" t="inlineStr">
        <is>
          <t>[3,</t>
        </is>
      </c>
      <c r="D68" s="203">
        <f>$D$66</f>
        <v/>
      </c>
      <c r="E68" s="0" t="inlineStr">
        <is>
          <t>,6],[3,</t>
        </is>
      </c>
      <c r="F68" s="203">
        <f>$D$66</f>
        <v/>
      </c>
      <c r="G68" s="0" t="inlineStr">
        <is>
          <t>,7],[3,</t>
        </is>
      </c>
      <c r="H68" s="203">
        <f>$D$66</f>
        <v/>
      </c>
      <c r="I68" s="0" t="inlineStr">
        <is>
          <t>,8],[3,</t>
        </is>
      </c>
      <c r="J68" s="203">
        <f>$D$66</f>
        <v/>
      </c>
      <c r="K68" s="0" t="inlineStr">
        <is>
          <t>,9],[3,</t>
        </is>
      </c>
      <c r="L68" s="203">
        <f>$D$66</f>
        <v/>
      </c>
      <c r="M68" s="0" t="inlineStr">
        <is>
          <t>,10],</t>
        </is>
      </c>
    </row>
    <row r="69">
      <c r="A69" s="151" t="inlineStr">
        <is>
          <t xml:space="preserve">[3,5,11],[3,5,12],[3,0,13],[3,6,14],[3,5,15], </t>
        </is>
      </c>
      <c r="B69" s="0">
        <f>CONCATENATE(C68,D68,E68,F68,G68,H68,I68,J68,K68,L68,M68,N68,O68,P68,Q68,R68,S68,T68,U68,V68,W68,X68,Y68,Z68,AA68,AB68,AC68,AD68,AE68,AF68,AG68,AH68,AI68,AJ68,AK68,AL68,AM68,AN68,AO68,AP68,AQ68,AR68,AS68,AT68,AU68,AV68,AW68,AX68,AY68,AZ68,BA68,BB68,BC68,BD68,BE68,BF68,BG68,BH68)</f>
        <v/>
      </c>
      <c r="C69" s="0" t="inlineStr">
        <is>
          <t>[3,</t>
        </is>
      </c>
      <c r="D69" s="203">
        <f>$D$66</f>
        <v/>
      </c>
      <c r="E69" s="0" t="inlineStr">
        <is>
          <t>,11],[3,</t>
        </is>
      </c>
      <c r="F69" s="203">
        <f>$D$66</f>
        <v/>
      </c>
      <c r="G69" s="0" t="inlineStr">
        <is>
          <t>,12],[3,</t>
        </is>
      </c>
      <c r="H69" s="203" t="n">
        <v>0</v>
      </c>
      <c r="I69" s="0" t="inlineStr">
        <is>
          <t>,13],[3,</t>
        </is>
      </c>
      <c r="J69" s="203">
        <f>$D$66</f>
        <v/>
      </c>
      <c r="K69" s="0" t="inlineStr">
        <is>
          <t>,14],[3,</t>
        </is>
      </c>
      <c r="L69" s="203">
        <f>$D$66</f>
        <v/>
      </c>
      <c r="M69" s="0" t="inlineStr">
        <is>
          <t>,15],</t>
        </is>
      </c>
    </row>
    <row r="70">
      <c r="A70" s="151" t="inlineStr">
        <is>
          <t xml:space="preserve">[3,5,16],[3,5,17],[3,5,18],[3,6,19],[3,5,20], </t>
        </is>
      </c>
      <c r="B70" s="0">
        <f>CONCATENATE(C69,D69,E69,F69,G69,H69,I69,J69,K69,L69,M69,N69,O69,P69,Q69,R69,S69,T69,U69,V69,W69,X69,Y69,Z69,AA69,AB69,AC69,AD69,AE69,AF69,AG69,AH69,AI69,AJ69,AK69,AL69,AM69,AN69,AO69,AP69,AQ69,AR69,AS69,AT69,AU69,AV69,AW69,AX69,AY69,AZ69,BA69,BB69,BC69,BD69,BE69,BF69,BG69,BH69)</f>
        <v/>
      </c>
      <c r="C70" s="0" t="inlineStr">
        <is>
          <t>[3,</t>
        </is>
      </c>
      <c r="D70" s="203">
        <f>$D$66</f>
        <v/>
      </c>
      <c r="E70" s="0" t="inlineStr">
        <is>
          <t>,16],[3,</t>
        </is>
      </c>
      <c r="F70" s="203">
        <f>$D$66</f>
        <v/>
      </c>
      <c r="G70" s="0" t="inlineStr">
        <is>
          <t>,17],[3,</t>
        </is>
      </c>
      <c r="H70" s="203">
        <f>$D$66</f>
        <v/>
      </c>
      <c r="I70" s="0" t="inlineStr">
        <is>
          <t>,18],[3,</t>
        </is>
      </c>
      <c r="J70" s="203">
        <f>$D$66</f>
        <v/>
      </c>
      <c r="K70" s="0" t="inlineStr">
        <is>
          <t>,19],[3,</t>
        </is>
      </c>
      <c r="L70" s="203">
        <f>$D$66</f>
        <v/>
      </c>
      <c r="M70" s="0" t="inlineStr">
        <is>
          <t>,20],</t>
        </is>
      </c>
    </row>
    <row r="71">
      <c r="A71" s="151" t="inlineStr">
        <is>
          <t xml:space="preserve">[3,5,21],[3,5,22],[3,5,23],[3,6,24],[3,5,25], </t>
        </is>
      </c>
      <c r="B71" s="0">
        <f>CONCATENATE(C70,D70,E70,F70,G70,H70,I70,J70,K70,L70,M70,N70,O70,P70,Q70,R70,S70,T70,U70,V70,W70,X70,Y70,Z70,AA70,AB70,AC70,AD70,AE70,AF70,AG70,AH70,AI70,AJ70,AK70,AL70,AM70,AN70,AO70,AP70,AQ70,AR70,AS70,AT70,AU70,AV70,AW70,AX70,AY70,AZ70,BA70,BB70,BC70,BD70,BE70,BF70,BG70,BH70)</f>
        <v/>
      </c>
      <c r="C71" s="0" t="inlineStr">
        <is>
          <t>[3,</t>
        </is>
      </c>
      <c r="D71" s="203">
        <f>$D$66</f>
        <v/>
      </c>
      <c r="E71" s="0" t="inlineStr">
        <is>
          <t>,21],[3,</t>
        </is>
      </c>
      <c r="F71" s="203">
        <f>$D$66</f>
        <v/>
      </c>
      <c r="G71" s="0" t="inlineStr">
        <is>
          <t>,22],[3,</t>
        </is>
      </c>
      <c r="H71" s="203">
        <f>$D$66</f>
        <v/>
      </c>
      <c r="I71" s="0" t="inlineStr">
        <is>
          <t>,23],[3,</t>
        </is>
      </c>
      <c r="J71" s="203">
        <f>$D$66</f>
        <v/>
      </c>
      <c r="K71" s="0" t="inlineStr">
        <is>
          <t>,24],[3,</t>
        </is>
      </c>
      <c r="L71" s="203">
        <f>$D$66</f>
        <v/>
      </c>
      <c r="M71" s="0" t="inlineStr">
        <is>
          <t>,25],</t>
        </is>
      </c>
    </row>
    <row r="72">
      <c r="B72" s="0">
        <f>CONCATENATE(C71,D71,E71,F71,G71,H71,I71,J71,K71,L71,M71,N71,O71,P71,Q71,R71,S71,T71,U71,V71,W71,X71,Y71,Z71,AA71,AB71,AC71,AD71,AE71,AF71,AG71,AH71,AI71,AJ71,AK71,AL71,AM71,AN71,AO71,AP71,AQ71,AR71,AS71,AT71,AU71,AV71,AW71,AX71,AY71,AZ71,BA71,BB71,BC71,BD71,BE71,BF71,BG71,BH71)</f>
        <v/>
      </c>
    </row>
    <row r="73">
      <c r="A73" s="151" t="inlineStr">
        <is>
          <t xml:space="preserve">[4,5,1],[4,5,2],[4,5,3],[4,6,4],[4,5,5], </t>
        </is>
      </c>
      <c r="B73" s="0">
        <f>CONCATENATE(C72,D72,E72,F72,G72,H72,I72,J72,K72,L72,M72,N72,O72,P72,Q72,R72,S72,T72,U72,V72,W72,X72,Y72,Z72,AA72,AB72,AC72,AD72,AE72,AF72,AG72,AH72,AI72,AJ72,AK72,AL72,AM72,AN72,AO72,AP72,AQ72,AR72,AS72,AT72,AU72,AV72,AW72,AX72,AY72,AZ72,BA72,BB72,BC72,BD72,BE72,BF72,BG72,BH72)</f>
        <v/>
      </c>
      <c r="C73" s="0" t="inlineStr">
        <is>
          <t>[4,</t>
        </is>
      </c>
      <c r="D73" s="203">
        <f>'Control Panel'!AS34</f>
        <v/>
      </c>
      <c r="E73" s="0" t="inlineStr">
        <is>
          <t>,1],[4,</t>
        </is>
      </c>
      <c r="F73" s="203">
        <f>$D$72</f>
        <v/>
      </c>
      <c r="G73" s="0" t="inlineStr">
        <is>
          <t>,2],[4,</t>
        </is>
      </c>
      <c r="H73" s="203">
        <f>$D$72</f>
        <v/>
      </c>
      <c r="I73" s="0" t="inlineStr">
        <is>
          <t>,3],[4,</t>
        </is>
      </c>
      <c r="J73" s="203">
        <f>$D$72</f>
        <v/>
      </c>
      <c r="K73" s="0" t="inlineStr">
        <is>
          <t>,4],[4,</t>
        </is>
      </c>
      <c r="L73" s="203">
        <f>$D$72</f>
        <v/>
      </c>
      <c r="M73" s="0" t="inlineStr">
        <is>
          <t>,5],</t>
        </is>
      </c>
    </row>
    <row r="74">
      <c r="A74" s="151" t="inlineStr">
        <is>
          <t xml:space="preserve">[4,5,6],[4,5,7],[4,5,8],[4,6,9],[4,5,10], </t>
        </is>
      </c>
      <c r="B74" s="0">
        <f>CONCATENATE(C73,D73,E73,F73,G73,H73,I73,J73,K73,L73,M73,N73,O73,P73,Q73,R73,S73,T73,U73,V73,W73,X73,Y73,Z73,AA73,AB73,AC73,AD73,AE73,AF73,AG73,AH73,AI73,AJ73,AK73,AL73,AM73,AN73,AO73,AP73,AQ73,AR73,AS73,AT73,AU73,AV73,AW73,AX73,AY73,AZ73,BA73,BB73,BC73,BD73,BE73,BF73,BG73,BH73)</f>
        <v/>
      </c>
      <c r="C74" s="0" t="inlineStr">
        <is>
          <t>[4,</t>
        </is>
      </c>
      <c r="D74" s="203">
        <f>$D$72</f>
        <v/>
      </c>
      <c r="E74" s="0" t="inlineStr">
        <is>
          <t>,6],[4,</t>
        </is>
      </c>
      <c r="F74" s="203">
        <f>$D$72</f>
        <v/>
      </c>
      <c r="G74" s="0" t="inlineStr">
        <is>
          <t>,7],[4,</t>
        </is>
      </c>
      <c r="H74" s="203">
        <f>$D$72</f>
        <v/>
      </c>
      <c r="I74" s="0" t="inlineStr">
        <is>
          <t>,8],[4,</t>
        </is>
      </c>
      <c r="J74" s="203">
        <f>$D$72</f>
        <v/>
      </c>
      <c r="K74" s="0" t="inlineStr">
        <is>
          <t>,9],[4,</t>
        </is>
      </c>
      <c r="L74" s="203">
        <f>$D$72</f>
        <v/>
      </c>
      <c r="M74" s="0" t="inlineStr">
        <is>
          <t>,10],</t>
        </is>
      </c>
    </row>
    <row r="75">
      <c r="A75" s="151" t="inlineStr">
        <is>
          <t xml:space="preserve">[4,5,11],[4,5,12],[4,0,13],[4,6,14],[4,5,15], </t>
        </is>
      </c>
      <c r="B75" s="0">
        <f>CONCATENATE(C74,D74,E74,F74,G74,H74,I74,J74,K74,L74,M74,N74,O74,P74,Q74,R74,S74,T74,U74,V74,W74,X74,Y74,Z74,AA74,AB74,AC74,AD74,AE74,AF74,AG74,AH74,AI74,AJ74,AK74,AL74,AM74,AN74,AO74,AP74,AQ74,AR74,AS74,AT74,AU74,AV74,AW74,AX74,AY74,AZ74,BA74,BB74,BC74,BD74,BE74,BF74,BG74,BH74)</f>
        <v/>
      </c>
      <c r="C75" s="0" t="inlineStr">
        <is>
          <t>[4,</t>
        </is>
      </c>
      <c r="D75" s="203">
        <f>$D$72</f>
        <v/>
      </c>
      <c r="E75" s="0" t="inlineStr">
        <is>
          <t>,11],[4,</t>
        </is>
      </c>
      <c r="F75" s="203">
        <f>$D$72</f>
        <v/>
      </c>
      <c r="G75" s="0" t="inlineStr">
        <is>
          <t>,12],[4,</t>
        </is>
      </c>
      <c r="H75" s="203" t="n">
        <v>0</v>
      </c>
      <c r="I75" s="0" t="inlineStr">
        <is>
          <t>,13],[4,</t>
        </is>
      </c>
      <c r="J75" s="203">
        <f>$D$72</f>
        <v/>
      </c>
      <c r="K75" s="0" t="inlineStr">
        <is>
          <t>,14],[4,</t>
        </is>
      </c>
      <c r="L75" s="203">
        <f>$D$72</f>
        <v/>
      </c>
      <c r="M75" s="0" t="inlineStr">
        <is>
          <t>,15],</t>
        </is>
      </c>
    </row>
    <row r="76">
      <c r="A76" s="151" t="inlineStr">
        <is>
          <t xml:space="preserve">[4,5,16],[4,5,17],[4,5,18],[4,6,19],[4,5,20], </t>
        </is>
      </c>
      <c r="B76" s="0">
        <f>CONCATENATE(C75,D75,E75,F75,G75,H75,I75,J75,K75,L75,M75,N75,O75,P75,Q75,R75,S75,T75,U75,V75,W75,X75,Y75,Z75,AA75,AB75,AC75,AD75,AE75,AF75,AG75,AH75,AI75,AJ75,AK75,AL75,AM75,AN75,AO75,AP75,AQ75,AR75,AS75,AT75,AU75,AV75,AW75,AX75,AY75,AZ75,BA75,BB75,BC75,BD75,BE75,BF75,BG75,BH75)</f>
        <v/>
      </c>
      <c r="C76" s="0" t="inlineStr">
        <is>
          <t>[4,</t>
        </is>
      </c>
      <c r="D76" s="203">
        <f>$D$72</f>
        <v/>
      </c>
      <c r="E76" s="0" t="inlineStr">
        <is>
          <t>,16],[4,</t>
        </is>
      </c>
      <c r="F76" s="203">
        <f>$D$72</f>
        <v/>
      </c>
      <c r="G76" s="0" t="inlineStr">
        <is>
          <t>,17],[4,</t>
        </is>
      </c>
      <c r="H76" s="203">
        <f>$D$72</f>
        <v/>
      </c>
      <c r="I76" s="0" t="inlineStr">
        <is>
          <t>,18],[4,</t>
        </is>
      </c>
      <c r="J76" s="203">
        <f>$D$72</f>
        <v/>
      </c>
      <c r="K76" s="0" t="inlineStr">
        <is>
          <t>,19],[4,</t>
        </is>
      </c>
      <c r="L76" s="203">
        <f>$D$72</f>
        <v/>
      </c>
      <c r="M76" s="0" t="inlineStr">
        <is>
          <t>,20],</t>
        </is>
      </c>
    </row>
    <row r="77">
      <c r="A77" s="151" t="inlineStr">
        <is>
          <t xml:space="preserve">[4,5,21],[4,5,22],[4,5,23],[4,6,24],[4,5,25], </t>
        </is>
      </c>
      <c r="B77" s="0">
        <f>CONCATENATE(C76,D76,E76,F76,G76,H76,I76,J76,K76,L76,M76,N76,O76,P76,Q76,R76,S76,T76,U76,V76,W76,X76,Y76,Z76,AA76,AB76,AC76,AD76,AE76,AF76,AG76,AH76,AI76,AJ76,AK76,AL76,AM76,AN76,AO76,AP76,AQ76,AR76,AS76,AT76,AU76,AV76,AW76,AX76,AY76,AZ76,BA76,BB76,BC76,BD76,BE76,BF76,BG76,BH76)</f>
        <v/>
      </c>
      <c r="C77" s="0" t="inlineStr">
        <is>
          <t>[4,</t>
        </is>
      </c>
      <c r="D77" s="203">
        <f>$D$72</f>
        <v/>
      </c>
      <c r="E77" s="0" t="inlineStr">
        <is>
          <t>,21],[4,</t>
        </is>
      </c>
      <c r="F77" s="203">
        <f>$D$72</f>
        <v/>
      </c>
      <c r="G77" s="0" t="inlineStr">
        <is>
          <t>,22],[4,</t>
        </is>
      </c>
      <c r="H77" s="203">
        <f>$D$72</f>
        <v/>
      </c>
      <c r="I77" s="0" t="inlineStr">
        <is>
          <t>,23],[4,</t>
        </is>
      </c>
      <c r="J77" s="203">
        <f>$D$72</f>
        <v/>
      </c>
      <c r="K77" s="0" t="inlineStr">
        <is>
          <t>,24],[4,</t>
        </is>
      </c>
      <c r="L77" s="203">
        <f>$D$72</f>
        <v/>
      </c>
      <c r="M77" s="0" t="inlineStr">
        <is>
          <t>,25],</t>
        </is>
      </c>
    </row>
    <row r="78">
      <c r="B78" s="0">
        <f>CONCATENATE(C77,D77,E77,F77,G77,H77,I77,J77,K77,L77,M77,N77,O77,P77,Q77,R77,S77,T77,U77,V77,W77,X77,Y77,Z77,AA77,AB77,AC77,AD77,AE77,AF77,AG77,AH77,AI77,AJ77,AK77,AL77,AM77,AN77,AO77,AP77,AQ77,AR77,AS77,AT77,AU77,AV77,AW77,AX77,AY77,AZ77,BA77,BB77,BC77,BD77,BE77,BF77,BG77,BH77)</f>
        <v/>
      </c>
    </row>
    <row r="79">
      <c r="A79" s="151" t="inlineStr">
        <is>
          <t xml:space="preserve">[5,5,1],[5,5,2],[5,5,3],[5,6,4],[5,5,5], </t>
        </is>
      </c>
      <c r="B79" s="0">
        <f>CONCATENATE(C78,D78,E78,F78,G78,H78,I78,J78,K78,L78,M78,N78,O78,P78,Q78,R78,S78,T78,U78,V78,W78,X78,Y78,Z78,AA78,AB78,AC78,AD78,AE78,AF78,AG78,AH78,AI78,AJ78,AK78,AL78,AM78,AN78,AO78,AP78,AQ78,AR78,AS78,AT78,AU78,AV78,AW78,AX78,AY78,AZ78,BA78,BB78,BC78,BD78,BE78,BF78,BG78,BH78)</f>
        <v/>
      </c>
      <c r="C79" s="0" t="inlineStr">
        <is>
          <t>[5,</t>
        </is>
      </c>
      <c r="D79" s="203">
        <f>'Control Panel'!AA41</f>
        <v/>
      </c>
      <c r="E79" s="0" t="inlineStr">
        <is>
          <t>,1],[5,</t>
        </is>
      </c>
      <c r="F79" s="203">
        <f>$D$78</f>
        <v/>
      </c>
      <c r="G79" s="0" t="inlineStr">
        <is>
          <t>,2],[5,</t>
        </is>
      </c>
      <c r="H79" s="203">
        <f>$D$78</f>
        <v/>
      </c>
      <c r="I79" s="0" t="inlineStr">
        <is>
          <t>,3],[5,</t>
        </is>
      </c>
      <c r="J79" s="203">
        <f>$D$78</f>
        <v/>
      </c>
      <c r="K79" s="0" t="inlineStr">
        <is>
          <t>,4],[5,</t>
        </is>
      </c>
      <c r="L79" s="203">
        <f>$D$78</f>
        <v/>
      </c>
      <c r="M79" s="0" t="inlineStr">
        <is>
          <t>,5],</t>
        </is>
      </c>
    </row>
    <row r="80">
      <c r="A80" s="151" t="inlineStr">
        <is>
          <t xml:space="preserve">[5,5,6],[5,5,7],[5,5,8],[5,6,9],[5,5,10], </t>
        </is>
      </c>
      <c r="B80" s="0">
        <f>CONCATENATE(C79,D79,E79,F79,G79,H79,I79,J79,K79,L79,M79,N79,O79,P79,Q79,R79,S79,T79,U79,V79,W79,X79,Y79,Z79,AA79,AB79,AC79,AD79,AE79,AF79,AG79,AH79,AI79,AJ79,AK79,AL79,AM79,AN79,AO79,AP79,AQ79,AR79,AS79,AT79,AU79,AV79,AW79,AX79,AY79,AZ79,BA79,BB79,BC79,BD79,BE79,BF79,BG79,BH79)</f>
        <v/>
      </c>
      <c r="C80" s="0" t="inlineStr">
        <is>
          <t>[5,</t>
        </is>
      </c>
      <c r="D80" s="203">
        <f>$D$78</f>
        <v/>
      </c>
      <c r="E80" s="0" t="inlineStr">
        <is>
          <t>,6],[5,</t>
        </is>
      </c>
      <c r="F80" s="203">
        <f>$D$78</f>
        <v/>
      </c>
      <c r="G80" s="0" t="inlineStr">
        <is>
          <t>,7],[5,</t>
        </is>
      </c>
      <c r="H80" s="203">
        <f>$D$78</f>
        <v/>
      </c>
      <c r="I80" s="0" t="inlineStr">
        <is>
          <t>,8],[5,</t>
        </is>
      </c>
      <c r="J80" s="203">
        <f>$D$78</f>
        <v/>
      </c>
      <c r="K80" s="0" t="inlineStr">
        <is>
          <t>,9],[5,</t>
        </is>
      </c>
      <c r="L80" s="203">
        <f>$D$78</f>
        <v/>
      </c>
      <c r="M80" s="0" t="inlineStr">
        <is>
          <t>,10],</t>
        </is>
      </c>
    </row>
    <row r="81">
      <c r="A81" s="151" t="inlineStr">
        <is>
          <t xml:space="preserve">[5,5,11],[5,5,12],[5,0,13],[5,6,14],[5,5,15], </t>
        </is>
      </c>
      <c r="B81" s="0">
        <f>CONCATENATE(C80,D80,E80,F80,G80,H80,I80,J80,K80,L80,M80,N80,O80,P80,Q80,R80,S80,T80,U80,V80,W80,X80,Y80,Z80,AA80,AB80,AC80,AD80,AE80,AF80,AG80,AH80,AI80,AJ80,AK80,AL80,AM80,AN80,AO80,AP80,AQ80,AR80,AS80,AT80,AU80,AV80,AW80,AX80,AY80,AZ80,BA80,BB80,BC80,BD80,BE80,BF80,BG80,BH80)</f>
        <v/>
      </c>
      <c r="C81" s="0" t="inlineStr">
        <is>
          <t>[5,</t>
        </is>
      </c>
      <c r="D81" s="203">
        <f>$D$78</f>
        <v/>
      </c>
      <c r="E81" s="0" t="inlineStr">
        <is>
          <t>,11],[5,</t>
        </is>
      </c>
      <c r="F81" s="203">
        <f>$D$78</f>
        <v/>
      </c>
      <c r="G81" s="0" t="inlineStr">
        <is>
          <t>,12],[5,</t>
        </is>
      </c>
      <c r="H81" s="203" t="n">
        <v>0</v>
      </c>
      <c r="I81" s="0" t="inlineStr">
        <is>
          <t>,13],[5,</t>
        </is>
      </c>
      <c r="J81" s="203">
        <f>$D$78</f>
        <v/>
      </c>
      <c r="K81" s="0" t="inlineStr">
        <is>
          <t>,14],[5,</t>
        </is>
      </c>
      <c r="L81" s="203">
        <f>$D$78</f>
        <v/>
      </c>
      <c r="M81" s="0" t="inlineStr">
        <is>
          <t>,15],</t>
        </is>
      </c>
    </row>
    <row r="82">
      <c r="A82" s="151" t="inlineStr">
        <is>
          <t xml:space="preserve">[5,5,16],[5,5,17],[5,5,18],[5,6,19],[5,5,20], </t>
        </is>
      </c>
      <c r="B82" s="0">
        <f>CONCATENATE(C81,D81,E81,F81,G81,H81,I81,J81,K81,L81,M81,N81,O81,P81,Q81,R81,S81,T81,U81,V81,W81,X81,Y81,Z81,AA81,AB81,AC81,AD81,AE81,AF81,AG81,AH81,AI81,AJ81,AK81,AL81,AM81,AN81,AO81,AP81,AQ81,AR81,AS81,AT81,AU81,AV81,AW81,AX81,AY81,AZ81,BA81,BB81,BC81,BD81,BE81,BF81,BG81,BH81)</f>
        <v/>
      </c>
      <c r="C82" s="0" t="inlineStr">
        <is>
          <t>[5,</t>
        </is>
      </c>
      <c r="D82" s="203">
        <f>$D$78</f>
        <v/>
      </c>
      <c r="E82" s="0" t="inlineStr">
        <is>
          <t>,16],[5,</t>
        </is>
      </c>
      <c r="F82" s="203">
        <f>$D$78</f>
        <v/>
      </c>
      <c r="G82" s="0" t="inlineStr">
        <is>
          <t>,17],[5,</t>
        </is>
      </c>
      <c r="H82" s="203">
        <f>$D$78</f>
        <v/>
      </c>
      <c r="I82" s="0" t="inlineStr">
        <is>
          <t>,18],[5,</t>
        </is>
      </c>
      <c r="J82" s="203">
        <f>$D$78</f>
        <v/>
      </c>
      <c r="K82" s="0" t="inlineStr">
        <is>
          <t>,19],[5,</t>
        </is>
      </c>
      <c r="L82" s="203">
        <f>$D$78</f>
        <v/>
      </c>
      <c r="M82" s="0" t="inlineStr">
        <is>
          <t>,20],</t>
        </is>
      </c>
    </row>
    <row r="83">
      <c r="A83" s="151" t="inlineStr">
        <is>
          <t xml:space="preserve">[5,5,21],[5,5,22],[5,5,23],[5,6,24],[5,5,25], </t>
        </is>
      </c>
      <c r="B83" s="0">
        <f>CONCATENATE(C82,D82,E82,F82,G82,H82,I82,J82,K82,L82,M82,N82,O82,P82,Q82,R82,S82,T82,U82,V82,W82,X82,Y82,Z82,AA82,AB82,AC82,AD82,AE82,AF82,AG82,AH82,AI82,AJ82,AK82,AL82,AM82,AN82,AO82,AP82,AQ82,AR82,AS82,AT82,AU82,AV82,AW82,AX82,AY82,AZ82,BA82,BB82,BC82,BD82,BE82,BF82,BG82,BH82)</f>
        <v/>
      </c>
      <c r="C83" s="0" t="inlineStr">
        <is>
          <t>[5,</t>
        </is>
      </c>
      <c r="D83" s="203">
        <f>$D$78</f>
        <v/>
      </c>
      <c r="E83" s="0" t="inlineStr">
        <is>
          <t>,21],[5,</t>
        </is>
      </c>
      <c r="F83" s="203">
        <f>$D$78</f>
        <v/>
      </c>
      <c r="G83" s="0" t="inlineStr">
        <is>
          <t>,22],[5,</t>
        </is>
      </c>
      <c r="H83" s="203">
        <f>$D$78</f>
        <v/>
      </c>
      <c r="I83" s="0" t="inlineStr">
        <is>
          <t>,23],[5,</t>
        </is>
      </c>
      <c r="J83" s="203">
        <f>$D$78</f>
        <v/>
      </c>
      <c r="K83" s="0" t="inlineStr">
        <is>
          <t>,24],[5,</t>
        </is>
      </c>
      <c r="L83" s="203">
        <f>$D$78</f>
        <v/>
      </c>
      <c r="M83" s="0" t="inlineStr">
        <is>
          <t>,25],</t>
        </is>
      </c>
    </row>
    <row r="84">
      <c r="B84" s="0">
        <f>CONCATENATE(C83,D83,E83,F83,G83,H83,I83,J83,K83,L83,M83,N83,O83,P83,Q83,R83,S83,T83,U83,V83,W83,X83,Y83,Z83,AA83,AB83,AC83,AD83,AE83,AF83,AG83,AH83,AI83,AJ83,AK83,AL83,AM83,AN83,AO83,AP83,AQ83,AR83,AS83,AT83,AU83,AV83,AW83,AX83,AY83,AZ83,BA83,BB83,BC83,BD83,BE83,BF83,BG83,BH83)</f>
        <v/>
      </c>
    </row>
    <row r="85">
      <c r="A85" s="151" t="inlineStr">
        <is>
          <t xml:space="preserve">[6,5,1],[6,5,2],[6,5,3],[6,6,4],[6,5,5], </t>
        </is>
      </c>
      <c r="B85" s="0">
        <f>CONCATENATE(C84,D84,E84,F84,G84,H84,I84,J84,K84,L84,M84,N84,O84,P84,Q84,R84,S84,T84,U84,V84,W84,X84,Y84,Z84,AA84,AB84,AC84,AD84,AE84,AF84,AG84,AH84,AI84,AJ84,AK84,AL84,AM84,AN84,AO84,AP84,AQ84,AR84,AS84,AT84,AU84,AV84,AW84,AX84,AY84,AZ84,BA84,BB84,BC84,BD84,BE84,BF84,BG84,BH84)</f>
        <v/>
      </c>
      <c r="C85" s="0" t="inlineStr">
        <is>
          <t>[6,</t>
        </is>
      </c>
      <c r="D85" s="203">
        <f>'Control Panel'!AG41</f>
        <v/>
      </c>
      <c r="E85" s="0" t="inlineStr">
        <is>
          <t>,1],[6,</t>
        </is>
      </c>
      <c r="F85" s="203">
        <f>$D$84</f>
        <v/>
      </c>
      <c r="G85" s="0" t="inlineStr">
        <is>
          <t>,2],[6,</t>
        </is>
      </c>
      <c r="H85" s="203">
        <f>$D$84</f>
        <v/>
      </c>
      <c r="I85" s="0" t="inlineStr">
        <is>
          <t>,3],[6,</t>
        </is>
      </c>
      <c r="J85" s="203">
        <f>$D$84</f>
        <v/>
      </c>
      <c r="K85" s="0" t="inlineStr">
        <is>
          <t>,4],[6,</t>
        </is>
      </c>
      <c r="L85" s="203">
        <f>$D$84</f>
        <v/>
      </c>
      <c r="M85" s="0" t="inlineStr">
        <is>
          <t>,5],</t>
        </is>
      </c>
    </row>
    <row r="86">
      <c r="A86" s="151" t="inlineStr">
        <is>
          <t xml:space="preserve">[6,5,6],[6,5,7],[6,5,8],[6,6,9],[6,5,10], </t>
        </is>
      </c>
      <c r="B86" s="0">
        <f>CONCATENATE(C85,D85,E85,F85,G85,H85,I85,J85,K85,L85,M85,N85,O85,P85,Q85,R85,S85,T85,U85,V85,W85,X85,Y85,Z85,AA85,AB85,AC85,AD85,AE85,AF85,AG85,AH85,AI85,AJ85,AK85,AL85,AM85,AN85,AO85,AP85,AQ85,AR85,AS85,AT85,AU85,AV85,AW85,AX85,AY85,AZ85,BA85,BB85,BC85,BD85,BE85,BF85,BG85,BH85)</f>
        <v/>
      </c>
      <c r="C86" s="0" t="inlineStr">
        <is>
          <t>[6,</t>
        </is>
      </c>
      <c r="D86" s="203">
        <f>$D$84</f>
        <v/>
      </c>
      <c r="E86" s="0" t="inlineStr">
        <is>
          <t>,6],[6,</t>
        </is>
      </c>
      <c r="F86" s="203">
        <f>$D$84</f>
        <v/>
      </c>
      <c r="G86" s="0" t="inlineStr">
        <is>
          <t>,7],[6,</t>
        </is>
      </c>
      <c r="H86" s="203">
        <f>$D$84</f>
        <v/>
      </c>
      <c r="I86" s="0" t="inlineStr">
        <is>
          <t>,8],[6,</t>
        </is>
      </c>
      <c r="J86" s="203">
        <f>$D$84</f>
        <v/>
      </c>
      <c r="K86" s="0" t="inlineStr">
        <is>
          <t>,9],[6,</t>
        </is>
      </c>
      <c r="L86" s="203">
        <f>$D$84</f>
        <v/>
      </c>
      <c r="M86" s="0" t="inlineStr">
        <is>
          <t>,10],</t>
        </is>
      </c>
    </row>
    <row r="87">
      <c r="A87" s="151" t="inlineStr">
        <is>
          <t xml:space="preserve">[6,5,11],[6,5,12],[6,0,13],[6,6,14],[6,5,15], </t>
        </is>
      </c>
      <c r="B87" s="0">
        <f>CONCATENATE(C86,D86,E86,F86,G86,H86,I86,J86,K86,L86,M86,N86,O86,P86,Q86,R86,S86,T86,U86,V86,W86,X86,Y86,Z86,AA86,AB86,AC86,AD86,AE86,AF86,AG86,AH86,AI86,AJ86,AK86,AL86,AM86,AN86,AO86,AP86,AQ86,AR86,AS86,AT86,AU86,AV86,AW86,AX86,AY86,AZ86,BA86,BB86,BC86,BD86,BE86,BF86,BG86,BH86)</f>
        <v/>
      </c>
      <c r="C87" s="0" t="inlineStr">
        <is>
          <t>[6,</t>
        </is>
      </c>
      <c r="D87" s="203">
        <f>$D$84</f>
        <v/>
      </c>
      <c r="E87" s="0" t="inlineStr">
        <is>
          <t>,11],[6,</t>
        </is>
      </c>
      <c r="F87" s="203">
        <f>$D$84</f>
        <v/>
      </c>
      <c r="G87" s="0" t="inlineStr">
        <is>
          <t>,12],[6,</t>
        </is>
      </c>
      <c r="H87" s="203" t="n">
        <v>0</v>
      </c>
      <c r="I87" s="0" t="inlineStr">
        <is>
          <t>,13],[6,</t>
        </is>
      </c>
      <c r="J87" s="203">
        <f>$D$84</f>
        <v/>
      </c>
      <c r="K87" s="0" t="inlineStr">
        <is>
          <t>,14],[6,</t>
        </is>
      </c>
      <c r="L87" s="203">
        <f>$D$84</f>
        <v/>
      </c>
      <c r="M87" s="0" t="inlineStr">
        <is>
          <t>,15],</t>
        </is>
      </c>
    </row>
    <row r="88">
      <c r="A88" s="151" t="inlineStr">
        <is>
          <t xml:space="preserve">[6,5,16],[6,5,17],[6,5,18],[6,6,19],[6,5,20], </t>
        </is>
      </c>
      <c r="B88" s="0">
        <f>CONCATENATE(C87,D87,E87,F87,G87,H87,I87,J87,K87,L87,M87,N87,O87,P87,Q87,R87,S87,T87,U87,V87,W87,X87,Y87,Z87,AA87,AB87,AC87,AD87,AE87,AF87,AG87,AH87,AI87,AJ87,AK87,AL87,AM87,AN87,AO87,AP87,AQ87,AR87,AS87,AT87,AU87,AV87,AW87,AX87,AY87,AZ87,BA87,BB87,BC87,BD87,BE87,BF87,BG87,BH87)</f>
        <v/>
      </c>
      <c r="C88" s="0" t="inlineStr">
        <is>
          <t>[6,</t>
        </is>
      </c>
      <c r="D88" s="203">
        <f>$D$84</f>
        <v/>
      </c>
      <c r="E88" s="0" t="inlineStr">
        <is>
          <t>,16],[6,</t>
        </is>
      </c>
      <c r="F88" s="203">
        <f>$D$84</f>
        <v/>
      </c>
      <c r="G88" s="0" t="inlineStr">
        <is>
          <t>,17],[6,</t>
        </is>
      </c>
      <c r="H88" s="203">
        <f>$D$84</f>
        <v/>
      </c>
      <c r="I88" s="0" t="inlineStr">
        <is>
          <t>,18],[6,</t>
        </is>
      </c>
      <c r="J88" s="203">
        <f>$D$84</f>
        <v/>
      </c>
      <c r="K88" s="0" t="inlineStr">
        <is>
          <t>,19],[6,</t>
        </is>
      </c>
      <c r="L88" s="203">
        <f>$D$84</f>
        <v/>
      </c>
      <c r="M88" s="0" t="inlineStr">
        <is>
          <t>,20],</t>
        </is>
      </c>
    </row>
    <row r="89">
      <c r="A89" s="151" t="inlineStr">
        <is>
          <t xml:space="preserve">[6,5,21],[6,5,22],[6,5,23],[6,6,24],[6,5,25], </t>
        </is>
      </c>
      <c r="B89" s="0">
        <f>CONCATENATE(C88,D88,E88,F88,G88,H88,I88,J88,K88,L88,M88,N88,O88,P88,Q88,R88,S88,T88,U88,V88,W88,X88,Y88,Z88,AA88,AB88,AC88,AD88,AE88,AF88,AG88,AH88,AI88,AJ88,AK88,AL88,AM88,AN88,AO88,AP88,AQ88,AR88,AS88,AT88,AU88,AV88,AW88,AX88,AY88,AZ88,BA88,BB88,BC88,BD88,BE88,BF88,BG88,BH88)</f>
        <v/>
      </c>
      <c r="C89" s="0" t="inlineStr">
        <is>
          <t>[6,</t>
        </is>
      </c>
      <c r="D89" s="203">
        <f>$D$84</f>
        <v/>
      </c>
      <c r="E89" s="0" t="inlineStr">
        <is>
          <t>,21],[6,</t>
        </is>
      </c>
      <c r="F89" s="203">
        <f>$D$84</f>
        <v/>
      </c>
      <c r="G89" s="0" t="inlineStr">
        <is>
          <t>,22],[6,</t>
        </is>
      </c>
      <c r="H89" s="203">
        <f>$D$84</f>
        <v/>
      </c>
      <c r="I89" s="0" t="inlineStr">
        <is>
          <t>,23],[6,</t>
        </is>
      </c>
      <c r="J89" s="203">
        <f>$D$84</f>
        <v/>
      </c>
      <c r="K89" s="0" t="inlineStr">
        <is>
          <t>,24],[6,</t>
        </is>
      </c>
      <c r="L89" s="203">
        <f>$D$84</f>
        <v/>
      </c>
      <c r="M89" s="0" t="inlineStr">
        <is>
          <t>,25],</t>
        </is>
      </c>
    </row>
    <row r="90">
      <c r="B90" s="0">
        <f>CONCATENATE(C89,D89,E89,F89,G89,H89,I89,J89,K89,L89,M89,N89,O89,P89,Q89,R89,S89,T89,U89,V89,W89,X89,Y89,Z89,AA89,AB89,AC89,AD89,AE89,AF89,AG89,AH89,AI89,AJ89,AK89,AL89,AM89,AN89,AO89,AP89,AQ89,AR89,AS89,AT89,AU89,AV89,AW89,AX89,AY89,AZ89,BA89,BB89,BC89,BD89,BE89,BF89,BG89,BH89)</f>
        <v/>
      </c>
    </row>
    <row r="91">
      <c r="A91" s="151" t="inlineStr">
        <is>
          <t xml:space="preserve">[7,5,1],[7,5,2],[7,5,3],[7,6,4],[7,5,5], </t>
        </is>
      </c>
      <c r="B91" s="0">
        <f>CONCATENATE(C90,D90,E90,F90,G90,H90,I90,J90,K90,L90,M90,N90,O90,P90,Q90,R90,S90,T90,U90,V90,W90,X90,Y90,Z90,AA90,AB90,AC90,AD90,AE90,AF90,AG90,AH90,AI90,AJ90,AK90,AL90,AM90,AN90,AO90,AP90,AQ90,AR90,AS90,AT90,AU90,AV90,AW90,AX90,AY90,AZ90,BA90,BB90,BC90,BD90,BE90,BF90,BG90,BH90)</f>
        <v/>
      </c>
      <c r="C91" s="0" t="inlineStr">
        <is>
          <t>[7,</t>
        </is>
      </c>
      <c r="D91" s="203">
        <f>'Control Panel'!AM41</f>
        <v/>
      </c>
      <c r="E91" s="0" t="inlineStr">
        <is>
          <t>,1],[7,</t>
        </is>
      </c>
      <c r="F91" s="203">
        <f>$D$90</f>
        <v/>
      </c>
      <c r="G91" s="0" t="inlineStr">
        <is>
          <t>,2],[7,</t>
        </is>
      </c>
      <c r="H91" s="203">
        <f>$D$90</f>
        <v/>
      </c>
      <c r="I91" s="0" t="inlineStr">
        <is>
          <t>,3],[7,</t>
        </is>
      </c>
      <c r="J91" s="203">
        <f>$D$90</f>
        <v/>
      </c>
      <c r="K91" s="0" t="inlineStr">
        <is>
          <t>,4],[7,</t>
        </is>
      </c>
      <c r="L91" s="203">
        <f>$D$90</f>
        <v/>
      </c>
      <c r="M91" s="0" t="inlineStr">
        <is>
          <t>,5],</t>
        </is>
      </c>
    </row>
    <row r="92">
      <c r="A92" s="151" t="inlineStr">
        <is>
          <t xml:space="preserve">[7,5,6],[7,5,7],[7,5,8],[7,6,9],[7,5,10], </t>
        </is>
      </c>
      <c r="B92" s="0">
        <f>CONCATENATE(C91,D91,E91,F91,G91,H91,I91,J91,K91,L91,M91,N91,O91,P91,Q91,R91,S91,T91,U91,V91,W91,X91,Y91,Z91,AA91,AB91,AC91,AD91,AE91,AF91,AG91,AH91,AI91,AJ91,AK91,AL91,AM91,AN91,AO91,AP91,AQ91,AR91,AS91,AT91,AU91,AV91,AW91,AX91,AY91,AZ91,BA91,BB91,BC91,BD91,BE91,BF91,BG91,BH91)</f>
        <v/>
      </c>
      <c r="C92" s="0" t="inlineStr">
        <is>
          <t>[7,</t>
        </is>
      </c>
      <c r="D92" s="203">
        <f>$D$90</f>
        <v/>
      </c>
      <c r="E92" s="0" t="inlineStr">
        <is>
          <t>,6],[7,</t>
        </is>
      </c>
      <c r="F92" s="203">
        <f>$D$90</f>
        <v/>
      </c>
      <c r="G92" s="0" t="inlineStr">
        <is>
          <t>,7],[7,</t>
        </is>
      </c>
      <c r="H92" s="203">
        <f>$D$90</f>
        <v/>
      </c>
      <c r="I92" s="0" t="inlineStr">
        <is>
          <t>,8],[7,</t>
        </is>
      </c>
      <c r="J92" s="203">
        <f>$D$90</f>
        <v/>
      </c>
      <c r="K92" s="0" t="inlineStr">
        <is>
          <t>,9],[7,</t>
        </is>
      </c>
      <c r="L92" s="203">
        <f>$D$90</f>
        <v/>
      </c>
      <c r="M92" s="0" t="inlineStr">
        <is>
          <t>,10],</t>
        </is>
      </c>
    </row>
    <row r="93">
      <c r="A93" s="151" t="inlineStr">
        <is>
          <t xml:space="preserve">[7,5,11],[7,5,12],[7,0,13],[7,6,14],[7,5,15], </t>
        </is>
      </c>
      <c r="B93" s="0">
        <f>CONCATENATE(C92,D92,E92,F92,G92,H92,I92,J92,K92,L92,M92,N92,O92,P92,Q92,R92,S92,T92,U92,V92,W92,X92,Y92,Z92,AA92,AB92,AC92,AD92,AE92,AF92,AG92,AH92,AI92,AJ92,AK92,AL92,AM92,AN92,AO92,AP92,AQ92,AR92,AS92,AT92,AU92,AV92,AW92,AX92,AY92,AZ92,BA92,BB92,BC92,BD92,BE92,BF92,BG92,BH92)</f>
        <v/>
      </c>
      <c r="C93" s="0" t="inlineStr">
        <is>
          <t>[7,</t>
        </is>
      </c>
      <c r="D93" s="203">
        <f>$D$90</f>
        <v/>
      </c>
      <c r="E93" s="0" t="inlineStr">
        <is>
          <t>,11],[7,</t>
        </is>
      </c>
      <c r="F93" s="203">
        <f>$D$90</f>
        <v/>
      </c>
      <c r="G93" s="0" t="inlineStr">
        <is>
          <t>,12],[7,</t>
        </is>
      </c>
      <c r="H93" s="203" t="n">
        <v>0</v>
      </c>
      <c r="I93" s="0" t="inlineStr">
        <is>
          <t>,13],[7,</t>
        </is>
      </c>
      <c r="J93" s="203">
        <f>$D$90</f>
        <v/>
      </c>
      <c r="K93" s="0" t="inlineStr">
        <is>
          <t>,14],[7,</t>
        </is>
      </c>
      <c r="L93" s="203">
        <f>$D$90</f>
        <v/>
      </c>
      <c r="M93" s="0" t="inlineStr">
        <is>
          <t>,15],</t>
        </is>
      </c>
    </row>
    <row r="94">
      <c r="A94" s="151" t="inlineStr">
        <is>
          <t xml:space="preserve">[7,5,16],[7,5,17],[7,5,18],[7,6,19],[7,5,20], </t>
        </is>
      </c>
      <c r="B94" s="0">
        <f>CONCATENATE(C93,D93,E93,F93,G93,H93,I93,J93,K93,L93,M93,N93,O93,P93,Q93,R93,S93,T93,U93,V93,W93,X93,Y93,Z93,AA93,AB93,AC93,AD93,AE93,AF93,AG93,AH93,AI93,AJ93,AK93,AL93,AM93,AN93,AO93,AP93,AQ93,AR93,AS93,AT93,AU93,AV93,AW93,AX93,AY93,AZ93,BA93,BB93,BC93,BD93,BE93,BF93,BG93,BH93)</f>
        <v/>
      </c>
      <c r="C94" s="0" t="inlineStr">
        <is>
          <t>[7,</t>
        </is>
      </c>
      <c r="D94" s="203">
        <f>$D$90</f>
        <v/>
      </c>
      <c r="E94" s="0" t="inlineStr">
        <is>
          <t>,16],[7,</t>
        </is>
      </c>
      <c r="F94" s="203">
        <f>$D$90</f>
        <v/>
      </c>
      <c r="G94" s="0" t="inlineStr">
        <is>
          <t>,17],[7,</t>
        </is>
      </c>
      <c r="H94" s="203">
        <f>$D$90</f>
        <v/>
      </c>
      <c r="I94" s="0" t="inlineStr">
        <is>
          <t>,18],[7,</t>
        </is>
      </c>
      <c r="J94" s="203">
        <f>$D$90</f>
        <v/>
      </c>
      <c r="K94" s="0" t="inlineStr">
        <is>
          <t>,19],[7,</t>
        </is>
      </c>
      <c r="L94" s="203">
        <f>$D$90</f>
        <v/>
      </c>
      <c r="M94" s="0" t="inlineStr">
        <is>
          <t>,20],</t>
        </is>
      </c>
    </row>
    <row r="95">
      <c r="A95" s="151" t="inlineStr">
        <is>
          <t xml:space="preserve">[7,5,21],[7,5,22],[7,5,23],[7,6,24],[7,5,25], </t>
        </is>
      </c>
      <c r="B95" s="0">
        <f>CONCATENATE(C94,D94,E94,F94,G94,H94,I94,J94,K94,L94,M94,N94,O94,P94,Q94,R94,S94,T94,U94,V94,W94,X94,Y94,Z94,AA94,AB94,AC94,AD94,AE94,AF94,AG94,AH94,AI94,AJ94,AK94,AL94,AM94,AN94,AO94,AP94,AQ94,AR94,AS94,AT94,AU94,AV94,AW94,AX94,AY94,AZ94,BA94,BB94,BC94,BD94,BE94,BF94,BG94,BH94)</f>
        <v/>
      </c>
      <c r="C95" s="0" t="inlineStr">
        <is>
          <t>[7,</t>
        </is>
      </c>
      <c r="D95" s="203">
        <f>$D$90</f>
        <v/>
      </c>
      <c r="E95" s="0" t="inlineStr">
        <is>
          <t>,21],[7,</t>
        </is>
      </c>
      <c r="F95" s="203">
        <f>$D$90</f>
        <v/>
      </c>
      <c r="G95" s="0" t="inlineStr">
        <is>
          <t>,22],[7,</t>
        </is>
      </c>
      <c r="H95" s="203">
        <f>$D$90</f>
        <v/>
      </c>
      <c r="I95" s="0" t="inlineStr">
        <is>
          <t>,23],[7,</t>
        </is>
      </c>
      <c r="J95" s="203">
        <f>$D$90</f>
        <v/>
      </c>
      <c r="K95" s="0" t="inlineStr">
        <is>
          <t>,24],[7,</t>
        </is>
      </c>
      <c r="L95" s="203">
        <f>$D$90</f>
        <v/>
      </c>
      <c r="M95" s="0" t="inlineStr">
        <is>
          <t>,25],</t>
        </is>
      </c>
    </row>
    <row r="96">
      <c r="B96" s="0">
        <f>CONCATENATE(C95,D95,E95,F95,G95,H95,I95,J95,K95,L95,M95,N95,O95,P95,Q95,R95,S95,T95,U95,V95,W95,X95,Y95,Z95,AA95,AB95,AC95,AD95,AE95,AF95,AG95,AH95,AI95,AJ95,AK95,AL95,AM95,AN95,AO95,AP95,AQ95,AR95,AS95,AT95,AU95,AV95,AW95,AX95,AY95,AZ95,BA95,BB95,BC95,BD95,BE95,BF95,BG95,BH95)</f>
        <v/>
      </c>
    </row>
    <row r="97">
      <c r="A97" s="151" t="inlineStr">
        <is>
          <t xml:space="preserve">[8,5,1],[8,5,2],[8,5,3],[8,6,4],[8,5,5], </t>
        </is>
      </c>
      <c r="B97" s="0">
        <f>CONCATENATE(C96,D96,E96,F96,G96,H96,I96,J96,K96,L96,M96,N96,O96,P96,Q96,R96,S96,T96,U96,V96,W96,X96,Y96,Z96,AA96,AB96,AC96,AD96,AE96,AF96,AG96,AH96,AI96,AJ96,AK96,AL96,AM96,AN96,AO96,AP96,AQ96,AR96,AS96,AT96,AU96,AV96,AW96,AX96,AY96,AZ96,BA96,BB96,BC96,BD96,BE96,BF96,BG96,BH96)</f>
        <v/>
      </c>
      <c r="C97" s="0" t="inlineStr">
        <is>
          <t>[8,</t>
        </is>
      </c>
      <c r="D97" s="203">
        <f>'Control Panel'!AS41</f>
        <v/>
      </c>
      <c r="E97" s="0" t="inlineStr">
        <is>
          <t>,1],[8,</t>
        </is>
      </c>
      <c r="F97" s="203">
        <f>$D$96</f>
        <v/>
      </c>
      <c r="G97" s="0" t="inlineStr">
        <is>
          <t>,2],[8,</t>
        </is>
      </c>
      <c r="H97" s="203">
        <f>$D$96</f>
        <v/>
      </c>
      <c r="I97" s="0" t="inlineStr">
        <is>
          <t>,3],[8,</t>
        </is>
      </c>
      <c r="J97" s="203">
        <f>$D$96</f>
        <v/>
      </c>
      <c r="K97" s="0" t="inlineStr">
        <is>
          <t>,4],[8,</t>
        </is>
      </c>
      <c r="L97" s="203">
        <f>$D$96</f>
        <v/>
      </c>
      <c r="M97" s="0" t="inlineStr">
        <is>
          <t>,5],</t>
        </is>
      </c>
    </row>
    <row r="98">
      <c r="A98" s="151" t="inlineStr">
        <is>
          <t xml:space="preserve">[8,5,6],[8,5,7],[8,5,8],[8,6,9],[8,5,10], </t>
        </is>
      </c>
      <c r="B98" s="0">
        <f>CONCATENATE(C97,D97,E97,F97,G97,H97,I97,J97,K97,L97,M97,N97,O97,P97,Q97,R97,S97,T97,U97,V97,W97,X97,Y97,Z97,AA97,AB97,AC97,AD97,AE97,AF97,AG97,AH97,AI97,AJ97,AK97,AL97,AM97,AN97,AO97,AP97,AQ97,AR97,AS97,AT97,AU97,AV97,AW97,AX97,AY97,AZ97,BA97,BB97,BC97,BD97,BE97,BF97,BG97,BH97)</f>
        <v/>
      </c>
      <c r="C98" s="0" t="inlineStr">
        <is>
          <t>[8,</t>
        </is>
      </c>
      <c r="D98" s="203">
        <f>$D$96</f>
        <v/>
      </c>
      <c r="E98" s="0" t="inlineStr">
        <is>
          <t>,6],[8,</t>
        </is>
      </c>
      <c r="F98" s="203">
        <f>$D$96</f>
        <v/>
      </c>
      <c r="G98" s="0" t="inlineStr">
        <is>
          <t>,7],[8,</t>
        </is>
      </c>
      <c r="H98" s="203">
        <f>$D$96</f>
        <v/>
      </c>
      <c r="I98" s="0" t="inlineStr">
        <is>
          <t>,8],[8,</t>
        </is>
      </c>
      <c r="J98" s="203">
        <f>$D$96</f>
        <v/>
      </c>
      <c r="K98" s="0" t="inlineStr">
        <is>
          <t>,9],[8,</t>
        </is>
      </c>
      <c r="L98" s="203">
        <f>$D$96</f>
        <v/>
      </c>
      <c r="M98" s="0" t="inlineStr">
        <is>
          <t>,10],</t>
        </is>
      </c>
    </row>
    <row r="99">
      <c r="A99" s="151" t="inlineStr">
        <is>
          <t xml:space="preserve">[8,5,11],[8,5,12],[8,0,13],[8,6,14],[8,5,15], </t>
        </is>
      </c>
      <c r="B99" s="0">
        <f>CONCATENATE(C98,D98,E98,F98,G98,H98,I98,J98,K98,L98,M98,N98,O98,P98,Q98,R98,S98,T98,U98,V98,W98,X98,Y98,Z98,AA98,AB98,AC98,AD98,AE98,AF98,AG98,AH98,AI98,AJ98,AK98,AL98,AM98,AN98,AO98,AP98,AQ98,AR98,AS98,AT98,AU98,AV98,AW98,AX98,AY98,AZ98,BA98,BB98,BC98,BD98,BE98,BF98,BG98,BH98)</f>
        <v/>
      </c>
      <c r="C99" s="0" t="inlineStr">
        <is>
          <t>[8,</t>
        </is>
      </c>
      <c r="D99" s="203">
        <f>$D$96</f>
        <v/>
      </c>
      <c r="E99" s="0" t="inlineStr">
        <is>
          <t>,11],[8,</t>
        </is>
      </c>
      <c r="F99" s="203">
        <f>$D$96</f>
        <v/>
      </c>
      <c r="G99" s="0" t="inlineStr">
        <is>
          <t>,12],[8,</t>
        </is>
      </c>
      <c r="H99" s="203" t="n">
        <v>0</v>
      </c>
      <c r="I99" s="0" t="inlineStr">
        <is>
          <t>,13],[8,</t>
        </is>
      </c>
      <c r="J99" s="203">
        <f>$D$96</f>
        <v/>
      </c>
      <c r="K99" s="0" t="inlineStr">
        <is>
          <t>,14],[8,</t>
        </is>
      </c>
      <c r="L99" s="203">
        <f>$D$96</f>
        <v/>
      </c>
      <c r="M99" s="0" t="inlineStr">
        <is>
          <t>,15],</t>
        </is>
      </c>
    </row>
    <row r="100">
      <c r="A100" s="151" t="inlineStr">
        <is>
          <t xml:space="preserve">[8,5,16],[8,5,17],[8,5,18],[8,6,19],[8,5,20], </t>
        </is>
      </c>
      <c r="B100" s="0">
        <f>CONCATENATE(C99,D99,E99,F99,G99,H99,I99,J99,K99,L99,M99,N99,O99,P99,Q99,R99,S99,T99,U99,V99,W99,X99,Y99,Z99,AA99,AB99,AC99,AD99,AE99,AF99,AG99,AH99,AI99,AJ99,AK99,AL99,AM99,AN99,AO99,AP99,AQ99,AR99,AS99,AT99,AU99,AV99,AW99,AX99,AY99,AZ99,BA99,BB99,BC99,BD99,BE99,BF99,BG99,BH99)</f>
        <v/>
      </c>
      <c r="C100" s="0" t="inlineStr">
        <is>
          <t>[8,</t>
        </is>
      </c>
      <c r="D100" s="203">
        <f>$D$96</f>
        <v/>
      </c>
      <c r="E100" s="0" t="inlineStr">
        <is>
          <t>,16],[8,</t>
        </is>
      </c>
      <c r="F100" s="203">
        <f>$D$96</f>
        <v/>
      </c>
      <c r="G100" s="0" t="inlineStr">
        <is>
          <t>,17],[8,</t>
        </is>
      </c>
      <c r="H100" s="203">
        <f>$D$96</f>
        <v/>
      </c>
      <c r="I100" s="0" t="inlineStr">
        <is>
          <t>,18],[8,</t>
        </is>
      </c>
      <c r="J100" s="203">
        <f>$D$96</f>
        <v/>
      </c>
      <c r="K100" s="0" t="inlineStr">
        <is>
          <t>,19],[8,</t>
        </is>
      </c>
      <c r="L100" s="203">
        <f>$D$96</f>
        <v/>
      </c>
      <c r="M100" s="0" t="inlineStr">
        <is>
          <t>,20],</t>
        </is>
      </c>
    </row>
    <row r="101">
      <c r="A101" s="151" t="inlineStr">
        <is>
          <t xml:space="preserve">[8,5,21],[8,5,22],[8,5,23],[8,6,24],[8,5,25] </t>
        </is>
      </c>
      <c r="B101" s="0">
        <f>CONCATENATE(C100,D100,E100,F100,G100,H100,I100,J100,K100,L100,M100,N100,O100,P100,Q100,R100,S100,T100,U100,V100,W100,X100,Y100,Z100,AA100,AB100,AC100,AD100,AE100,AF100,AG100,AH100,AI100,AJ100,AK100,AL100,AM100,AN100,AO100,AP100,AQ100,AR100,AS100,AT100,AU100,AV100,AW100,AX100,AY100,AZ100,BA100,BB100,BC100,BD100,BE100,BF100,BG100,BH100)</f>
        <v/>
      </c>
      <c r="C101" s="0" t="inlineStr">
        <is>
          <t>[8,</t>
        </is>
      </c>
      <c r="D101" s="203">
        <f>$D$96</f>
        <v/>
      </c>
      <c r="E101" s="0" t="inlineStr">
        <is>
          <t>,21],[8,</t>
        </is>
      </c>
      <c r="F101" s="203">
        <f>$D$96</f>
        <v/>
      </c>
      <c r="G101" s="0" t="inlineStr">
        <is>
          <t>,22],[8,</t>
        </is>
      </c>
      <c r="H101" s="203">
        <f>$D$96</f>
        <v/>
      </c>
      <c r="I101" s="0" t="inlineStr">
        <is>
          <t>,23],[8,</t>
        </is>
      </c>
      <c r="J101" s="203">
        <f>$D$96</f>
        <v/>
      </c>
      <c r="K101" s="0" t="inlineStr">
        <is>
          <t>,24],[8,</t>
        </is>
      </c>
      <c r="L101" s="203">
        <f>$D$96</f>
        <v/>
      </c>
      <c r="M101" s="0" t="inlineStr">
        <is>
          <t>,25],</t>
        </is>
      </c>
    </row>
    <row r="102">
      <c r="A102" s="151" t="inlineStr">
        <is>
          <t xml:space="preserve">], </t>
        </is>
      </c>
      <c r="B102" s="0">
        <f>CONCATENATE(C101,D101,E101,F101,G101,H101,I101,J101,K101,L101,M101,N101,O101,P101,Q101,R101,S101,T101,U101,V101,W101,X101,Y101,Z101,AA101,AB101,AC101,AD101,AE101,AF101,AG101,AH101,AI101,AJ101,AK101,AL101,AM101,AN101,AO101,AP101,AQ101,AR101,AS101,AT101,AU101,AV101,AW101,AX101,AY101,AZ101,BA101,BB101,BC101,BD101,BE101,BF101,BG101,BH101)</f>
        <v/>
      </c>
      <c r="C102" s="0" t="inlineStr">
        <is>
          <t xml:space="preserve">], </t>
        </is>
      </c>
    </row>
    <row r="103">
      <c r="A103" s="151" t="inlineStr">
        <is>
          <t xml:space="preserve">[ </t>
        </is>
      </c>
      <c r="B103" s="0">
        <f>CONCATENATE(C102,D102,E102,F102,G102,H102,I102,J102,K102,L102,M102,N102,O102,P102,Q102,R102,S102,T102,U102,V102,W102,X102,Y102,Z102,AA102,AB102,AC102,AD102,AE102,AF102,AG102,AH102,AI102,AJ102,AK102,AL102,AM102,AN102,AO102,AP102,AQ102,AR102,AS102,AT102,AU102,AV102,AW102,AX102,AY102,AZ102,BA102,BB102,BC102,BD102,BE102,BF102,BG102,BH102)</f>
        <v/>
      </c>
      <c r="C103" s="0" t="inlineStr">
        <is>
          <t xml:space="preserve">[ </t>
        </is>
      </c>
    </row>
    <row r="104">
      <c r="A104" s="151" t="inlineStr">
        <is>
          <t xml:space="preserve">[1,5,1],[1,5,2],[1,5,3],[1,6,4],[1,5,5], </t>
        </is>
      </c>
      <c r="B104" s="0">
        <f>CONCATENATE(C103,D103,E103,F103,G103,H103,I103,J103,K103,L103,M103,N103,O103,P103,Q103,R103,S103,T103,U103,V103,W103,X103,Y103,Z103,AA103,AB103,AC103,AD103,AE103,AF103,AG103,AH103,AI103,AJ103,AK103,AL103,AM103,AN103,AO103,AP103,AQ103,AR103,AS103,AT103,AU103,AV103,AW103,AX103,AY103,AZ103,BA103,BB103,BC103,BD103,BE103,BF103,BG103,BH103)</f>
        <v/>
      </c>
      <c r="C104" s="0" t="inlineStr">
        <is>
          <t>[1,</t>
        </is>
      </c>
      <c r="D104" s="203">
        <f>'Control Panel'!AA49</f>
        <v/>
      </c>
      <c r="E104" s="0" t="inlineStr">
        <is>
          <t>,1],[1,</t>
        </is>
      </c>
      <c r="F104" s="203">
        <f>$D$103</f>
        <v/>
      </c>
      <c r="G104" s="0" t="inlineStr">
        <is>
          <t>,2],[1,</t>
        </is>
      </c>
      <c r="H104" s="203">
        <f>$D$103</f>
        <v/>
      </c>
      <c r="I104" s="0" t="inlineStr">
        <is>
          <t>,3],[1,</t>
        </is>
      </c>
      <c r="J104" s="203">
        <f>$D$103</f>
        <v/>
      </c>
      <c r="K104" s="0" t="inlineStr">
        <is>
          <t>,4],[1,</t>
        </is>
      </c>
      <c r="L104" s="203">
        <f>$D$103</f>
        <v/>
      </c>
      <c r="M104" s="0" t="inlineStr">
        <is>
          <t>,5],</t>
        </is>
      </c>
    </row>
    <row r="105">
      <c r="A105" s="151" t="inlineStr">
        <is>
          <t xml:space="preserve">[1,5,6],[1,5,7],[1,5,8],[1,6,9],[1,5,10], </t>
        </is>
      </c>
      <c r="B105" s="0">
        <f>CONCATENATE(C104,D104,E104,F104,G104,H104,I104,J104,K104,L104,M104,N104,O104,P104,Q104,R104,S104,T104,U104,V104,W104,X104,Y104,Z104,AA104,AB104,AC104,AD104,AE104,AF104,AG104,AH104,AI104,AJ104,AK104,AL104,AM104,AN104,AO104,AP104,AQ104,AR104,AS104,AT104,AU104,AV104,AW104,AX104,AY104,AZ104,BA104,BB104,BC104,BD104,BE104,BF104,BG104,BH104)</f>
        <v/>
      </c>
      <c r="C105" s="0" t="inlineStr">
        <is>
          <t>[1,</t>
        </is>
      </c>
      <c r="D105" s="203">
        <f>$D$103</f>
        <v/>
      </c>
      <c r="E105" s="0" t="inlineStr">
        <is>
          <t>,6],[1,</t>
        </is>
      </c>
      <c r="F105" s="203">
        <f>$D$103</f>
        <v/>
      </c>
      <c r="G105" s="0" t="inlineStr">
        <is>
          <t>,7],[1,</t>
        </is>
      </c>
      <c r="H105" s="203">
        <f>$D$103</f>
        <v/>
      </c>
      <c r="I105" s="0" t="inlineStr">
        <is>
          <t>,8],[1,</t>
        </is>
      </c>
      <c r="J105" s="203">
        <f>$D$103</f>
        <v/>
      </c>
      <c r="K105" s="0" t="inlineStr">
        <is>
          <t>,9],[1,</t>
        </is>
      </c>
      <c r="L105" s="203">
        <f>$D$103</f>
        <v/>
      </c>
      <c r="M105" s="0" t="inlineStr">
        <is>
          <t>,10],</t>
        </is>
      </c>
    </row>
    <row r="106">
      <c r="A106" s="151" t="inlineStr">
        <is>
          <t xml:space="preserve">[1,5,11],[1,5,12],[1,0,13],[1,6,14],[1,5,15], </t>
        </is>
      </c>
      <c r="B106" s="0">
        <f>CONCATENATE(C105,D105,E105,F105,G105,H105,I105,J105,K105,L105,M105,N105,O105,P105,Q105,R105,S105,T105,U105,V105,W105,X105,Y105,Z105,AA105,AB105,AC105,AD105,AE105,AF105,AG105,AH105,AI105,AJ105,AK105,AL105,AM105,AN105,AO105,AP105,AQ105,AR105,AS105,AT105,AU105,AV105,AW105,AX105,AY105,AZ105,BA105,BB105,BC105,BD105,BE105,BF105,BG105,BH105)</f>
        <v/>
      </c>
      <c r="C106" s="0" t="inlineStr">
        <is>
          <t>[1,</t>
        </is>
      </c>
      <c r="D106" s="203">
        <f>$D$103</f>
        <v/>
      </c>
      <c r="E106" s="0" t="inlineStr">
        <is>
          <t>,11],[1,</t>
        </is>
      </c>
      <c r="F106" s="203">
        <f>$D$103</f>
        <v/>
      </c>
      <c r="G106" s="0" t="inlineStr">
        <is>
          <t>,12],[1,</t>
        </is>
      </c>
      <c r="H106" s="203" t="n">
        <v>0</v>
      </c>
      <c r="I106" s="0" t="inlineStr">
        <is>
          <t>,13],[1,</t>
        </is>
      </c>
      <c r="J106" s="203">
        <f>$D$103</f>
        <v/>
      </c>
      <c r="K106" s="0" t="inlineStr">
        <is>
          <t>,14],[1,</t>
        </is>
      </c>
      <c r="L106" s="203">
        <f>$D$103</f>
        <v/>
      </c>
      <c r="M106" s="0" t="inlineStr">
        <is>
          <t>,15],</t>
        </is>
      </c>
    </row>
    <row r="107">
      <c r="A107" s="151" t="inlineStr">
        <is>
          <t xml:space="preserve">[1,5,16],[1,5,17],[1,5,18],[1,6,19],[1,5,20], </t>
        </is>
      </c>
      <c r="B107" s="0">
        <f>CONCATENATE(C106,D106,E106,F106,G106,H106,I106,J106,K106,L106,M106,N106,O106,P106,Q106,R106,S106,T106,U106,V106,W106,X106,Y106,Z106,AA106,AB106,AC106,AD106,AE106,AF106,AG106,AH106,AI106,AJ106,AK106,AL106,AM106,AN106,AO106,AP106,AQ106,AR106,AS106,AT106,AU106,AV106,AW106,AX106,AY106,AZ106,BA106,BB106,BC106,BD106,BE106,BF106,BG106,BH106)</f>
        <v/>
      </c>
      <c r="C107" s="0" t="inlineStr">
        <is>
          <t>[1,</t>
        </is>
      </c>
      <c r="D107" s="203">
        <f>$D$103</f>
        <v/>
      </c>
      <c r="E107" s="0" t="inlineStr">
        <is>
          <t>,16],[1,</t>
        </is>
      </c>
      <c r="F107" s="203">
        <f>$D$103</f>
        <v/>
      </c>
      <c r="G107" s="0" t="inlineStr">
        <is>
          <t>,17],[1,</t>
        </is>
      </c>
      <c r="H107" s="203">
        <f>$D$103</f>
        <v/>
      </c>
      <c r="I107" s="0" t="inlineStr">
        <is>
          <t>,18],[1,</t>
        </is>
      </c>
      <c r="J107" s="203">
        <f>$D$103</f>
        <v/>
      </c>
      <c r="K107" s="0" t="inlineStr">
        <is>
          <t>,19],[1,</t>
        </is>
      </c>
      <c r="L107" s="203">
        <f>$D$103</f>
        <v/>
      </c>
      <c r="M107" s="0" t="inlineStr">
        <is>
          <t>,20],</t>
        </is>
      </c>
    </row>
    <row r="108">
      <c r="A108" s="151" t="inlineStr">
        <is>
          <t xml:space="preserve">[1,5,21],[1,5,22],[1,5,23],[1,6,24],[1,5,25], </t>
        </is>
      </c>
      <c r="B108" s="0">
        <f>CONCATENATE(C107,D107,E107,F107,G107,H107,I107,J107,K107,L107,M107,N107,O107,P107,Q107,R107,S107,T107,U107,V107,W107,X107,Y107,Z107,AA107,AB107,AC107,AD107,AE107,AF107,AG107,AH107,AI107,AJ107,AK107,AL107,AM107,AN107,AO107,AP107,AQ107,AR107,AS107,AT107,AU107,AV107,AW107,AX107,AY107,AZ107,BA107,BB107,BC107,BD107,BE107,BF107,BG107,BH107)</f>
        <v/>
      </c>
      <c r="C108" s="0" t="inlineStr">
        <is>
          <t>[1,</t>
        </is>
      </c>
      <c r="D108" s="203">
        <f>$D$103</f>
        <v/>
      </c>
      <c r="E108" s="0" t="inlineStr">
        <is>
          <t>,21],[1,</t>
        </is>
      </c>
      <c r="F108" s="203">
        <f>$D$103</f>
        <v/>
      </c>
      <c r="G108" s="0" t="inlineStr">
        <is>
          <t>,22],[1,</t>
        </is>
      </c>
      <c r="H108" s="203">
        <f>$D$103</f>
        <v/>
      </c>
      <c r="I108" s="0" t="inlineStr">
        <is>
          <t>,23],[1,</t>
        </is>
      </c>
      <c r="J108" s="203">
        <f>$D$103</f>
        <v/>
      </c>
      <c r="K108" s="0" t="inlineStr">
        <is>
          <t>,24],[1,</t>
        </is>
      </c>
      <c r="L108" s="203">
        <f>$D$103</f>
        <v/>
      </c>
      <c r="M108" s="0" t="inlineStr">
        <is>
          <t>,25],</t>
        </is>
      </c>
    </row>
    <row r="109">
      <c r="B109" s="0">
        <f>CONCATENATE(C108,D108,E108,F108,G108,H108,I108,J108,K108,L108,M108,N108,O108,P108,Q108,R108,S108,T108,U108,V108,W108,X108,Y108,Z108,AA108,AB108,AC108,AD108,AE108,AF108,AG108,AH108,AI108,AJ108,AK108,AL108,AM108,AN108,AO108,AP108,AQ108,AR108,AS108,AT108,AU108,AV108,AW108,AX108,AY108,AZ108,BA108,BB108,BC108,BD108,BE108,BF108,BG108,BH108)</f>
        <v/>
      </c>
    </row>
    <row r="110">
      <c r="A110" s="151" t="inlineStr">
        <is>
          <t xml:space="preserve">[2,5,1],[2,5,2],[2,5,3],[2,6,4],[2,5,5], </t>
        </is>
      </c>
      <c r="B110" s="0">
        <f>CONCATENATE(C109,D109,E109,F109,G109,H109,I109,J109,K109,L109,M109,N109,O109,P109,Q109,R109,S109,T109,U109,V109,W109,X109,Y109,Z109,AA109,AB109,AC109,AD109,AE109,AF109,AG109,AH109,AI109,AJ109,AK109,AL109,AM109,AN109,AO109,AP109,AQ109,AR109,AS109,AT109,AU109,AV109,AW109,AX109,AY109,AZ109,BA109,BB109,BC109,BD109,BE109,BF109,BG109,BH109)</f>
        <v/>
      </c>
      <c r="C110" s="0" t="inlineStr">
        <is>
          <t>[2,</t>
        </is>
      </c>
      <c r="D110" s="203">
        <f>'Control Panel'!AG49</f>
        <v/>
      </c>
      <c r="E110" s="0" t="inlineStr">
        <is>
          <t>,1],[2,</t>
        </is>
      </c>
      <c r="F110" s="203">
        <f>$D$109</f>
        <v/>
      </c>
      <c r="G110" s="0" t="inlineStr">
        <is>
          <t>,2],[2,</t>
        </is>
      </c>
      <c r="H110" s="203">
        <f>$D$109</f>
        <v/>
      </c>
      <c r="I110" s="0" t="inlineStr">
        <is>
          <t>,3],[2,</t>
        </is>
      </c>
      <c r="J110" s="203">
        <f>$D$109</f>
        <v/>
      </c>
      <c r="K110" s="0" t="inlineStr">
        <is>
          <t>,4],[2,</t>
        </is>
      </c>
      <c r="L110" s="203">
        <f>$D$109</f>
        <v/>
      </c>
      <c r="M110" s="0" t="inlineStr">
        <is>
          <t>,5],</t>
        </is>
      </c>
    </row>
    <row r="111">
      <c r="A111" s="151" t="inlineStr">
        <is>
          <t xml:space="preserve">[2,5,6],[2,5,7],[2,5,8],[2,6,9],[2,5,10], </t>
        </is>
      </c>
      <c r="B111" s="0">
        <f>CONCATENATE(C110,D110,E110,F110,G110,H110,I110,J110,K110,L110,M110,N110,O110,P110,Q110,R110,S110,T110,U110,V110,W110,X110,Y110,Z110,AA110,AB110,AC110,AD110,AE110,AF110,AG110,AH110,AI110,AJ110,AK110,AL110,AM110,AN110,AO110,AP110,AQ110,AR110,AS110,AT110,AU110,AV110,AW110,AX110,AY110,AZ110,BA110,BB110,BC110,BD110,BE110,BF110,BG110,BH110)</f>
        <v/>
      </c>
      <c r="C111" s="0" t="inlineStr">
        <is>
          <t>[2,</t>
        </is>
      </c>
      <c r="D111" s="203">
        <f>$D$109</f>
        <v/>
      </c>
      <c r="E111" s="0" t="inlineStr">
        <is>
          <t>,6],[2,</t>
        </is>
      </c>
      <c r="F111" s="203">
        <f>$D$109</f>
        <v/>
      </c>
      <c r="G111" s="0" t="inlineStr">
        <is>
          <t>,7],[2,</t>
        </is>
      </c>
      <c r="H111" s="203">
        <f>$D$109</f>
        <v/>
      </c>
      <c r="I111" s="0" t="inlineStr">
        <is>
          <t>,8],[2,</t>
        </is>
      </c>
      <c r="J111" s="203">
        <f>$D$109</f>
        <v/>
      </c>
      <c r="K111" s="0" t="inlineStr">
        <is>
          <t>,9],[2,</t>
        </is>
      </c>
      <c r="L111" s="203">
        <f>$D$109</f>
        <v/>
      </c>
      <c r="M111" s="0" t="inlineStr">
        <is>
          <t>,10],</t>
        </is>
      </c>
    </row>
    <row r="112">
      <c r="A112" s="151" t="inlineStr">
        <is>
          <t xml:space="preserve">[2,5,11],[2,5,12],[2,0,13],[2,6,14],[2,5,15], </t>
        </is>
      </c>
      <c r="B112" s="0">
        <f>CONCATENATE(C111,D111,E111,F111,G111,H111,I111,J111,K111,L111,M111,N111,O111,P111,Q111,R111,S111,T111,U111,V111,W111,X111,Y111,Z111,AA111,AB111,AC111,AD111,AE111,AF111,AG111,AH111,AI111,AJ111,AK111,AL111,AM111,AN111,AO111,AP111,AQ111,AR111,AS111,AT111,AU111,AV111,AW111,AX111,AY111,AZ111,BA111,BB111,BC111,BD111,BE111,BF111,BG111,BH111)</f>
        <v/>
      </c>
      <c r="C112" s="0" t="inlineStr">
        <is>
          <t>[2,</t>
        </is>
      </c>
      <c r="D112" s="203">
        <f>$D$109</f>
        <v/>
      </c>
      <c r="E112" s="0" t="inlineStr">
        <is>
          <t>,11],[2,</t>
        </is>
      </c>
      <c r="F112" s="203">
        <f>$D$109</f>
        <v/>
      </c>
      <c r="G112" s="0" t="inlineStr">
        <is>
          <t>,12],[2,</t>
        </is>
      </c>
      <c r="H112" s="203" t="n">
        <v>0</v>
      </c>
      <c r="I112" s="0" t="inlineStr">
        <is>
          <t>,13],[2,</t>
        </is>
      </c>
      <c r="J112" s="203">
        <f>$D$109</f>
        <v/>
      </c>
      <c r="K112" s="0" t="inlineStr">
        <is>
          <t>,14],[2,</t>
        </is>
      </c>
      <c r="L112" s="203">
        <f>$D$109</f>
        <v/>
      </c>
      <c r="M112" s="0" t="inlineStr">
        <is>
          <t>,15],</t>
        </is>
      </c>
    </row>
    <row r="113">
      <c r="A113" s="151" t="inlineStr">
        <is>
          <t xml:space="preserve">[2,5,16],[2,5,17],[2,5,18],[2,6,19],[2,5,20], </t>
        </is>
      </c>
      <c r="B113" s="0">
        <f>CONCATENATE(C112,D112,E112,F112,G112,H112,I112,J112,K112,L112,M112,N112,O112,P112,Q112,R112,S112,T112,U112,V112,W112,X112,Y112,Z112,AA112,AB112,AC112,AD112,AE112,AF112,AG112,AH112,AI112,AJ112,AK112,AL112,AM112,AN112,AO112,AP112,AQ112,AR112,AS112,AT112,AU112,AV112,AW112,AX112,AY112,AZ112,BA112,BB112,BC112,BD112,BE112,BF112,BG112,BH112)</f>
        <v/>
      </c>
      <c r="C113" s="0" t="inlineStr">
        <is>
          <t>[2,</t>
        </is>
      </c>
      <c r="D113" s="203">
        <f>$D$109</f>
        <v/>
      </c>
      <c r="E113" s="0" t="inlineStr">
        <is>
          <t>,16],[2,</t>
        </is>
      </c>
      <c r="F113" s="203">
        <f>$D$109</f>
        <v/>
      </c>
      <c r="G113" s="0" t="inlineStr">
        <is>
          <t>,17],[2,</t>
        </is>
      </c>
      <c r="H113" s="203">
        <f>$D$109</f>
        <v/>
      </c>
      <c r="I113" s="0" t="inlineStr">
        <is>
          <t>,18],[2,</t>
        </is>
      </c>
      <c r="J113" s="203">
        <f>$D$109</f>
        <v/>
      </c>
      <c r="K113" s="0" t="inlineStr">
        <is>
          <t>,19],[2,</t>
        </is>
      </c>
      <c r="L113" s="203">
        <f>$D$109</f>
        <v/>
      </c>
      <c r="M113" s="0" t="inlineStr">
        <is>
          <t>,20],</t>
        </is>
      </c>
    </row>
    <row r="114">
      <c r="A114" s="151" t="inlineStr">
        <is>
          <t xml:space="preserve">[2,5,21],[2,5,22],[2,5,23],[2,6,24],[2,5,25], </t>
        </is>
      </c>
      <c r="B114" s="0">
        <f>CONCATENATE(C113,D113,E113,F113,G113,H113,I113,J113,K113,L113,M113,N113,O113,P113,Q113,R113,S113,T113,U113,V113,W113,X113,Y113,Z113,AA113,AB113,AC113,AD113,AE113,AF113,AG113,AH113,AI113,AJ113,AK113,AL113,AM113,AN113,AO113,AP113,AQ113,AR113,AS113,AT113,AU113,AV113,AW113,AX113,AY113,AZ113,BA113,BB113,BC113,BD113,BE113,BF113,BG113,BH113)</f>
        <v/>
      </c>
      <c r="C114" s="0" t="inlineStr">
        <is>
          <t>[2,</t>
        </is>
      </c>
      <c r="D114" s="203">
        <f>$D$109</f>
        <v/>
      </c>
      <c r="E114" s="0" t="inlineStr">
        <is>
          <t>,21],[2,</t>
        </is>
      </c>
      <c r="F114" s="203">
        <f>$D$109</f>
        <v/>
      </c>
      <c r="G114" s="0" t="inlineStr">
        <is>
          <t>,22],[2,</t>
        </is>
      </c>
      <c r="H114" s="203">
        <f>$D$109</f>
        <v/>
      </c>
      <c r="I114" s="0" t="inlineStr">
        <is>
          <t>,23],[2,</t>
        </is>
      </c>
      <c r="J114" s="203">
        <f>$D$109</f>
        <v/>
      </c>
      <c r="K114" s="0" t="inlineStr">
        <is>
          <t>,24],[2,</t>
        </is>
      </c>
      <c r="L114" s="203">
        <f>$D$109</f>
        <v/>
      </c>
      <c r="M114" s="0" t="inlineStr">
        <is>
          <t>,25],</t>
        </is>
      </c>
    </row>
    <row r="115">
      <c r="B115" s="0">
        <f>CONCATENATE(C114,D114,E114,F114,G114,H114,I114,J114,K114,L114,M114,N114,O114,P114,Q114,R114,S114,T114,U114,V114,W114,X114,Y114,Z114,AA114,AB114,AC114,AD114,AE114,AF114,AG114,AH114,AI114,AJ114,AK114,AL114,AM114,AN114,AO114,AP114,AQ114,AR114,AS114,AT114,AU114,AV114,AW114,AX114,AY114,AZ114,BA114,BB114,BC114,BD114,BE114,BF114,BG114,BH114)</f>
        <v/>
      </c>
    </row>
    <row r="116">
      <c r="A116" s="151" t="inlineStr">
        <is>
          <t xml:space="preserve">[3,5,1],[3,5,2],[3,5,3],[3,6,4],[3,5,5], </t>
        </is>
      </c>
      <c r="B116" s="0">
        <f>CONCATENATE(C115,D115,E115,F115,G115,H115,I115,J115,K115,L115,M115,N115,O115,P115,Q115,R115,S115,T115,U115,V115,W115,X115,Y115,Z115,AA115,AB115,AC115,AD115,AE115,AF115,AG115,AH115,AI115,AJ115,AK115,AL115,AM115,AN115,AO115,AP115,AQ115,AR115,AS115,AT115,AU115,AV115,AW115,AX115,AY115,AZ115,BA115,BB115,BC115,BD115,BE115,BF115,BG115,BH115)</f>
        <v/>
      </c>
      <c r="C116" s="0" t="inlineStr">
        <is>
          <t>[3,</t>
        </is>
      </c>
      <c r="D116" s="203">
        <f>'Control Panel'!AM49</f>
        <v/>
      </c>
      <c r="E116" s="0" t="inlineStr">
        <is>
          <t>,1],[3,</t>
        </is>
      </c>
      <c r="F116" s="203">
        <f>$D$115</f>
        <v/>
      </c>
      <c r="G116" s="0" t="inlineStr">
        <is>
          <t>,2],[3,</t>
        </is>
      </c>
      <c r="H116" s="203">
        <f>$D$115</f>
        <v/>
      </c>
      <c r="I116" s="0" t="inlineStr">
        <is>
          <t>,3],[3,</t>
        </is>
      </c>
      <c r="J116" s="203">
        <f>$D$115</f>
        <v/>
      </c>
      <c r="K116" s="0" t="inlineStr">
        <is>
          <t>,4],[3,</t>
        </is>
      </c>
      <c r="L116" s="203">
        <f>$D$115</f>
        <v/>
      </c>
      <c r="M116" s="0" t="inlineStr">
        <is>
          <t>,5],</t>
        </is>
      </c>
    </row>
    <row r="117">
      <c r="A117" s="151" t="inlineStr">
        <is>
          <t xml:space="preserve">[3,5,6],[3,5,7],[3,5,8],[3,6,9],[3,5,10], </t>
        </is>
      </c>
      <c r="B117" s="0">
        <f>CONCATENATE(C116,D116,E116,F116,G116,H116,I116,J116,K116,L116,M116,N116,O116,P116,Q116,R116,S116,T116,U116,V116,W116,X116,Y116,Z116,AA116,AB116,AC116,AD116,AE116,AF116,AG116,AH116,AI116,AJ116,AK116,AL116,AM116,AN116,AO116,AP116,AQ116,AR116,AS116,AT116,AU116,AV116,AW116,AX116,AY116,AZ116,BA116,BB116,BC116,BD116,BE116,BF116,BG116,BH116)</f>
        <v/>
      </c>
      <c r="C117" s="0" t="inlineStr">
        <is>
          <t>[3,</t>
        </is>
      </c>
      <c r="D117" s="203">
        <f>$D$115</f>
        <v/>
      </c>
      <c r="E117" s="0" t="inlineStr">
        <is>
          <t>,6],[3,</t>
        </is>
      </c>
      <c r="F117" s="203">
        <f>$D$115</f>
        <v/>
      </c>
      <c r="G117" s="0" t="inlineStr">
        <is>
          <t>,7],[3,</t>
        </is>
      </c>
      <c r="H117" s="203">
        <f>$D$115</f>
        <v/>
      </c>
      <c r="I117" s="0" t="inlineStr">
        <is>
          <t>,8],[3,</t>
        </is>
      </c>
      <c r="J117" s="203">
        <f>$D$115</f>
        <v/>
      </c>
      <c r="K117" s="0" t="inlineStr">
        <is>
          <t>,9],[3,</t>
        </is>
      </c>
      <c r="L117" s="203">
        <f>$D$115</f>
        <v/>
      </c>
      <c r="M117" s="0" t="inlineStr">
        <is>
          <t>,10],</t>
        </is>
      </c>
    </row>
    <row r="118">
      <c r="A118" s="151" t="inlineStr">
        <is>
          <t xml:space="preserve">[3,5,11],[3,5,12],[3,0,13],[3,6,14],[3,5,15], </t>
        </is>
      </c>
      <c r="B118" s="0">
        <f>CONCATENATE(C117,D117,E117,F117,G117,H117,I117,J117,K117,L117,M117,N117,O117,P117,Q117,R117,S117,T117,U117,V117,W117,X117,Y117,Z117,AA117,AB117,AC117,AD117,AE117,AF117,AG117,AH117,AI117,AJ117,AK117,AL117,AM117,AN117,AO117,AP117,AQ117,AR117,AS117,AT117,AU117,AV117,AW117,AX117,AY117,AZ117,BA117,BB117,BC117,BD117,BE117,BF117,BG117,BH117)</f>
        <v/>
      </c>
      <c r="C118" s="0" t="inlineStr">
        <is>
          <t>[3,</t>
        </is>
      </c>
      <c r="D118" s="203">
        <f>$D$115</f>
        <v/>
      </c>
      <c r="E118" s="0" t="inlineStr">
        <is>
          <t>,11],[3,</t>
        </is>
      </c>
      <c r="F118" s="203">
        <f>$D$115</f>
        <v/>
      </c>
      <c r="G118" s="0" t="inlineStr">
        <is>
          <t>,12],[3,</t>
        </is>
      </c>
      <c r="H118" s="203">
        <f>$D$115</f>
        <v/>
      </c>
      <c r="I118" s="0" t="inlineStr">
        <is>
          <t>,13],[3,</t>
        </is>
      </c>
      <c r="J118" s="203">
        <f>$D$115</f>
        <v/>
      </c>
      <c r="K118" s="0" t="inlineStr">
        <is>
          <t>,14],[3,</t>
        </is>
      </c>
      <c r="L118" s="203">
        <f>$D$115</f>
        <v/>
      </c>
      <c r="M118" s="0" t="inlineStr">
        <is>
          <t>,15],</t>
        </is>
      </c>
    </row>
    <row r="119">
      <c r="A119" s="151" t="inlineStr">
        <is>
          <t xml:space="preserve">[3,5,16],[3,5,17],[3,5,18],[3,6,19],[3,5,20], </t>
        </is>
      </c>
      <c r="B119" s="0">
        <f>CONCATENATE(C118,D118,E118,F118,G118,H118,I118,J118,K118,L118,M118,N118,O118,P118,Q118,R118,S118,T118,U118,V118,W118,X118,Y118,Z118,AA118,AB118,AC118,AD118,AE118,AF118,AG118,AH118,AI118,AJ118,AK118,AL118,AM118,AN118,AO118,AP118,AQ118,AR118,AS118,AT118,AU118,AV118,AW118,AX118,AY118,AZ118,BA118,BB118,BC118,BD118,BE118,BF118,BG118,BH118)</f>
        <v/>
      </c>
      <c r="C119" s="0" t="inlineStr">
        <is>
          <t>[3,</t>
        </is>
      </c>
      <c r="D119" s="203">
        <f>$D$115</f>
        <v/>
      </c>
      <c r="E119" s="0" t="inlineStr">
        <is>
          <t>,16],[3,</t>
        </is>
      </c>
      <c r="F119" s="203">
        <f>$D$115</f>
        <v/>
      </c>
      <c r="G119" s="0" t="inlineStr">
        <is>
          <t>,17],[3,</t>
        </is>
      </c>
      <c r="H119" s="203">
        <f>$D$115</f>
        <v/>
      </c>
      <c r="I119" s="0" t="inlineStr">
        <is>
          <t>,18],[3,</t>
        </is>
      </c>
      <c r="J119" s="203">
        <f>$D$115</f>
        <v/>
      </c>
      <c r="K119" s="0" t="inlineStr">
        <is>
          <t>,19],[3,</t>
        </is>
      </c>
      <c r="L119" s="203">
        <f>$D$115</f>
        <v/>
      </c>
      <c r="M119" s="0" t="inlineStr">
        <is>
          <t>,20],</t>
        </is>
      </c>
    </row>
    <row r="120">
      <c r="A120" s="151" t="inlineStr">
        <is>
          <t xml:space="preserve">[3,5,21],[3,5,22],[3,5,23],[3,6,24],[3,5,25], </t>
        </is>
      </c>
      <c r="B120" s="0">
        <f>CONCATENATE(C119,D119,E119,F119,G119,H119,I119,J119,K119,L119,M119,N119,O119,P119,Q119,R119,S119,T119,U119,V119,W119,X119,Y119,Z119,AA119,AB119,AC119,AD119,AE119,AF119,AG119,AH119,AI119,AJ119,AK119,AL119,AM119,AN119,AO119,AP119,AQ119,AR119,AS119,AT119,AU119,AV119,AW119,AX119,AY119,AZ119,BA119,BB119,BC119,BD119,BE119,BF119,BG119,BH119)</f>
        <v/>
      </c>
      <c r="C120" s="0" t="inlineStr">
        <is>
          <t>[3,</t>
        </is>
      </c>
      <c r="D120" s="203">
        <f>$D$115</f>
        <v/>
      </c>
      <c r="E120" s="0" t="inlineStr">
        <is>
          <t>,21],[3,</t>
        </is>
      </c>
      <c r="F120" s="203">
        <f>$D$115</f>
        <v/>
      </c>
      <c r="G120" s="0" t="inlineStr">
        <is>
          <t>,22],[3,</t>
        </is>
      </c>
      <c r="H120" s="203">
        <f>$D$115</f>
        <v/>
      </c>
      <c r="I120" s="0" t="inlineStr">
        <is>
          <t>,23],[3,</t>
        </is>
      </c>
      <c r="J120" s="203">
        <f>$D$115</f>
        <v/>
      </c>
      <c r="K120" s="0" t="inlineStr">
        <is>
          <t>,24],[3,</t>
        </is>
      </c>
      <c r="L120" s="203">
        <f>$D$115</f>
        <v/>
      </c>
      <c r="M120" s="0" t="inlineStr">
        <is>
          <t>,25],</t>
        </is>
      </c>
    </row>
    <row r="121">
      <c r="B121" s="0">
        <f>CONCATENATE(C120,D120,E120,F120,G120,H120,I120,J120,K120,L120,M120,N120,O120,P120,Q120,R120,S120,T120,U120,V120,W120,X120,Y120,Z120,AA120,AB120,AC120,AD120,AE120,AF120,AG120,AH120,AI120,AJ120,AK120,AL120,AM120,AN120,AO120,AP120,AQ120,AR120,AS120,AT120,AU120,AV120,AW120,AX120,AY120,AZ120,BA120,BB120,BC120,BD120,BE120,BF120,BG120,BH120)</f>
        <v/>
      </c>
    </row>
    <row r="122">
      <c r="A122" s="151" t="inlineStr">
        <is>
          <t xml:space="preserve">[4,5,1],[4,5,2],[4,5,3],[4,6,4],[4,5,5], </t>
        </is>
      </c>
      <c r="B122" s="0">
        <f>CONCATENATE(C121,D121,E121,F121,G121,H121,I121,J121,K121,L121,M121,N121,O121,P121,Q121,R121,S121,T121,U121,V121,W121,X121,Y121,Z121,AA121,AB121,AC121,AD121,AE121,AF121,AG121,AH121,AI121,AJ121,AK121,AL121,AM121,AN121,AO121,AP121,AQ121,AR121,AS121,AT121,AU121,AV121,AW121,AX121,AY121,AZ121,BA121,BB121,BC121,BD121,BE121,BF121,BG121,BH121)</f>
        <v/>
      </c>
      <c r="C122" s="0" t="inlineStr">
        <is>
          <t>[4,</t>
        </is>
      </c>
      <c r="D122" s="203">
        <f>'Control Panel'!AS49</f>
        <v/>
      </c>
      <c r="E122" s="0" t="inlineStr">
        <is>
          <t>,1],[4,</t>
        </is>
      </c>
      <c r="F122" s="203">
        <f>$D$121</f>
        <v/>
      </c>
      <c r="G122" s="0" t="inlineStr">
        <is>
          <t>,2],[4,</t>
        </is>
      </c>
      <c r="H122" s="203">
        <f>$D$121</f>
        <v/>
      </c>
      <c r="I122" s="0" t="inlineStr">
        <is>
          <t>,3],[4,</t>
        </is>
      </c>
      <c r="J122" s="203">
        <f>$D$121</f>
        <v/>
      </c>
      <c r="K122" s="0" t="inlineStr">
        <is>
          <t>,4],[4,</t>
        </is>
      </c>
      <c r="L122" s="203">
        <f>$D$121</f>
        <v/>
      </c>
      <c r="M122" s="0" t="inlineStr">
        <is>
          <t>,5],</t>
        </is>
      </c>
    </row>
    <row r="123">
      <c r="A123" s="151" t="inlineStr">
        <is>
          <t xml:space="preserve">[4,5,6],[4,5,7],[4,5,8],[4,6,9],[4,5,10], </t>
        </is>
      </c>
      <c r="B123" s="0">
        <f>CONCATENATE(C122,D122,E122,F122,G122,H122,I122,J122,K122,L122,M122,N122,O122,P122,Q122,R122,S122,T122,U122,V122,W122,X122,Y122,Z122,AA122,AB122,AC122,AD122,AE122,AF122,AG122,AH122,AI122,AJ122,AK122,AL122,AM122,AN122,AO122,AP122,AQ122,AR122,AS122,AT122,AU122,AV122,AW122,AX122,AY122,AZ122,BA122,BB122,BC122,BD122,BE122,BF122,BG122,BH122)</f>
        <v/>
      </c>
      <c r="C123" s="0" t="inlineStr">
        <is>
          <t>[4,</t>
        </is>
      </c>
      <c r="D123" s="203">
        <f>$D$121</f>
        <v/>
      </c>
      <c r="E123" s="0" t="inlineStr">
        <is>
          <t>,6],[4,</t>
        </is>
      </c>
      <c r="F123" s="203">
        <f>$D$121</f>
        <v/>
      </c>
      <c r="G123" s="0" t="inlineStr">
        <is>
          <t>,7],[4,</t>
        </is>
      </c>
      <c r="H123" s="203">
        <f>$D$121</f>
        <v/>
      </c>
      <c r="I123" s="0" t="inlineStr">
        <is>
          <t>,8],[4,</t>
        </is>
      </c>
      <c r="J123" s="203">
        <f>$D$121</f>
        <v/>
      </c>
      <c r="K123" s="0" t="inlineStr">
        <is>
          <t>,9],[4,</t>
        </is>
      </c>
      <c r="L123" s="203">
        <f>$D$121</f>
        <v/>
      </c>
      <c r="M123" s="0" t="inlineStr">
        <is>
          <t>,10],</t>
        </is>
      </c>
    </row>
    <row r="124">
      <c r="A124" s="151" t="inlineStr">
        <is>
          <t xml:space="preserve">[4,5,11],[4,5,12],[4,0,13],[4,6,14],[4,5,15], </t>
        </is>
      </c>
      <c r="B124" s="0">
        <f>CONCATENATE(C123,D123,E123,F123,G123,H123,I123,J123,K123,L123,M123,N123,O123,P123,Q123,R123,S123,T123,U123,V123,W123,X123,Y123,Z123,AA123,AB123,AC123,AD123,AE123,AF123,AG123,AH123,AI123,AJ123,AK123,AL123,AM123,AN123,AO123,AP123,AQ123,AR123,AS123,AT123,AU123,AV123,AW123,AX123,AY123,AZ123,BA123,BB123,BC123,BD123,BE123,BF123,BG123,BH123)</f>
        <v/>
      </c>
      <c r="C124" s="0" t="inlineStr">
        <is>
          <t>[4,</t>
        </is>
      </c>
      <c r="D124" s="203">
        <f>$D$121</f>
        <v/>
      </c>
      <c r="E124" s="0" t="inlineStr">
        <is>
          <t>,11],[4,</t>
        </is>
      </c>
      <c r="F124" s="203">
        <f>$D$121</f>
        <v/>
      </c>
      <c r="G124" s="0" t="inlineStr">
        <is>
          <t>,12],[4,</t>
        </is>
      </c>
      <c r="H124" s="203" t="n">
        <v>0</v>
      </c>
      <c r="I124" s="0" t="inlineStr">
        <is>
          <t>,13],[4,</t>
        </is>
      </c>
      <c r="J124" s="203">
        <f>$D$121</f>
        <v/>
      </c>
      <c r="K124" s="0" t="inlineStr">
        <is>
          <t>,14],[4,</t>
        </is>
      </c>
      <c r="L124" s="203">
        <f>$D$121</f>
        <v/>
      </c>
      <c r="M124" s="0" t="inlineStr">
        <is>
          <t>,15],</t>
        </is>
      </c>
    </row>
    <row r="125">
      <c r="A125" s="151" t="inlineStr">
        <is>
          <t xml:space="preserve">[4,5,16],[4,5,17],[4,5,18],[4,6,19],[4,5,20], </t>
        </is>
      </c>
      <c r="B125" s="0">
        <f>CONCATENATE(C124,D124,E124,F124,G124,H124,I124,J124,K124,L124,M124,N124,O124,P124,Q124,R124,S124,T124,U124,V124,W124,X124,Y124,Z124,AA124,AB124,AC124,AD124,AE124,AF124,AG124,AH124,AI124,AJ124,AK124,AL124,AM124,AN124,AO124,AP124,AQ124,AR124,AS124,AT124,AU124,AV124,AW124,AX124,AY124,AZ124,BA124,BB124,BC124,BD124,BE124,BF124,BG124,BH124)</f>
        <v/>
      </c>
      <c r="C125" s="0" t="inlineStr">
        <is>
          <t>[4,</t>
        </is>
      </c>
      <c r="D125" s="203">
        <f>$D$121</f>
        <v/>
      </c>
      <c r="E125" s="0" t="inlineStr">
        <is>
          <t>,16],[4,</t>
        </is>
      </c>
      <c r="F125" s="203">
        <f>$D$121</f>
        <v/>
      </c>
      <c r="G125" s="0" t="inlineStr">
        <is>
          <t>,17],[4,</t>
        </is>
      </c>
      <c r="H125" s="203">
        <f>$D$121</f>
        <v/>
      </c>
      <c r="I125" s="0" t="inlineStr">
        <is>
          <t>,18],[4,</t>
        </is>
      </c>
      <c r="J125" s="203">
        <f>$D$121</f>
        <v/>
      </c>
      <c r="K125" s="0" t="inlineStr">
        <is>
          <t>,19],[4,</t>
        </is>
      </c>
      <c r="L125" s="203">
        <f>$D$121</f>
        <v/>
      </c>
      <c r="M125" s="0" t="inlineStr">
        <is>
          <t>,20],</t>
        </is>
      </c>
    </row>
    <row r="126">
      <c r="A126" s="151" t="inlineStr">
        <is>
          <t xml:space="preserve">[4,5,21],[4,5,22],[4,5,23],[4,6,24],[4,5,25], </t>
        </is>
      </c>
      <c r="B126" s="0">
        <f>CONCATENATE(C125,D125,E125,F125,G125,H125,I125,J125,K125,L125,M125,N125,O125,P125,Q125,R125,S125,T125,U125,V125,W125,X125,Y125,Z125,AA125,AB125,AC125,AD125,AE125,AF125,AG125,AH125,AI125,AJ125,AK125,AL125,AM125,AN125,AO125,AP125,AQ125,AR125,AS125,AT125,AU125,AV125,AW125,AX125,AY125,AZ125,BA125,BB125,BC125,BD125,BE125,BF125,BG125,BH125)</f>
        <v/>
      </c>
      <c r="C126" s="0" t="inlineStr">
        <is>
          <t>[4,</t>
        </is>
      </c>
      <c r="D126" s="203">
        <f>$D$121</f>
        <v/>
      </c>
      <c r="E126" s="0" t="inlineStr">
        <is>
          <t>,21],[4,</t>
        </is>
      </c>
      <c r="F126" s="203">
        <f>$D$121</f>
        <v/>
      </c>
      <c r="G126" s="0" t="inlineStr">
        <is>
          <t>,22],[4,</t>
        </is>
      </c>
      <c r="H126" s="203">
        <f>$D$121</f>
        <v/>
      </c>
      <c r="I126" s="0" t="inlineStr">
        <is>
          <t>,23],[4,</t>
        </is>
      </c>
      <c r="J126" s="203">
        <f>$D$121</f>
        <v/>
      </c>
      <c r="K126" s="0" t="inlineStr">
        <is>
          <t>,24],[4,</t>
        </is>
      </c>
      <c r="L126" s="203">
        <f>$D$121</f>
        <v/>
      </c>
      <c r="M126" s="0" t="inlineStr">
        <is>
          <t>,25],</t>
        </is>
      </c>
    </row>
    <row r="127">
      <c r="B127" s="0">
        <f>CONCATENATE(C126,D126,E126,F126,G126,H126,I126,J126,K126,L126,M126,N126,O126,P126,Q126,R126,S126,T126,U126,V126,W126,X126,Y126,Z126,AA126,AB126,AC126,AD126,AE126,AF126,AG126,AH126,AI126,AJ126,AK126,AL126,AM126,AN126,AO126,AP126,AQ126,AR126,AS126,AT126,AU126,AV126,AW126,AX126,AY126,AZ126,BA126,BB126,BC126,BD126,BE126,BF126,BG126,BH126)</f>
        <v/>
      </c>
    </row>
    <row r="128">
      <c r="A128" s="151" t="inlineStr">
        <is>
          <t xml:space="preserve">[5,5,1],[5,5,2],[5,5,3],[5,6,4],[5,5,5], </t>
        </is>
      </c>
      <c r="B128" s="0">
        <f>CONCATENATE(C127,D127,E127,F127,G127,H127,I127,J127,K127,L127,M127,N127,O127,P127,Q127,R127,S127,T127,U127,V127,W127,X127,Y127,Z127,AA127,AB127,AC127,AD127,AE127,AF127,AG127,AH127,AI127,AJ127,AK127,AL127,AM127,AN127,AO127,AP127,AQ127,AR127,AS127,AT127,AU127,AV127,AW127,AX127,AY127,AZ127,BA127,BB127,BC127,BD127,BE127,BF127,BG127,BH127)</f>
        <v/>
      </c>
      <c r="C128" s="0" t="inlineStr">
        <is>
          <t>[5,</t>
        </is>
      </c>
      <c r="D128" s="203">
        <f>'Control Panel'!AA56</f>
        <v/>
      </c>
      <c r="E128" s="0" t="inlineStr">
        <is>
          <t>,1],[5,</t>
        </is>
      </c>
      <c r="F128" s="203">
        <f>$D$127</f>
        <v/>
      </c>
      <c r="G128" s="0" t="inlineStr">
        <is>
          <t>,2],[5,</t>
        </is>
      </c>
      <c r="H128" s="203">
        <f>$D$127</f>
        <v/>
      </c>
      <c r="I128" s="0" t="inlineStr">
        <is>
          <t>,3],[5,</t>
        </is>
      </c>
      <c r="J128" s="203">
        <f>$D$127</f>
        <v/>
      </c>
      <c r="K128" s="0" t="inlineStr">
        <is>
          <t>,4],[5,</t>
        </is>
      </c>
      <c r="L128" s="203">
        <f>$D$127</f>
        <v/>
      </c>
      <c r="M128" s="0" t="inlineStr">
        <is>
          <t>,5],</t>
        </is>
      </c>
    </row>
    <row r="129">
      <c r="A129" s="151" t="inlineStr">
        <is>
          <t xml:space="preserve">[5,5,6],[5,5,7],[5,5,8],[5,6,9],[5,5,10], </t>
        </is>
      </c>
      <c r="B129" s="0">
        <f>CONCATENATE(C128,D128,E128,F128,G128,H128,I128,J128,K128,L128,M128,N128,O128,P128,Q128,R128,S128,T128,U128,V128,W128,X128,Y128,Z128,AA128,AB128,AC128,AD128,AE128,AF128,AG128,AH128,AI128,AJ128,AK128,AL128,AM128,AN128,AO128,AP128,AQ128,AR128,AS128,AT128,AU128,AV128,AW128,AX128,AY128,AZ128,BA128,BB128,BC128,BD128,BE128,BF128,BG128,BH128)</f>
        <v/>
      </c>
      <c r="C129" s="0" t="inlineStr">
        <is>
          <t>[5,</t>
        </is>
      </c>
      <c r="D129" s="203">
        <f>$D$127</f>
        <v/>
      </c>
      <c r="E129" s="0" t="inlineStr">
        <is>
          <t>,6],[5,</t>
        </is>
      </c>
      <c r="F129" s="203">
        <f>$D$127</f>
        <v/>
      </c>
      <c r="G129" s="0" t="inlineStr">
        <is>
          <t>,7],[5,</t>
        </is>
      </c>
      <c r="H129" s="203">
        <f>$D$127</f>
        <v/>
      </c>
      <c r="I129" s="0" t="inlineStr">
        <is>
          <t>,8],[5,</t>
        </is>
      </c>
      <c r="J129" s="203">
        <f>$D$127</f>
        <v/>
      </c>
      <c r="K129" s="0" t="inlineStr">
        <is>
          <t>,9],[5,</t>
        </is>
      </c>
      <c r="L129" s="203">
        <f>$D$127</f>
        <v/>
      </c>
      <c r="M129" s="0" t="inlineStr">
        <is>
          <t>,10],</t>
        </is>
      </c>
    </row>
    <row r="130">
      <c r="A130" s="151" t="inlineStr">
        <is>
          <t xml:space="preserve">[5,5,11],[5,5,12],[5,0,13],[5,6,14],[5,5,15], </t>
        </is>
      </c>
      <c r="B130" s="0">
        <f>CONCATENATE(C129,D129,E129,F129,G129,H129,I129,J129,K129,L129,M129,N129,O129,P129,Q129,R129,S129,T129,U129,V129,W129,X129,Y129,Z129,AA129,AB129,AC129,AD129,AE129,AF129,AG129,AH129,AI129,AJ129,AK129,AL129,AM129,AN129,AO129,AP129,AQ129,AR129,AS129,AT129,AU129,AV129,AW129,AX129,AY129,AZ129,BA129,BB129,BC129,BD129,BE129,BF129,BG129,BH129)</f>
        <v/>
      </c>
      <c r="C130" s="0" t="inlineStr">
        <is>
          <t>[5,</t>
        </is>
      </c>
      <c r="D130" s="203">
        <f>$D$127</f>
        <v/>
      </c>
      <c r="E130" s="0" t="inlineStr">
        <is>
          <t>,11],[5,</t>
        </is>
      </c>
      <c r="F130" s="203">
        <f>$D$127</f>
        <v/>
      </c>
      <c r="G130" s="0" t="inlineStr">
        <is>
          <t>,12],[5,</t>
        </is>
      </c>
      <c r="H130" s="203" t="n">
        <v>0</v>
      </c>
      <c r="I130" s="0" t="inlineStr">
        <is>
          <t>,13],[5,</t>
        </is>
      </c>
      <c r="J130" s="203">
        <f>$D$127</f>
        <v/>
      </c>
      <c r="K130" s="0" t="inlineStr">
        <is>
          <t>,14],[5,</t>
        </is>
      </c>
      <c r="L130" s="203">
        <f>$D$127</f>
        <v/>
      </c>
      <c r="M130" s="0" t="inlineStr">
        <is>
          <t>,15],</t>
        </is>
      </c>
    </row>
    <row r="131">
      <c r="A131" s="151" t="inlineStr">
        <is>
          <t xml:space="preserve">[5,5,16],[5,5,17],[5,5,18],[5,6,19],[5,5,20], </t>
        </is>
      </c>
      <c r="B131" s="0">
        <f>CONCATENATE(C130,D130,E130,F130,G130,H130,I130,J130,K130,L130,M130,N130,O130,P130,Q130,R130,S130,T130,U130,V130,W130,X130,Y130,Z130,AA130,AB130,AC130,AD130,AE130,AF130,AG130,AH130,AI130,AJ130,AK130,AL130,AM130,AN130,AO130,AP130,AQ130,AR130,AS130,AT130,AU130,AV130,AW130,AX130,AY130,AZ130,BA130,BB130,BC130,BD130,BE130,BF130,BG130,BH130)</f>
        <v/>
      </c>
      <c r="C131" s="0" t="inlineStr">
        <is>
          <t>[5,</t>
        </is>
      </c>
      <c r="D131" s="203">
        <f>$D$127</f>
        <v/>
      </c>
      <c r="E131" s="0" t="inlineStr">
        <is>
          <t>,16],[5,</t>
        </is>
      </c>
      <c r="F131" s="203">
        <f>$D$127</f>
        <v/>
      </c>
      <c r="G131" s="0" t="inlineStr">
        <is>
          <t>,17],[5,</t>
        </is>
      </c>
      <c r="H131" s="203">
        <f>$D$127</f>
        <v/>
      </c>
      <c r="I131" s="0" t="inlineStr">
        <is>
          <t>,18],[5,</t>
        </is>
      </c>
      <c r="J131" s="203">
        <f>$D$127</f>
        <v/>
      </c>
      <c r="K131" s="0" t="inlineStr">
        <is>
          <t>,19],[5,</t>
        </is>
      </c>
      <c r="L131" s="203">
        <f>$D$127</f>
        <v/>
      </c>
      <c r="M131" s="0" t="inlineStr">
        <is>
          <t>,20],</t>
        </is>
      </c>
    </row>
    <row r="132">
      <c r="A132" s="151" t="inlineStr">
        <is>
          <t xml:space="preserve">[5,5,21],[5,5,22],[5,5,23],[5,6,24],[5,5,25], </t>
        </is>
      </c>
      <c r="B132" s="0">
        <f>CONCATENATE(C131,D131,E131,F131,G131,H131,I131,J131,K131,L131,M131,N131,O131,P131,Q131,R131,S131,T131,U131,V131,W131,X131,Y131,Z131,AA131,AB131,AC131,AD131,AE131,AF131,AG131,AH131,AI131,AJ131,AK131,AL131,AM131,AN131,AO131,AP131,AQ131,AR131,AS131,AT131,AU131,AV131,AW131,AX131,AY131,AZ131,BA131,BB131,BC131,BD131,BE131,BF131,BG131,BH131)</f>
        <v/>
      </c>
      <c r="C132" s="0" t="inlineStr">
        <is>
          <t>[5,</t>
        </is>
      </c>
      <c r="D132" s="203">
        <f>$D$127</f>
        <v/>
      </c>
      <c r="E132" s="0" t="inlineStr">
        <is>
          <t>,21],[5,</t>
        </is>
      </c>
      <c r="F132" s="203">
        <f>$D$127</f>
        <v/>
      </c>
      <c r="G132" s="0" t="inlineStr">
        <is>
          <t>,22],[5,</t>
        </is>
      </c>
      <c r="H132" s="203">
        <f>$D$127</f>
        <v/>
      </c>
      <c r="I132" s="0" t="inlineStr">
        <is>
          <t>,23],[5,</t>
        </is>
      </c>
      <c r="J132" s="203">
        <f>$D$127</f>
        <v/>
      </c>
      <c r="K132" s="0" t="inlineStr">
        <is>
          <t>,24],[5,</t>
        </is>
      </c>
      <c r="L132" s="203">
        <f>$D$127</f>
        <v/>
      </c>
      <c r="M132" s="0" t="inlineStr">
        <is>
          <t>,25],</t>
        </is>
      </c>
    </row>
    <row r="133">
      <c r="B133" s="0">
        <f>CONCATENATE(C132,D132,E132,F132,G132,H132,I132,J132,K132,L132,M132,N132,O132,P132,Q132,R132,S132,T132,U132,V132,W132,X132,Y132,Z132,AA132,AB132,AC132,AD132,AE132,AF132,AG132,AH132,AI132,AJ132,AK132,AL132,AM132,AN132,AO132,AP132,AQ132,AR132,AS132,AT132,AU132,AV132,AW132,AX132,AY132,AZ132,BA132,BB132,BC132,BD132,BE132,BF132,BG132,BH132)</f>
        <v/>
      </c>
    </row>
    <row r="134">
      <c r="A134" s="151" t="inlineStr">
        <is>
          <t xml:space="preserve">[6,5,1],[6,5,2],[6,5,3],[6,6,4],[6,5,5], </t>
        </is>
      </c>
      <c r="B134" s="0">
        <f>CONCATENATE(C133,D133,E133,F133,G133,H133,I133,J133,K133,L133,M133,N133,O133,P133,Q133,R133,S133,T133,U133,V133,W133,X133,Y133,Z133,AA133,AB133,AC133,AD133,AE133,AF133,AG133,AH133,AI133,AJ133,AK133,AL133,AM133,AN133,AO133,AP133,AQ133,AR133,AS133,AT133,AU133,AV133,AW133,AX133,AY133,AZ133,BA133,BB133,BC133,BD133,BE133,BF133,BG133,BH133)</f>
        <v/>
      </c>
      <c r="C134" s="0" t="inlineStr">
        <is>
          <t>[6,</t>
        </is>
      </c>
      <c r="D134" s="203">
        <f>'Control Panel'!AG56</f>
        <v/>
      </c>
      <c r="E134" s="0" t="inlineStr">
        <is>
          <t>,1],[6,</t>
        </is>
      </c>
      <c r="F134" s="203">
        <f>$D$133</f>
        <v/>
      </c>
      <c r="G134" s="0" t="inlineStr">
        <is>
          <t>,2],[6,</t>
        </is>
      </c>
      <c r="H134" s="203">
        <f>$D$133</f>
        <v/>
      </c>
      <c r="I134" s="0" t="inlineStr">
        <is>
          <t>,3],[6,</t>
        </is>
      </c>
      <c r="J134" s="203">
        <f>$D$133</f>
        <v/>
      </c>
      <c r="K134" s="0" t="inlineStr">
        <is>
          <t>,4],[6,</t>
        </is>
      </c>
      <c r="L134" s="203">
        <f>$D$133</f>
        <v/>
      </c>
      <c r="M134" s="0" t="inlineStr">
        <is>
          <t>,5],</t>
        </is>
      </c>
    </row>
    <row r="135">
      <c r="A135" s="151" t="inlineStr">
        <is>
          <t xml:space="preserve">[6,5,6],[6,5,7],[6,5,8],[6,6,9],[6,5,10], </t>
        </is>
      </c>
      <c r="B135" s="0">
        <f>CONCATENATE(C134,D134,E134,F134,G134,H134,I134,J134,K134,L134,M134,N134,O134,P134,Q134,R134,S134,T134,U134,V134,W134,X134,Y134,Z134,AA134,AB134,AC134,AD134,AE134,AF134,AG134,AH134,AI134,AJ134,AK134,AL134,AM134,AN134,AO134,AP134,AQ134,AR134,AS134,AT134,AU134,AV134,AW134,AX134,AY134,AZ134,BA134,BB134,BC134,BD134,BE134,BF134,BG134,BH134)</f>
        <v/>
      </c>
      <c r="C135" s="0" t="inlineStr">
        <is>
          <t>[6,</t>
        </is>
      </c>
      <c r="D135" s="203">
        <f>$D$133</f>
        <v/>
      </c>
      <c r="E135" s="0" t="inlineStr">
        <is>
          <t>,6],[6,</t>
        </is>
      </c>
      <c r="F135" s="203">
        <f>$D$133</f>
        <v/>
      </c>
      <c r="G135" s="0" t="inlineStr">
        <is>
          <t>,7],[6,</t>
        </is>
      </c>
      <c r="H135" s="203">
        <f>$D$133</f>
        <v/>
      </c>
      <c r="I135" s="0" t="inlineStr">
        <is>
          <t>,8],[6,</t>
        </is>
      </c>
      <c r="J135" s="203">
        <f>$D$133</f>
        <v/>
      </c>
      <c r="K135" s="0" t="inlineStr">
        <is>
          <t>,9],[6,</t>
        </is>
      </c>
      <c r="L135" s="203">
        <f>$D$133</f>
        <v/>
      </c>
      <c r="M135" s="0" t="inlineStr">
        <is>
          <t>,10],</t>
        </is>
      </c>
    </row>
    <row r="136">
      <c r="A136" s="151" t="inlineStr">
        <is>
          <t xml:space="preserve">[6,5,11],[6,5,12],[6,0,13],[6,6,14],[6,5,15], </t>
        </is>
      </c>
      <c r="B136" s="0">
        <f>CONCATENATE(C135,D135,E135,F135,G135,H135,I135,J135,K135,L135,M135,N135,O135,P135,Q135,R135,S135,T135,U135,V135,W135,X135,Y135,Z135,AA135,AB135,AC135,AD135,AE135,AF135,AG135,AH135,AI135,AJ135,AK135,AL135,AM135,AN135,AO135,AP135,AQ135,AR135,AS135,AT135,AU135,AV135,AW135,AX135,AY135,AZ135,BA135,BB135,BC135,BD135,BE135,BF135,BG135,BH135)</f>
        <v/>
      </c>
      <c r="C136" s="0" t="inlineStr">
        <is>
          <t>[6,</t>
        </is>
      </c>
      <c r="D136" s="203">
        <f>$D$133</f>
        <v/>
      </c>
      <c r="E136" s="0" t="inlineStr">
        <is>
          <t>,11],[6,</t>
        </is>
      </c>
      <c r="F136" s="203">
        <f>$D$133</f>
        <v/>
      </c>
      <c r="G136" s="0" t="inlineStr">
        <is>
          <t>,12],[6,</t>
        </is>
      </c>
      <c r="H136" s="203" t="n">
        <v>0</v>
      </c>
      <c r="I136" s="0" t="inlineStr">
        <is>
          <t>,13],[6,</t>
        </is>
      </c>
      <c r="J136" s="203">
        <f>$D$133</f>
        <v/>
      </c>
      <c r="K136" s="0" t="inlineStr">
        <is>
          <t>,14],[6,</t>
        </is>
      </c>
      <c r="L136" s="203">
        <f>$D$133</f>
        <v/>
      </c>
      <c r="M136" s="0" t="inlineStr">
        <is>
          <t>,15],</t>
        </is>
      </c>
    </row>
    <row r="137">
      <c r="A137" s="151" t="inlineStr">
        <is>
          <t xml:space="preserve">[6,5,16],[6,5,17],[6,5,18],[6,6,19],[6,5,20], </t>
        </is>
      </c>
      <c r="B137" s="0">
        <f>CONCATENATE(C136,D136,E136,F136,G136,H136,I136,J136,K136,L136,M136,N136,O136,P136,Q136,R136,S136,T136,U136,V136,W136,X136,Y136,Z136,AA136,AB136,AC136,AD136,AE136,AF136,AG136,AH136,AI136,AJ136,AK136,AL136,AM136,AN136,AO136,AP136,AQ136,AR136,AS136,AT136,AU136,AV136,AW136,AX136,AY136,AZ136,BA136,BB136,BC136,BD136,BE136,BF136,BG136,BH136)</f>
        <v/>
      </c>
      <c r="C137" s="0" t="inlineStr">
        <is>
          <t>[6,</t>
        </is>
      </c>
      <c r="D137" s="203">
        <f>$D$133</f>
        <v/>
      </c>
      <c r="E137" s="0" t="inlineStr">
        <is>
          <t>,16],[6,</t>
        </is>
      </c>
      <c r="F137" s="203">
        <f>$D$133</f>
        <v/>
      </c>
      <c r="G137" s="0" t="inlineStr">
        <is>
          <t>,17],[6,</t>
        </is>
      </c>
      <c r="H137" s="203">
        <f>$D$133</f>
        <v/>
      </c>
      <c r="I137" s="0" t="inlineStr">
        <is>
          <t>,18],[6,</t>
        </is>
      </c>
      <c r="J137" s="203">
        <f>$D$133</f>
        <v/>
      </c>
      <c r="K137" s="0" t="inlineStr">
        <is>
          <t>,19],[6,</t>
        </is>
      </c>
      <c r="L137" s="203">
        <f>$D$133</f>
        <v/>
      </c>
      <c r="M137" s="0" t="inlineStr">
        <is>
          <t>,20],</t>
        </is>
      </c>
    </row>
    <row r="138">
      <c r="A138" s="151" t="inlineStr">
        <is>
          <t xml:space="preserve">[6,5,21],[6,5,22],[6,5,23],[6,6,24],[6,5,25], </t>
        </is>
      </c>
      <c r="B138" s="0">
        <f>CONCATENATE(C137,D137,E137,F137,G137,H137,I137,J137,K137,L137,M137,N137,O137,P137,Q137,R137,S137,T137,U137,V137,W137,X137,Y137,Z137,AA137,AB137,AC137,AD137,AE137,AF137,AG137,AH137,AI137,AJ137,AK137,AL137,AM137,AN137,AO137,AP137,AQ137,AR137,AS137,AT137,AU137,AV137,AW137,AX137,AY137,AZ137,BA137,BB137,BC137,BD137,BE137,BF137,BG137,BH137)</f>
        <v/>
      </c>
      <c r="C138" s="0" t="inlineStr">
        <is>
          <t>[6,</t>
        </is>
      </c>
      <c r="D138" s="203">
        <f>$D$133</f>
        <v/>
      </c>
      <c r="E138" s="0" t="inlineStr">
        <is>
          <t>,21],[6,</t>
        </is>
      </c>
      <c r="F138" s="203">
        <f>$D$133</f>
        <v/>
      </c>
      <c r="G138" s="0" t="inlineStr">
        <is>
          <t>,22],[6,</t>
        </is>
      </c>
      <c r="H138" s="203">
        <f>$D$133</f>
        <v/>
      </c>
      <c r="I138" s="0" t="inlineStr">
        <is>
          <t>,23],[6,</t>
        </is>
      </c>
      <c r="J138" s="203">
        <f>$D$133</f>
        <v/>
      </c>
      <c r="K138" s="0" t="inlineStr">
        <is>
          <t>,24],[6,</t>
        </is>
      </c>
      <c r="L138" s="203">
        <f>$D$133</f>
        <v/>
      </c>
      <c r="M138" s="0" t="inlineStr">
        <is>
          <t>,25],</t>
        </is>
      </c>
    </row>
    <row r="139">
      <c r="B139" s="0">
        <f>CONCATENATE(C138,D138,E138,F138,G138,H138,I138,J138,K138,L138,M138,N138,O138,P138,Q138,R138,S138,T138,U138,V138,W138,X138,Y138,Z138,AA138,AB138,AC138,AD138,AE138,AF138,AG138,AH138,AI138,AJ138,AK138,AL138,AM138,AN138,AO138,AP138,AQ138,AR138,AS138,AT138,AU138,AV138,AW138,AX138,AY138,AZ138,BA138,BB138,BC138,BD138,BE138,BF138,BG138,BH138)</f>
        <v/>
      </c>
    </row>
    <row r="140">
      <c r="A140" s="151" t="inlineStr">
        <is>
          <t xml:space="preserve">[7,5,1],[7,5,2],[7,5,3],[7,6,4],[7,5,5], </t>
        </is>
      </c>
      <c r="B140" s="0">
        <f>CONCATENATE(C139,D139,E139,F139,G139,H139,I139,J139,K139,L139,M139,N139,O139,P139,Q139,R139,S139,T139,U139,V139,W139,X139,Y139,Z139,AA139,AB139,AC139,AD139,AE139,AF139,AG139,AH139,AI139,AJ139,AK139,AL139,AM139,AN139,AO139,AP139,AQ139,AR139,AS139,AT139,AU139,AV139,AW139,AX139,AY139,AZ139,BA139,BB139,BC139,BD139,BE139,BF139,BG139,BH139)</f>
        <v/>
      </c>
      <c r="C140" s="0" t="inlineStr">
        <is>
          <t>[7,</t>
        </is>
      </c>
      <c r="D140" s="203">
        <f>'Control Panel'!AM56</f>
        <v/>
      </c>
      <c r="E140" s="0" t="inlineStr">
        <is>
          <t>,1],[7,</t>
        </is>
      </c>
      <c r="F140" s="203">
        <f>$D$139</f>
        <v/>
      </c>
      <c r="G140" s="0" t="inlineStr">
        <is>
          <t>,2],[7,</t>
        </is>
      </c>
      <c r="H140" s="203">
        <f>$D$139</f>
        <v/>
      </c>
      <c r="I140" s="0" t="inlineStr">
        <is>
          <t>,3],[7,</t>
        </is>
      </c>
      <c r="J140" s="203">
        <f>$D$139</f>
        <v/>
      </c>
      <c r="K140" s="0" t="inlineStr">
        <is>
          <t>,4],[7,</t>
        </is>
      </c>
      <c r="L140" s="203">
        <f>$D$139</f>
        <v/>
      </c>
      <c r="M140" s="0" t="inlineStr">
        <is>
          <t>,5],</t>
        </is>
      </c>
    </row>
    <row r="141">
      <c r="A141" s="151" t="inlineStr">
        <is>
          <t xml:space="preserve">[7,5,6],[7,5,7],[7,5,8],[7,6,9],[7,5,10], </t>
        </is>
      </c>
      <c r="B141" s="0">
        <f>CONCATENATE(C140,D140,E140,F140,G140,H140,I140,J140,K140,L140,M140,N140,O140,P140,Q140,R140,S140,T140,U140,V140,W140,X140,Y140,Z140,AA140,AB140,AC140,AD140,AE140,AF140,AG140,AH140,AI140,AJ140,AK140,AL140,AM140,AN140,AO140,AP140,AQ140,AR140,AS140,AT140,AU140,AV140,AW140,AX140,AY140,AZ140,BA140,BB140,BC140,BD140,BE140,BF140,BG140,BH140)</f>
        <v/>
      </c>
      <c r="C141" s="0" t="inlineStr">
        <is>
          <t>[7,</t>
        </is>
      </c>
      <c r="D141" s="203">
        <f>$D$139</f>
        <v/>
      </c>
      <c r="E141" s="0" t="inlineStr">
        <is>
          <t>,6],[7,</t>
        </is>
      </c>
      <c r="F141" s="203">
        <f>$D$139</f>
        <v/>
      </c>
      <c r="G141" s="0" t="inlineStr">
        <is>
          <t>,7],[7,</t>
        </is>
      </c>
      <c r="H141" s="203">
        <f>$D$139</f>
        <v/>
      </c>
      <c r="I141" s="0" t="inlineStr">
        <is>
          <t>,8],[7,</t>
        </is>
      </c>
      <c r="J141" s="203">
        <f>$D$139</f>
        <v/>
      </c>
      <c r="K141" s="0" t="inlineStr">
        <is>
          <t>,9],[7,</t>
        </is>
      </c>
      <c r="L141" s="203">
        <f>$D$139</f>
        <v/>
      </c>
      <c r="M141" s="0" t="inlineStr">
        <is>
          <t>,10],</t>
        </is>
      </c>
    </row>
    <row r="142">
      <c r="A142" s="151" t="inlineStr">
        <is>
          <t xml:space="preserve">[7,5,11],[7,5,12],[7,0,13],[7,6,14],[7,5,15], </t>
        </is>
      </c>
      <c r="B142" s="0">
        <f>CONCATENATE(C141,D141,E141,F141,G141,H141,I141,J141,K141,L141,M141,N141,O141,P141,Q141,R141,S141,T141,U141,V141,W141,X141,Y141,Z141,AA141,AB141,AC141,AD141,AE141,AF141,AG141,AH141,AI141,AJ141,AK141,AL141,AM141,AN141,AO141,AP141,AQ141,AR141,AS141,AT141,AU141,AV141,AW141,AX141,AY141,AZ141,BA141,BB141,BC141,BD141,BE141,BF141,BG141,BH141)</f>
        <v/>
      </c>
      <c r="C142" s="0" t="inlineStr">
        <is>
          <t>[7,</t>
        </is>
      </c>
      <c r="D142" s="203">
        <f>$D$139</f>
        <v/>
      </c>
      <c r="E142" s="0" t="inlineStr">
        <is>
          <t>,11],[7,</t>
        </is>
      </c>
      <c r="F142" s="203">
        <f>$D$139</f>
        <v/>
      </c>
      <c r="G142" s="0" t="inlineStr">
        <is>
          <t>,12],[7,</t>
        </is>
      </c>
      <c r="H142" s="203" t="n">
        <v>0</v>
      </c>
      <c r="I142" s="0" t="inlineStr">
        <is>
          <t>,13],[7,</t>
        </is>
      </c>
      <c r="J142" s="203">
        <f>$D$139</f>
        <v/>
      </c>
      <c r="K142" s="0" t="inlineStr">
        <is>
          <t>,14],[7,</t>
        </is>
      </c>
      <c r="L142" s="203">
        <f>$D$139</f>
        <v/>
      </c>
      <c r="M142" s="0" t="inlineStr">
        <is>
          <t>,15],</t>
        </is>
      </c>
    </row>
    <row r="143">
      <c r="A143" s="151" t="inlineStr">
        <is>
          <t xml:space="preserve">[7,5,16],[7,5,17],[7,5,18],[7,6,19],[7,5,20], </t>
        </is>
      </c>
      <c r="B143" s="0">
        <f>CONCATENATE(C142,D142,E142,F142,G142,H142,I142,J142,K142,L142,M142,N142,O142,P142,Q142,R142,S142,T142,U142,V142,W142,X142,Y142,Z142,AA142,AB142,AC142,AD142,AE142,AF142,AG142,AH142,AI142,AJ142,AK142,AL142,AM142,AN142,AO142,AP142,AQ142,AR142,AS142,AT142,AU142,AV142,AW142,AX142,AY142,AZ142,BA142,BB142,BC142,BD142,BE142,BF142,BG142,BH142)</f>
        <v/>
      </c>
      <c r="C143" s="0" t="inlineStr">
        <is>
          <t>[7,</t>
        </is>
      </c>
      <c r="D143" s="203">
        <f>$D$139</f>
        <v/>
      </c>
      <c r="E143" s="0" t="inlineStr">
        <is>
          <t>,16],[7,</t>
        </is>
      </c>
      <c r="F143" s="203">
        <f>$D$139</f>
        <v/>
      </c>
      <c r="G143" s="0" t="inlineStr">
        <is>
          <t>,17],[7,</t>
        </is>
      </c>
      <c r="H143" s="203">
        <f>$D$139</f>
        <v/>
      </c>
      <c r="I143" s="0" t="inlineStr">
        <is>
          <t>,18],[7,</t>
        </is>
      </c>
      <c r="J143" s="203">
        <f>$D$139</f>
        <v/>
      </c>
      <c r="K143" s="0" t="inlineStr">
        <is>
          <t>,19],[7,</t>
        </is>
      </c>
      <c r="L143" s="203">
        <f>$D$139</f>
        <v/>
      </c>
      <c r="M143" s="0" t="inlineStr">
        <is>
          <t>,20],</t>
        </is>
      </c>
    </row>
    <row r="144">
      <c r="A144" s="151" t="inlineStr">
        <is>
          <t xml:space="preserve">[7,5,21],[7,5,22],[7,5,23],[7,6,24],[7,5,25], </t>
        </is>
      </c>
      <c r="B144" s="0">
        <f>CONCATENATE(C143,D143,E143,F143,G143,H143,I143,J143,K143,L143,M143,N143,O143,P143,Q143,R143,S143,T143,U143,V143,W143,X143,Y143,Z143,AA143,AB143,AC143,AD143,AE143,AF143,AG143,AH143,AI143,AJ143,AK143,AL143,AM143,AN143,AO143,AP143,AQ143,AR143,AS143,AT143,AU143,AV143,AW143,AX143,AY143,AZ143,BA143,BB143,BC143,BD143,BE143,BF143,BG143,BH143)</f>
        <v/>
      </c>
      <c r="C144" s="0" t="inlineStr">
        <is>
          <t>[7,</t>
        </is>
      </c>
      <c r="D144" s="203">
        <f>$D$139</f>
        <v/>
      </c>
      <c r="E144" s="0" t="inlineStr">
        <is>
          <t>,21],[7,</t>
        </is>
      </c>
      <c r="F144" s="203">
        <f>$D$139</f>
        <v/>
      </c>
      <c r="G144" s="0" t="inlineStr">
        <is>
          <t>,22],[7,</t>
        </is>
      </c>
      <c r="H144" s="203">
        <f>$D$139</f>
        <v/>
      </c>
      <c r="I144" s="0" t="inlineStr">
        <is>
          <t>,23],[7,</t>
        </is>
      </c>
      <c r="J144" s="203">
        <f>$D$139</f>
        <v/>
      </c>
      <c r="K144" s="0" t="inlineStr">
        <is>
          <t>,24],[7,</t>
        </is>
      </c>
      <c r="L144" s="203">
        <f>$D$139</f>
        <v/>
      </c>
      <c r="M144" s="0" t="inlineStr">
        <is>
          <t>,25],</t>
        </is>
      </c>
    </row>
    <row r="145">
      <c r="B145" s="0">
        <f>CONCATENATE(C144,D144,E144,F144,G144,H144,I144,J144,K144,L144,M144,N144,O144,P144,Q144,R144,S144,T144,U144,V144,W144,X144,Y144,Z144,AA144,AB144,AC144,AD144,AE144,AF144,AG144,AH144,AI144,AJ144,AK144,AL144,AM144,AN144,AO144,AP144,AQ144,AR144,AS144,AT144,AU144,AV144,AW144,AX144,AY144,AZ144,BA144,BB144,BC144,BD144,BE144,BF144,BG144,BH144)</f>
        <v/>
      </c>
    </row>
    <row r="146">
      <c r="A146" s="151" t="inlineStr">
        <is>
          <t xml:space="preserve">[8,5,1],[8,5,2],[8,5,3],[8,6,4],[8,5,5], </t>
        </is>
      </c>
      <c r="B146" s="0">
        <f>CONCATENATE(C145,D145,E145,F145,G145,H145,I145,J145,K145,L145,M145,N145,O145,P145,Q145,R145,S145,T145,U145,V145,W145,X145,Y145,Z145,AA145,AB145,AC145,AD145,AE145,AF145,AG145,AH145,AI145,AJ145,AK145,AL145,AM145,AN145,AO145,AP145,AQ145,AR145,AS145,AT145,AU145,AV145,AW145,AX145,AY145,AZ145,BA145,BB145,BC145,BD145,BE145,BF145,BG145,BH145)</f>
        <v/>
      </c>
      <c r="C146" s="0" t="inlineStr">
        <is>
          <t>[8,</t>
        </is>
      </c>
      <c r="D146" s="203">
        <f>'Control Panel'!AS56</f>
        <v/>
      </c>
      <c r="E146" s="0" t="inlineStr">
        <is>
          <t>,1],[8,</t>
        </is>
      </c>
      <c r="F146" s="203">
        <f>$D$145</f>
        <v/>
      </c>
      <c r="G146" s="0" t="inlineStr">
        <is>
          <t>,2],[8,</t>
        </is>
      </c>
      <c r="H146" s="203">
        <f>$D$145</f>
        <v/>
      </c>
      <c r="I146" s="0" t="inlineStr">
        <is>
          <t>,3],[8,</t>
        </is>
      </c>
      <c r="J146" s="203">
        <f>$D$145</f>
        <v/>
      </c>
      <c r="K146" s="0" t="inlineStr">
        <is>
          <t>,4],[8,</t>
        </is>
      </c>
      <c r="L146" s="203">
        <f>$D$145</f>
        <v/>
      </c>
      <c r="M146" s="0" t="inlineStr">
        <is>
          <t>,5],</t>
        </is>
      </c>
    </row>
    <row r="147">
      <c r="A147" s="151" t="inlineStr">
        <is>
          <t xml:space="preserve">[8,5,6],[8,5,7],[8,5,8],[8,6,9],[8,5,10], </t>
        </is>
      </c>
      <c r="B147" s="0">
        <f>CONCATENATE(C146,D146,E146,F146,G146,H146,I146,J146,K146,L146,M146,N146,O146,P146,Q146,R146,S146,T146,U146,V146,W146,X146,Y146,Z146,AA146,AB146,AC146,AD146,AE146,AF146,AG146,AH146,AI146,AJ146,AK146,AL146,AM146,AN146,AO146,AP146,AQ146,AR146,AS146,AT146,AU146,AV146,AW146,AX146,AY146,AZ146,BA146,BB146,BC146,BD146,BE146,BF146,BG146,BH146)</f>
        <v/>
      </c>
      <c r="C147" s="0" t="inlineStr">
        <is>
          <t>[8,</t>
        </is>
      </c>
      <c r="D147" s="203">
        <f>$D$145</f>
        <v/>
      </c>
      <c r="E147" s="0" t="inlineStr">
        <is>
          <t>,6],[8,</t>
        </is>
      </c>
      <c r="F147" s="203">
        <f>$D$145</f>
        <v/>
      </c>
      <c r="G147" s="0" t="inlineStr">
        <is>
          <t>,7],[8,</t>
        </is>
      </c>
      <c r="H147" s="203">
        <f>$D$145</f>
        <v/>
      </c>
      <c r="I147" s="0" t="inlineStr">
        <is>
          <t>,8],[8,</t>
        </is>
      </c>
      <c r="J147" s="203">
        <f>$D$145</f>
        <v/>
      </c>
      <c r="K147" s="0" t="inlineStr">
        <is>
          <t>,9],[8,</t>
        </is>
      </c>
      <c r="L147" s="203">
        <f>$D$145</f>
        <v/>
      </c>
      <c r="M147" s="0" t="inlineStr">
        <is>
          <t>,10],</t>
        </is>
      </c>
    </row>
    <row r="148">
      <c r="A148" s="151" t="inlineStr">
        <is>
          <t xml:space="preserve">[8,5,11],[8,5,12],[8,0,13],[8,6,14],[8,5,15], </t>
        </is>
      </c>
      <c r="B148" s="0">
        <f>CONCATENATE(C147,D147,E147,F147,G147,H147,I147,J147,K147,L147,M147,N147,O147,P147,Q147,R147,S147,T147,U147,V147,W147,X147,Y147,Z147,AA147,AB147,AC147,AD147,AE147,AF147,AG147,AH147,AI147,AJ147,AK147,AL147,AM147,AN147,AO147,AP147,AQ147,AR147,AS147,AT147,AU147,AV147,AW147,AX147,AY147,AZ147,BA147,BB147,BC147,BD147,BE147,BF147,BG147,BH147)</f>
        <v/>
      </c>
      <c r="C148" s="0" t="inlineStr">
        <is>
          <t>[8,</t>
        </is>
      </c>
      <c r="D148" s="203">
        <f>$D$145</f>
        <v/>
      </c>
      <c r="E148" s="0" t="inlineStr">
        <is>
          <t>,11],[8,</t>
        </is>
      </c>
      <c r="F148" s="203">
        <f>$D$145</f>
        <v/>
      </c>
      <c r="G148" s="0" t="inlineStr">
        <is>
          <t>,12],[8,</t>
        </is>
      </c>
      <c r="H148" s="203" t="n">
        <v>0</v>
      </c>
      <c r="I148" s="0" t="inlineStr">
        <is>
          <t>,13],[8,</t>
        </is>
      </c>
      <c r="J148" s="203">
        <f>$D$145</f>
        <v/>
      </c>
      <c r="K148" s="0" t="inlineStr">
        <is>
          <t>,14],[8,</t>
        </is>
      </c>
      <c r="L148" s="203">
        <f>$D$145</f>
        <v/>
      </c>
      <c r="M148" s="0" t="inlineStr">
        <is>
          <t>,15],</t>
        </is>
      </c>
    </row>
    <row r="149">
      <c r="A149" s="151" t="inlineStr">
        <is>
          <t xml:space="preserve">[8,5,16],[8,5,17],[8,5,18],[8,6,19],[8,5,20], </t>
        </is>
      </c>
      <c r="B149" s="0">
        <f>CONCATENATE(C148,D148,E148,F148,G148,H148,I148,J148,K148,L148,M148,N148,O148,P148,Q148,R148,S148,T148,U148,V148,W148,X148,Y148,Z148,AA148,AB148,AC148,AD148,AE148,AF148,AG148,AH148,AI148,AJ148,AK148,AL148,AM148,AN148,AO148,AP148,AQ148,AR148,AS148,AT148,AU148,AV148,AW148,AX148,AY148,AZ148,BA148,BB148,BC148,BD148,BE148,BF148,BG148,BH148)</f>
        <v/>
      </c>
      <c r="C149" s="0" t="inlineStr">
        <is>
          <t>[8,</t>
        </is>
      </c>
      <c r="D149" s="203">
        <f>$D$145</f>
        <v/>
      </c>
      <c r="E149" s="0" t="inlineStr">
        <is>
          <t>,16],[8,</t>
        </is>
      </c>
      <c r="F149" s="203">
        <f>$D$145</f>
        <v/>
      </c>
      <c r="G149" s="0" t="inlineStr">
        <is>
          <t>,17],[8,</t>
        </is>
      </c>
      <c r="H149" s="203">
        <f>$D$145</f>
        <v/>
      </c>
      <c r="I149" s="0" t="inlineStr">
        <is>
          <t>,18],[8,</t>
        </is>
      </c>
      <c r="J149" s="203">
        <f>$D$145</f>
        <v/>
      </c>
      <c r="K149" s="0" t="inlineStr">
        <is>
          <t>,19],[8,</t>
        </is>
      </c>
      <c r="L149" s="203">
        <f>$D$145</f>
        <v/>
      </c>
      <c r="M149" s="0" t="inlineStr">
        <is>
          <t>,20],</t>
        </is>
      </c>
    </row>
    <row r="150">
      <c r="A150" s="151" t="inlineStr">
        <is>
          <t xml:space="preserve">[8,5,21],[8,5,22],[8,5,23],[8,6,24],[8,5,25] </t>
        </is>
      </c>
      <c r="B150" s="0">
        <f>CONCATENATE(C149,D149,E149,F149,G149,H149,I149,J149,K149,L149,M149,N149,O149,P149,Q149,R149,S149,T149,U149,V149,W149,X149,Y149,Z149,AA149,AB149,AC149,AD149,AE149,AF149,AG149,AH149,AI149,AJ149,AK149,AL149,AM149,AN149,AO149,AP149,AQ149,AR149,AS149,AT149,AU149,AV149,AW149,AX149,AY149,AZ149,BA149,BB149,BC149,BD149,BE149,BF149,BG149,BH149)</f>
        <v/>
      </c>
      <c r="C150" s="0" t="inlineStr">
        <is>
          <t>[8,</t>
        </is>
      </c>
      <c r="D150" s="203">
        <f>$D$145</f>
        <v/>
      </c>
      <c r="E150" s="0" t="inlineStr">
        <is>
          <t>,21],[8,</t>
        </is>
      </c>
      <c r="F150" s="203">
        <f>$D$145</f>
        <v/>
      </c>
      <c r="G150" s="0" t="inlineStr">
        <is>
          <t>,22],[8,</t>
        </is>
      </c>
      <c r="H150" s="203">
        <f>$D$145</f>
        <v/>
      </c>
      <c r="I150" s="0" t="inlineStr">
        <is>
          <t>,23],[8,</t>
        </is>
      </c>
      <c r="J150" s="203">
        <f>$D$145</f>
        <v/>
      </c>
      <c r="K150" s="0" t="inlineStr">
        <is>
          <t>,24],[8,</t>
        </is>
      </c>
      <c r="L150" s="203">
        <f>$D$145</f>
        <v/>
      </c>
      <c r="M150" s="0" t="inlineStr">
        <is>
          <t>,25],</t>
        </is>
      </c>
    </row>
    <row r="151">
      <c r="A151" s="151" t="inlineStr">
        <is>
          <t xml:space="preserve">], </t>
        </is>
      </c>
      <c r="B151" s="0">
        <f>CONCATENATE(C150,D150,E150,F150,G150,H150,I150,J150,K150,L150,M150,N150,O150,P150,Q150,R150,S150,T150,U150,V150,W150,X150,Y150,Z150,AA150,AB150,AC150,AD150,AE150,AF150,AG150,AH150,AI150,AJ150,AK150,AL150,AM150,AN150,AO150,AP150,AQ150,AR150,AS150,AT150,AU150,AV150,AW150,AX150,AY150,AZ150,BA150,BB150,BC150,BD150,BE150,BF150,BG150,BH150)</f>
        <v/>
      </c>
      <c r="C151" s="0" t="inlineStr">
        <is>
          <t xml:space="preserve">], </t>
        </is>
      </c>
    </row>
    <row r="152">
      <c r="A152" s="151" t="inlineStr">
        <is>
          <t xml:space="preserve">[ </t>
        </is>
      </c>
      <c r="B152" s="0">
        <f>CONCATENATE(C151,D151,E151,F151,G151,H151,I151,J151,K151,L151,M151,N151,O151,P151,Q151,R151,S151,T151,U151,V151,W151,X151,Y151,Z151,AA151,AB151,AC151,AD151,AE151,AF151,AG151,AH151,AI151,AJ151,AK151,AL151,AM151,AN151,AO151,AP151,AQ151,AR151,AS151,AT151,AU151,AV151,AW151,AX151,AY151,AZ151,BA151,BB151,BC151,BD151,BE151,BF151,BG151,BH151)</f>
        <v/>
      </c>
      <c r="C152" s="0" t="inlineStr">
        <is>
          <t xml:space="preserve">[ </t>
        </is>
      </c>
    </row>
    <row r="153">
      <c r="A153" s="151" t="inlineStr">
        <is>
          <t xml:space="preserve">[1,5,1],[1,5,2],[1,5,3],[1,6,4],[1,5,5], </t>
        </is>
      </c>
      <c r="B153" s="0">
        <f>CONCATENATE(C152,D152,E152,F152,G152,H152,I152,J152,K152,L152,M152,N152,O152,P152,Q152,R152,S152,T152,U152,V152,W152,X152,Y152,Z152,AA152,AB152,AC152,AD152,AE152,AF152,AG152,AH152,AI152,AJ152,AK152,AL152,AM152,AN152,AO152,AP152,AQ152,AR152,AS152,AT152,AU152,AV152,AW152,AX152,AY152,AZ152,BA152,BB152,BC152,BD152,BE152,BF152,BG152,BH152)</f>
        <v/>
      </c>
      <c r="C153" s="0" t="inlineStr">
        <is>
          <t>[1,</t>
        </is>
      </c>
      <c r="D153" s="203">
        <f>'Control Panel'!AA64</f>
        <v/>
      </c>
      <c r="E153" s="0" t="inlineStr">
        <is>
          <t>,1],[1,</t>
        </is>
      </c>
      <c r="F153" s="203">
        <f>$D$152</f>
        <v/>
      </c>
      <c r="G153" s="0" t="inlineStr">
        <is>
          <t>,2],[1,</t>
        </is>
      </c>
      <c r="H153" s="203">
        <f>$D$152</f>
        <v/>
      </c>
      <c r="I153" s="0" t="inlineStr">
        <is>
          <t>,3],[1,</t>
        </is>
      </c>
      <c r="J153" s="203">
        <f>$D$152</f>
        <v/>
      </c>
      <c r="K153" s="0" t="inlineStr">
        <is>
          <t>,4],[1,</t>
        </is>
      </c>
      <c r="L153" s="203">
        <f>$D$152</f>
        <v/>
      </c>
      <c r="M153" s="0" t="inlineStr">
        <is>
          <t>,5],</t>
        </is>
      </c>
    </row>
    <row r="154">
      <c r="A154" s="151" t="inlineStr">
        <is>
          <t xml:space="preserve">[1,5,6],[1,5,7],[1,5,8],[1,6,9],[1,5,10], </t>
        </is>
      </c>
      <c r="B154" s="0">
        <f>CONCATENATE(C153,D153,E153,F153,G153,H153,I153,J153,K153,L153,M153,N153,O153,P153,Q153,R153,S153,T153,U153,V153,W153,X153,Y153,Z153,AA153,AB153,AC153,AD153,AE153,AF153,AG153,AH153,AI153,AJ153,AK153,AL153,AM153,AN153,AO153,AP153,AQ153,AR153,AS153,AT153,AU153,AV153,AW153,AX153,AY153,AZ153,BA153,BB153,BC153,BD153,BE153,BF153,BG153,BH153)</f>
        <v/>
      </c>
      <c r="C154" s="0" t="inlineStr">
        <is>
          <t>[1,</t>
        </is>
      </c>
      <c r="D154" s="203">
        <f>$D$152</f>
        <v/>
      </c>
      <c r="E154" s="0" t="inlineStr">
        <is>
          <t>,6],[1,</t>
        </is>
      </c>
      <c r="F154" s="203">
        <f>$D$152</f>
        <v/>
      </c>
      <c r="G154" s="0" t="inlineStr">
        <is>
          <t>,7],[1,</t>
        </is>
      </c>
      <c r="H154" s="203">
        <f>$D$152</f>
        <v/>
      </c>
      <c r="I154" s="0" t="inlineStr">
        <is>
          <t>,8],[1,</t>
        </is>
      </c>
      <c r="J154" s="203">
        <f>$D$152</f>
        <v/>
      </c>
      <c r="K154" s="0" t="inlineStr">
        <is>
          <t>,9],[1,</t>
        </is>
      </c>
      <c r="L154" s="203">
        <f>$D$152</f>
        <v/>
      </c>
      <c r="M154" s="0" t="inlineStr">
        <is>
          <t>,10],</t>
        </is>
      </c>
    </row>
    <row r="155">
      <c r="A155" s="151" t="inlineStr">
        <is>
          <t xml:space="preserve">[1,5,11],[1,5,12],[1,0,13],[1,6,14],[1,5,15], </t>
        </is>
      </c>
      <c r="B155" s="0">
        <f>CONCATENATE(C154,D154,E154,F154,G154,H154,I154,J154,K154,L154,M154,N154,O154,P154,Q154,R154,S154,T154,U154,V154,W154,X154,Y154,Z154,AA154,AB154,AC154,AD154,AE154,AF154,AG154,AH154,AI154,AJ154,AK154,AL154,AM154,AN154,AO154,AP154,AQ154,AR154,AS154,AT154,AU154,AV154,AW154,AX154,AY154,AZ154,BA154,BB154,BC154,BD154,BE154,BF154,BG154,BH154)</f>
        <v/>
      </c>
      <c r="C155" s="0" t="inlineStr">
        <is>
          <t>[1,</t>
        </is>
      </c>
      <c r="D155" s="203">
        <f>$D$152</f>
        <v/>
      </c>
      <c r="E155" s="0" t="inlineStr">
        <is>
          <t>,11],[1,</t>
        </is>
      </c>
      <c r="F155" s="203">
        <f>$D$152</f>
        <v/>
      </c>
      <c r="G155" s="0" t="inlineStr">
        <is>
          <t>,12],[1,</t>
        </is>
      </c>
      <c r="H155" s="203" t="n">
        <v>0</v>
      </c>
      <c r="I155" s="0" t="inlineStr">
        <is>
          <t>,13],[1,</t>
        </is>
      </c>
      <c r="J155" s="203">
        <f>$D$152</f>
        <v/>
      </c>
      <c r="K155" s="0" t="inlineStr">
        <is>
          <t>,14],[1,</t>
        </is>
      </c>
      <c r="L155" s="203">
        <f>$D$152</f>
        <v/>
      </c>
      <c r="M155" s="0" t="inlineStr">
        <is>
          <t>,15],</t>
        </is>
      </c>
    </row>
    <row r="156">
      <c r="A156" s="151" t="inlineStr">
        <is>
          <t xml:space="preserve">[1,5,16],[1,5,17],[1,5,18],[1,6,19],[1,5,20], </t>
        </is>
      </c>
      <c r="B156" s="0">
        <f>CONCATENATE(C155,D155,E155,F155,G155,H155,I155,J155,K155,L155,M155,N155,O155,P155,Q155,R155,S155,T155,U155,V155,W155,X155,Y155,Z155,AA155,AB155,AC155,AD155,AE155,AF155,AG155,AH155,AI155,AJ155,AK155,AL155,AM155,AN155,AO155,AP155,AQ155,AR155,AS155,AT155,AU155,AV155,AW155,AX155,AY155,AZ155,BA155,BB155,BC155,BD155,BE155,BF155,BG155,BH155)</f>
        <v/>
      </c>
      <c r="C156" s="0" t="inlineStr">
        <is>
          <t>[1,</t>
        </is>
      </c>
      <c r="D156" s="203">
        <f>$D$152</f>
        <v/>
      </c>
      <c r="E156" s="0" t="inlineStr">
        <is>
          <t>,16],[1,</t>
        </is>
      </c>
      <c r="F156" s="203">
        <f>$D$152</f>
        <v/>
      </c>
      <c r="G156" s="0" t="inlineStr">
        <is>
          <t>,17],[1,</t>
        </is>
      </c>
      <c r="H156" s="203">
        <f>$D$152</f>
        <v/>
      </c>
      <c r="I156" s="0" t="inlineStr">
        <is>
          <t>,18],[1,</t>
        </is>
      </c>
      <c r="J156" s="203">
        <f>$D$152</f>
        <v/>
      </c>
      <c r="K156" s="0" t="inlineStr">
        <is>
          <t>,19],[1,</t>
        </is>
      </c>
      <c r="L156" s="203">
        <f>$D$152</f>
        <v/>
      </c>
      <c r="M156" s="0" t="inlineStr">
        <is>
          <t>,20],</t>
        </is>
      </c>
    </row>
    <row r="157">
      <c r="A157" s="151" t="inlineStr">
        <is>
          <t xml:space="preserve">[1,5,21],[1,5,22],[1,5,23],[1,6,24],[1,5,25], </t>
        </is>
      </c>
      <c r="B157" s="0">
        <f>CONCATENATE(C156,D156,E156,F156,G156,H156,I156,J156,K156,L156,M156,N156,O156,P156,Q156,R156,S156,T156,U156,V156,W156,X156,Y156,Z156,AA156,AB156,AC156,AD156,AE156,AF156,AG156,AH156,AI156,AJ156,AK156,AL156,AM156,AN156,AO156,AP156,AQ156,AR156,AS156,AT156,AU156,AV156,AW156,AX156,AY156,AZ156,BA156,BB156,BC156,BD156,BE156,BF156,BG156,BH156)</f>
        <v/>
      </c>
      <c r="C157" s="0" t="inlineStr">
        <is>
          <t>[1,</t>
        </is>
      </c>
      <c r="D157" s="203">
        <f>$D$152</f>
        <v/>
      </c>
      <c r="E157" s="0" t="inlineStr">
        <is>
          <t>,21],[1,</t>
        </is>
      </c>
      <c r="F157" s="203">
        <f>$D$152</f>
        <v/>
      </c>
      <c r="G157" s="0" t="inlineStr">
        <is>
          <t>,22],[1,</t>
        </is>
      </c>
      <c r="H157" s="203">
        <f>$D$152</f>
        <v/>
      </c>
      <c r="I157" s="0" t="inlineStr">
        <is>
          <t>,23],[1,</t>
        </is>
      </c>
      <c r="J157" s="203">
        <f>$D$152</f>
        <v/>
      </c>
      <c r="K157" s="0" t="inlineStr">
        <is>
          <t>,24],[1,</t>
        </is>
      </c>
      <c r="L157" s="203">
        <f>$D$152</f>
        <v/>
      </c>
      <c r="M157" s="0" t="inlineStr">
        <is>
          <t>,25],</t>
        </is>
      </c>
    </row>
    <row r="158">
      <c r="B158" s="0">
        <f>CONCATENATE(C157,D157,E157,F157,G157,H157,I157,J157,K157,L157,M157,N157,O157,P157,Q157,R157,S157,T157,U157,V157,W157,X157,Y157,Z157,AA157,AB157,AC157,AD157,AE157,AF157,AG157,AH157,AI157,AJ157,AK157,AL157,AM157,AN157,AO157,AP157,AQ157,AR157,AS157,AT157,AU157,AV157,AW157,AX157,AY157,AZ157,BA157,BB157,BC157,BD157,BE157,BF157,BG157,BH157)</f>
        <v/>
      </c>
    </row>
    <row r="159">
      <c r="A159" s="151" t="inlineStr">
        <is>
          <t xml:space="preserve">[2,5,1],[2,5,2],[2,5,3],[2,6,4],[2,5,5], </t>
        </is>
      </c>
      <c r="B159" s="0">
        <f>CONCATENATE(C158,D158,E158,F158,G158,H158,I158,J158,K158,L158,M158,N158,O158,P158,Q158,R158,S158,T158,U158,V158,W158,X158,Y158,Z158,AA158,AB158,AC158,AD158,AE158,AF158,AG158,AH158,AI158,AJ158,AK158,AL158,AM158,AN158,AO158,AP158,AQ158,AR158,AS158,AT158,AU158,AV158,AW158,AX158,AY158,AZ158,BA158,BB158,BC158,BD158,BE158,BF158,BG158,BH158)</f>
        <v/>
      </c>
      <c r="C159" s="0" t="inlineStr">
        <is>
          <t>[2,</t>
        </is>
      </c>
      <c r="D159" s="203">
        <f>'Control Panel'!AG64</f>
        <v/>
      </c>
      <c r="E159" s="0" t="inlineStr">
        <is>
          <t>,1],[2,</t>
        </is>
      </c>
      <c r="F159" s="203">
        <f>$D$158</f>
        <v/>
      </c>
      <c r="G159" s="0" t="inlineStr">
        <is>
          <t>,2],[2,</t>
        </is>
      </c>
      <c r="H159" s="203">
        <f>$D$158</f>
        <v/>
      </c>
      <c r="I159" s="0" t="inlineStr">
        <is>
          <t>,3],[2,</t>
        </is>
      </c>
      <c r="J159" s="203">
        <f>$D$158</f>
        <v/>
      </c>
      <c r="K159" s="0" t="inlineStr">
        <is>
          <t>,4],[2,</t>
        </is>
      </c>
      <c r="L159" s="203">
        <f>$D$158</f>
        <v/>
      </c>
      <c r="M159" s="0" t="inlineStr">
        <is>
          <t>,5],</t>
        </is>
      </c>
    </row>
    <row r="160">
      <c r="A160" s="151" t="inlineStr">
        <is>
          <t xml:space="preserve">[2,5,6],[2,5,7],[2,5,8],[2,6,9],[2,5,10], </t>
        </is>
      </c>
      <c r="B160" s="0">
        <f>CONCATENATE(C159,D159,E159,F159,G159,H159,I159,J159,K159,L159,M159,N159,O159,P159,Q159,R159,S159,T159,U159,V159,W159,X159,Y159,Z159,AA159,AB159,AC159,AD159,AE159,AF159,AG159,AH159,AI159,AJ159,AK159,AL159,AM159,AN159,AO159,AP159,AQ159,AR159,AS159,AT159,AU159,AV159,AW159,AX159,AY159,AZ159,BA159,BB159,BC159,BD159,BE159,BF159,BG159,BH159)</f>
        <v/>
      </c>
      <c r="C160" s="0" t="inlineStr">
        <is>
          <t>[2,</t>
        </is>
      </c>
      <c r="D160" s="203">
        <f>$D$158</f>
        <v/>
      </c>
      <c r="E160" s="0" t="inlineStr">
        <is>
          <t>,6],[2,</t>
        </is>
      </c>
      <c r="F160" s="203">
        <f>$D$158</f>
        <v/>
      </c>
      <c r="G160" s="0" t="inlineStr">
        <is>
          <t>,7],[2,</t>
        </is>
      </c>
      <c r="H160" s="203">
        <f>$D$158</f>
        <v/>
      </c>
      <c r="I160" s="0" t="inlineStr">
        <is>
          <t>,8],[2,</t>
        </is>
      </c>
      <c r="J160" s="203">
        <f>$D$158</f>
        <v/>
      </c>
      <c r="K160" s="0" t="inlineStr">
        <is>
          <t>,9],[2,</t>
        </is>
      </c>
      <c r="L160" s="203">
        <f>$D$158</f>
        <v/>
      </c>
      <c r="M160" s="0" t="inlineStr">
        <is>
          <t>,10],</t>
        </is>
      </c>
    </row>
    <row r="161">
      <c r="A161" s="151" t="inlineStr">
        <is>
          <t xml:space="preserve">[2,5,11],[2,5,12],[2,0,13],[2,6,14],[2,5,15], </t>
        </is>
      </c>
      <c r="B161" s="0">
        <f>CONCATENATE(C160,D160,E160,F160,G160,H160,I160,J160,K160,L160,M160,N160,O160,P160,Q160,R160,S160,T160,U160,V160,W160,X160,Y160,Z160,AA160,AB160,AC160,AD160,AE160,AF160,AG160,AH160,AI160,AJ160,AK160,AL160,AM160,AN160,AO160,AP160,AQ160,AR160,AS160,AT160,AU160,AV160,AW160,AX160,AY160,AZ160,BA160,BB160,BC160,BD160,BE160,BF160,BG160,BH160)</f>
        <v/>
      </c>
      <c r="C161" s="0" t="inlineStr">
        <is>
          <t>[2,</t>
        </is>
      </c>
      <c r="D161" s="203">
        <f>$D$158</f>
        <v/>
      </c>
      <c r="E161" s="0" t="inlineStr">
        <is>
          <t>,11],[2,</t>
        </is>
      </c>
      <c r="F161" s="203">
        <f>$D$158</f>
        <v/>
      </c>
      <c r="G161" s="0" t="inlineStr">
        <is>
          <t>,12],[2,</t>
        </is>
      </c>
      <c r="H161" s="203" t="n">
        <v>0</v>
      </c>
      <c r="I161" s="0" t="inlineStr">
        <is>
          <t>,13],[2,</t>
        </is>
      </c>
      <c r="J161" s="203">
        <f>$D$158</f>
        <v/>
      </c>
      <c r="K161" s="0" t="inlineStr">
        <is>
          <t>,14],[2,</t>
        </is>
      </c>
      <c r="L161" s="203">
        <f>$D$158</f>
        <v/>
      </c>
      <c r="M161" s="0" t="inlineStr">
        <is>
          <t>,15],</t>
        </is>
      </c>
    </row>
    <row r="162">
      <c r="A162" s="151" t="inlineStr">
        <is>
          <t xml:space="preserve">[2,5,16],[2,5,17],[2,5,18],[2,6,19],[2,5,20], </t>
        </is>
      </c>
      <c r="B162" s="0">
        <f>CONCATENATE(C161,D161,E161,F161,G161,H161,I161,J161,K161,L161,M161,N161,O161,P161,Q161,R161,S161,T161,U161,V161,W161,X161,Y161,Z161,AA161,AB161,AC161,AD161,AE161,AF161,AG161,AH161,AI161,AJ161,AK161,AL161,AM161,AN161,AO161,AP161,AQ161,AR161,AS161,AT161,AU161,AV161,AW161,AX161,AY161,AZ161,BA161,BB161,BC161,BD161,BE161,BF161,BG161,BH161)</f>
        <v/>
      </c>
      <c r="C162" s="0" t="inlineStr">
        <is>
          <t>[2,</t>
        </is>
      </c>
      <c r="D162" s="203">
        <f>$D$158</f>
        <v/>
      </c>
      <c r="E162" s="0" t="inlineStr">
        <is>
          <t>,16],[2,</t>
        </is>
      </c>
      <c r="F162" s="203">
        <f>$D$158</f>
        <v/>
      </c>
      <c r="G162" s="0" t="inlineStr">
        <is>
          <t>,17],[2,</t>
        </is>
      </c>
      <c r="H162" s="203">
        <f>$D$158</f>
        <v/>
      </c>
      <c r="I162" s="0" t="inlineStr">
        <is>
          <t>,18],[2,</t>
        </is>
      </c>
      <c r="J162" s="203">
        <f>$D$158</f>
        <v/>
      </c>
      <c r="K162" s="0" t="inlineStr">
        <is>
          <t>,19],[2,</t>
        </is>
      </c>
      <c r="L162" s="203">
        <f>$D$158</f>
        <v/>
      </c>
      <c r="M162" s="0" t="inlineStr">
        <is>
          <t>,20],</t>
        </is>
      </c>
    </row>
    <row r="163">
      <c r="A163" s="151" t="inlineStr">
        <is>
          <t xml:space="preserve">[2,5,21],[2,5,22],[2,5,23],[2,6,24],[2,5,25], </t>
        </is>
      </c>
      <c r="B163" s="0">
        <f>CONCATENATE(C162,D162,E162,F162,G162,H162,I162,J162,K162,L162,M162,N162,O162,P162,Q162,R162,S162,T162,U162,V162,W162,X162,Y162,Z162,AA162,AB162,AC162,AD162,AE162,AF162,AG162,AH162,AI162,AJ162,AK162,AL162,AM162,AN162,AO162,AP162,AQ162,AR162,AS162,AT162,AU162,AV162,AW162,AX162,AY162,AZ162,BA162,BB162,BC162,BD162,BE162,BF162,BG162,BH162)</f>
        <v/>
      </c>
      <c r="C163" s="0" t="inlineStr">
        <is>
          <t>[2,</t>
        </is>
      </c>
      <c r="D163" s="203">
        <f>$D$158</f>
        <v/>
      </c>
      <c r="E163" s="0" t="inlineStr">
        <is>
          <t>,21],[2,</t>
        </is>
      </c>
      <c r="F163" s="203">
        <f>$D$158</f>
        <v/>
      </c>
      <c r="G163" s="0" t="inlineStr">
        <is>
          <t>,22],[2,</t>
        </is>
      </c>
      <c r="H163" s="203">
        <f>$D$158</f>
        <v/>
      </c>
      <c r="I163" s="0" t="inlineStr">
        <is>
          <t>,23],[2,</t>
        </is>
      </c>
      <c r="J163" s="203">
        <f>$D$158</f>
        <v/>
      </c>
      <c r="K163" s="0" t="inlineStr">
        <is>
          <t>,24],[2,</t>
        </is>
      </c>
      <c r="L163" s="203">
        <f>$D$158</f>
        <v/>
      </c>
      <c r="M163" s="0" t="inlineStr">
        <is>
          <t>,25],</t>
        </is>
      </c>
    </row>
    <row r="164">
      <c r="B164" s="0">
        <f>CONCATENATE(C163,D163,E163,F163,G163,H163,I163,J163,K163,L163,M163,N163,O163,P163,Q163,R163,S163,T163,U163,V163,W163,X163,Y163,Z163,AA163,AB163,AC163,AD163,AE163,AF163,AG163,AH163,AI163,AJ163,AK163,AL163,AM163,AN163,AO163,AP163,AQ163,AR163,AS163,AT163,AU163,AV163,AW163,AX163,AY163,AZ163,BA163,BB163,BC163,BD163,BE163,BF163,BG163,BH163)</f>
        <v/>
      </c>
    </row>
    <row r="165">
      <c r="A165" s="151" t="inlineStr">
        <is>
          <t xml:space="preserve">[3,5,1],[3,5,2],[3,5,3],[3,6,4],[3,5,5], </t>
        </is>
      </c>
      <c r="B165" s="0">
        <f>CONCATENATE(C164,D164,E164,F164,G164,H164,I164,J164,K164,L164,M164,N164,O164,P164,Q164,R164,S164,T164,U164,V164,W164,X164,Y164,Z164,AA164,AB164,AC164,AD164,AE164,AF164,AG164,AH164,AI164,AJ164,AK164,AL164,AM164,AN164,AO164,AP164,AQ164,AR164,AS164,AT164,AU164,AV164,AW164,AX164,AY164,AZ164,BA164,BB164,BC164,BD164,BE164,BF164,BG164,BH164)</f>
        <v/>
      </c>
      <c r="C165" s="0" t="inlineStr">
        <is>
          <t>[3,</t>
        </is>
      </c>
      <c r="D165" s="203">
        <f>'Control Panel'!AM64</f>
        <v/>
      </c>
      <c r="E165" s="0" t="inlineStr">
        <is>
          <t>,1],[3,</t>
        </is>
      </c>
      <c r="F165" s="203">
        <f>$D$164</f>
        <v/>
      </c>
      <c r="G165" s="0" t="inlineStr">
        <is>
          <t>,2],[3,</t>
        </is>
      </c>
      <c r="H165" s="203">
        <f>$D$164</f>
        <v/>
      </c>
      <c r="I165" s="0" t="inlineStr">
        <is>
          <t>,3],[3,</t>
        </is>
      </c>
      <c r="J165" s="203">
        <f>$D$164</f>
        <v/>
      </c>
      <c r="K165" s="0" t="inlineStr">
        <is>
          <t>,4],[3,</t>
        </is>
      </c>
      <c r="L165" s="203">
        <f>$D$164</f>
        <v/>
      </c>
      <c r="M165" s="0" t="inlineStr">
        <is>
          <t>,5],</t>
        </is>
      </c>
    </row>
    <row r="166">
      <c r="A166" s="151" t="inlineStr">
        <is>
          <t xml:space="preserve">[3,5,6],[3,5,7],[3,5,8],[3,6,9],[3,5,10], </t>
        </is>
      </c>
      <c r="B166" s="0">
        <f>CONCATENATE(C165,D165,E165,F165,G165,H165,I165,J165,K165,L165,M165,N165,O165,P165,Q165,R165,S165,T165,U165,V165,W165,X165,Y165,Z165,AA165,AB165,AC165,AD165,AE165,AF165,AG165,AH165,AI165,AJ165,AK165,AL165,AM165,AN165,AO165,AP165,AQ165,AR165,AS165,AT165,AU165,AV165,AW165,AX165,AY165,AZ165,BA165,BB165,BC165,BD165,BE165,BF165,BG165,BH165)</f>
        <v/>
      </c>
      <c r="C166" s="0" t="inlineStr">
        <is>
          <t>[3,</t>
        </is>
      </c>
      <c r="D166" s="203">
        <f>$D$164</f>
        <v/>
      </c>
      <c r="E166" s="0" t="inlineStr">
        <is>
          <t>,6],[3,</t>
        </is>
      </c>
      <c r="F166" s="203">
        <f>$D$164</f>
        <v/>
      </c>
      <c r="G166" s="0" t="inlineStr">
        <is>
          <t>,7],[3,</t>
        </is>
      </c>
      <c r="H166" s="203">
        <f>$D$164</f>
        <v/>
      </c>
      <c r="I166" s="0" t="inlineStr">
        <is>
          <t>,8],[3,</t>
        </is>
      </c>
      <c r="J166" s="203">
        <f>$D$164</f>
        <v/>
      </c>
      <c r="K166" s="0" t="inlineStr">
        <is>
          <t>,9],[3,</t>
        </is>
      </c>
      <c r="L166" s="203">
        <f>$D$164</f>
        <v/>
      </c>
      <c r="M166" s="0" t="inlineStr">
        <is>
          <t>,10],</t>
        </is>
      </c>
    </row>
    <row r="167">
      <c r="A167" s="151" t="inlineStr">
        <is>
          <t xml:space="preserve">[3,5,11],[3,5,12],[3,0,13],[3,6,14],[3,5,15], </t>
        </is>
      </c>
      <c r="B167" s="0">
        <f>CONCATENATE(C166,D166,E166,F166,G166,H166,I166,J166,K166,L166,M166,N166,O166,P166,Q166,R166,S166,T166,U166,V166,W166,X166,Y166,Z166,AA166,AB166,AC166,AD166,AE166,AF166,AG166,AH166,AI166,AJ166,AK166,AL166,AM166,AN166,AO166,AP166,AQ166,AR166,AS166,AT166,AU166,AV166,AW166,AX166,AY166,AZ166,BA166,BB166,BC166,BD166,BE166,BF166,BG166,BH166)</f>
        <v/>
      </c>
      <c r="C167" s="0" t="inlineStr">
        <is>
          <t>[3,</t>
        </is>
      </c>
      <c r="D167" s="203">
        <f>$D$164</f>
        <v/>
      </c>
      <c r="E167" s="0" t="inlineStr">
        <is>
          <t>,11],[3,</t>
        </is>
      </c>
      <c r="F167" s="203">
        <f>$D$164</f>
        <v/>
      </c>
      <c r="G167" s="0" t="inlineStr">
        <is>
          <t>,12],[3,</t>
        </is>
      </c>
      <c r="H167" s="203" t="n">
        <v>0</v>
      </c>
      <c r="I167" s="0" t="inlineStr">
        <is>
          <t>,13],[3,</t>
        </is>
      </c>
      <c r="J167" s="203">
        <f>$D$164</f>
        <v/>
      </c>
      <c r="K167" s="0" t="inlineStr">
        <is>
          <t>,14],[3,</t>
        </is>
      </c>
      <c r="L167" s="203">
        <f>$D$164</f>
        <v/>
      </c>
      <c r="M167" s="0" t="inlineStr">
        <is>
          <t>,15],</t>
        </is>
      </c>
    </row>
    <row r="168">
      <c r="A168" s="151" t="inlineStr">
        <is>
          <t xml:space="preserve">[3,5,16],[3,5,17],[3,5,18],[3,6,19],[3,5,20], </t>
        </is>
      </c>
      <c r="B168" s="0">
        <f>CONCATENATE(C167,D167,E167,F167,G167,H167,I167,J167,K167,L167,M167,N167,O167,P167,Q167,R167,S167,T167,U167,V167,W167,X167,Y167,Z167,AA167,AB167,AC167,AD167,AE167,AF167,AG167,AH167,AI167,AJ167,AK167,AL167,AM167,AN167,AO167,AP167,AQ167,AR167,AS167,AT167,AU167,AV167,AW167,AX167,AY167,AZ167,BA167,BB167,BC167,BD167,BE167,BF167,BG167,BH167)</f>
        <v/>
      </c>
      <c r="C168" s="0" t="inlineStr">
        <is>
          <t>[3,</t>
        </is>
      </c>
      <c r="D168" s="203">
        <f>$D$164</f>
        <v/>
      </c>
      <c r="E168" s="0" t="inlineStr">
        <is>
          <t>,16],[3,</t>
        </is>
      </c>
      <c r="F168" s="203">
        <f>$D$164</f>
        <v/>
      </c>
      <c r="G168" s="0" t="inlineStr">
        <is>
          <t>,17],[3,</t>
        </is>
      </c>
      <c r="H168" s="203">
        <f>$D$164</f>
        <v/>
      </c>
      <c r="I168" s="0" t="inlineStr">
        <is>
          <t>,18],[3,</t>
        </is>
      </c>
      <c r="J168" s="203">
        <f>$D$164</f>
        <v/>
      </c>
      <c r="K168" s="0" t="inlineStr">
        <is>
          <t>,19],[3,</t>
        </is>
      </c>
      <c r="L168" s="203">
        <f>$D$164</f>
        <v/>
      </c>
      <c r="M168" s="0" t="inlineStr">
        <is>
          <t>,20],</t>
        </is>
      </c>
    </row>
    <row r="169">
      <c r="A169" s="151" t="inlineStr">
        <is>
          <t xml:space="preserve">[3,5,21],[3,5,22],[3,5,23],[3,6,24],[3,5,25], </t>
        </is>
      </c>
      <c r="B169" s="0">
        <f>CONCATENATE(C168,D168,E168,F168,G168,H168,I168,J168,K168,L168,M168,N168,O168,P168,Q168,R168,S168,T168,U168,V168,W168,X168,Y168,Z168,AA168,AB168,AC168,AD168,AE168,AF168,AG168,AH168,AI168,AJ168,AK168,AL168,AM168,AN168,AO168,AP168,AQ168,AR168,AS168,AT168,AU168,AV168,AW168,AX168,AY168,AZ168,BA168,BB168,BC168,BD168,BE168,BF168,BG168,BH168)</f>
        <v/>
      </c>
      <c r="C169" s="0" t="inlineStr">
        <is>
          <t>[3,</t>
        </is>
      </c>
      <c r="D169" s="203">
        <f>$D$164</f>
        <v/>
      </c>
      <c r="E169" s="0" t="inlineStr">
        <is>
          <t>,21],[3,</t>
        </is>
      </c>
      <c r="F169" s="203">
        <f>$D$164</f>
        <v/>
      </c>
      <c r="G169" s="0" t="inlineStr">
        <is>
          <t>,22],[3,</t>
        </is>
      </c>
      <c r="H169" s="203">
        <f>$D$164</f>
        <v/>
      </c>
      <c r="I169" s="0" t="inlineStr">
        <is>
          <t>,23],[3,</t>
        </is>
      </c>
      <c r="J169" s="203">
        <f>$D$164</f>
        <v/>
      </c>
      <c r="K169" s="0" t="inlineStr">
        <is>
          <t>,24],[3,</t>
        </is>
      </c>
      <c r="L169" s="203">
        <f>$D$164</f>
        <v/>
      </c>
      <c r="M169" s="0" t="inlineStr">
        <is>
          <t>,25],</t>
        </is>
      </c>
    </row>
    <row r="170">
      <c r="B170" s="0">
        <f>CONCATENATE(C169,D169,E169,F169,G169,H169,I169,J169,K169,L169,M169,N169,O169,P169,Q169,R169,S169,T169,U169,V169,W169,X169,Y169,Z169,AA169,AB169,AC169,AD169,AE169,AF169,AG169,AH169,AI169,AJ169,AK169,AL169,AM169,AN169,AO169,AP169,AQ169,AR169,AS169,AT169,AU169,AV169,AW169,AX169,AY169,AZ169,BA169,BB169,BC169,BD169,BE169,BF169,BG169,BH169)</f>
        <v/>
      </c>
    </row>
    <row r="171">
      <c r="A171" s="151" t="inlineStr">
        <is>
          <t xml:space="preserve">[4,5,1],[4,5,2],[4,5,3],[4,6,4],[4,5,5], </t>
        </is>
      </c>
      <c r="B171" s="0">
        <f>CONCATENATE(C170,D170,E170,F170,G170,H170,I170,J170,K170,L170,M170,N170,O170,P170,Q170,R170,S170,T170,U170,V170,W170,X170,Y170,Z170,AA170,AB170,AC170,AD170,AE170,AF170,AG170,AH170,AI170,AJ170,AK170,AL170,AM170,AN170,AO170,AP170,AQ170,AR170,AS170,AT170,AU170,AV170,AW170,AX170,AY170,AZ170,BA170,BB170,BC170,BD170,BE170,BF170,BG170,BH170)</f>
        <v/>
      </c>
      <c r="C171" s="0" t="inlineStr">
        <is>
          <t>[4,</t>
        </is>
      </c>
      <c r="D171" s="203">
        <f>'Control Panel'!AS64</f>
        <v/>
      </c>
      <c r="E171" s="0" t="inlineStr">
        <is>
          <t>,1],[4,</t>
        </is>
      </c>
      <c r="F171" s="203">
        <f>$D$170</f>
        <v/>
      </c>
      <c r="G171" s="0" t="inlineStr">
        <is>
          <t>,2],[4,</t>
        </is>
      </c>
      <c r="H171" s="203">
        <f>$D$170</f>
        <v/>
      </c>
      <c r="I171" s="0" t="inlineStr">
        <is>
          <t>,3],[4,</t>
        </is>
      </c>
      <c r="J171" s="203">
        <f>$D$170</f>
        <v/>
      </c>
      <c r="K171" s="0" t="inlineStr">
        <is>
          <t>,4],[4,</t>
        </is>
      </c>
      <c r="L171" s="203">
        <f>$D$170</f>
        <v/>
      </c>
      <c r="M171" s="0" t="inlineStr">
        <is>
          <t>,5],</t>
        </is>
      </c>
    </row>
    <row r="172">
      <c r="A172" s="151" t="inlineStr">
        <is>
          <t xml:space="preserve">[4,5,6],[4,5,7],[4,5,8],[4,6,9],[4,5,10], </t>
        </is>
      </c>
      <c r="B172" s="0">
        <f>CONCATENATE(C171,D171,E171,F171,G171,H171,I171,J171,K171,L171,M171,N171,O171,P171,Q171,R171,S171,T171,U171,V171,W171,X171,Y171,Z171,AA171,AB171,AC171,AD171,AE171,AF171,AG171,AH171,AI171,AJ171,AK171,AL171,AM171,AN171,AO171,AP171,AQ171,AR171,AS171,AT171,AU171,AV171,AW171,AX171,AY171,AZ171,BA171,BB171,BC171,BD171,BE171,BF171,BG171,BH171)</f>
        <v/>
      </c>
      <c r="C172" s="0" t="inlineStr">
        <is>
          <t>[4,</t>
        </is>
      </c>
      <c r="D172" s="203">
        <f>$D$170</f>
        <v/>
      </c>
      <c r="E172" s="0" t="inlineStr">
        <is>
          <t>,6],[4,</t>
        </is>
      </c>
      <c r="F172" s="203">
        <f>$D$170</f>
        <v/>
      </c>
      <c r="G172" s="0" t="inlineStr">
        <is>
          <t>,7],[4,</t>
        </is>
      </c>
      <c r="H172" s="203">
        <f>$D$170</f>
        <v/>
      </c>
      <c r="I172" s="0" t="inlineStr">
        <is>
          <t>,8],[4,</t>
        </is>
      </c>
      <c r="J172" s="203">
        <f>$D$170</f>
        <v/>
      </c>
      <c r="K172" s="0" t="inlineStr">
        <is>
          <t>,9],[4,</t>
        </is>
      </c>
      <c r="L172" s="203">
        <f>$D$170</f>
        <v/>
      </c>
      <c r="M172" s="0" t="inlineStr">
        <is>
          <t>,10],</t>
        </is>
      </c>
    </row>
    <row r="173">
      <c r="A173" s="151" t="inlineStr">
        <is>
          <t xml:space="preserve">[4,5,11],[4,5,12],[4,0,13],[4,6,14],[4,5,15], </t>
        </is>
      </c>
      <c r="B173" s="0">
        <f>CONCATENATE(C172,D172,E172,F172,G172,H172,I172,J172,K172,L172,M172,N172,O172,P172,Q172,R172,S172,T172,U172,V172,W172,X172,Y172,Z172,AA172,AB172,AC172,AD172,AE172,AF172,AG172,AH172,AI172,AJ172,AK172,AL172,AM172,AN172,AO172,AP172,AQ172,AR172,AS172,AT172,AU172,AV172,AW172,AX172,AY172,AZ172,BA172,BB172,BC172,BD172,BE172,BF172,BG172,BH172)</f>
        <v/>
      </c>
      <c r="C173" s="0" t="inlineStr">
        <is>
          <t>[4,</t>
        </is>
      </c>
      <c r="D173" s="203">
        <f>$D$170</f>
        <v/>
      </c>
      <c r="E173" s="0" t="inlineStr">
        <is>
          <t>,11],[4,</t>
        </is>
      </c>
      <c r="F173" s="203">
        <f>$D$170</f>
        <v/>
      </c>
      <c r="G173" s="0" t="inlineStr">
        <is>
          <t>,12],[4,</t>
        </is>
      </c>
      <c r="H173" s="203" t="n">
        <v>0</v>
      </c>
      <c r="I173" s="0" t="inlineStr">
        <is>
          <t>,13],[4,</t>
        </is>
      </c>
      <c r="J173" s="203">
        <f>$D$170</f>
        <v/>
      </c>
      <c r="K173" s="0" t="inlineStr">
        <is>
          <t>,14],[4,</t>
        </is>
      </c>
      <c r="L173" s="203">
        <f>$D$170</f>
        <v/>
      </c>
      <c r="M173" s="0" t="inlineStr">
        <is>
          <t>,15],</t>
        </is>
      </c>
    </row>
    <row r="174">
      <c r="A174" s="151" t="inlineStr">
        <is>
          <t xml:space="preserve">[4,5,16],[4,5,17],[4,5,18],[4,6,19],[4,5,20], </t>
        </is>
      </c>
      <c r="B174" s="0">
        <f>CONCATENATE(C173,D173,E173,F173,G173,H173,I173,J173,K173,L173,M173,N173,O173,P173,Q173,R173,S173,T173,U173,V173,W173,X173,Y173,Z173,AA173,AB173,AC173,AD173,AE173,AF173,AG173,AH173,AI173,AJ173,AK173,AL173,AM173,AN173,AO173,AP173,AQ173,AR173,AS173,AT173,AU173,AV173,AW173,AX173,AY173,AZ173,BA173,BB173,BC173,BD173,BE173,BF173,BG173,BH173)</f>
        <v/>
      </c>
      <c r="C174" s="0" t="inlineStr">
        <is>
          <t>[4,</t>
        </is>
      </c>
      <c r="D174" s="203">
        <f>$D$170</f>
        <v/>
      </c>
      <c r="E174" s="0" t="inlineStr">
        <is>
          <t>,16],[4,</t>
        </is>
      </c>
      <c r="F174" s="203">
        <f>$D$170</f>
        <v/>
      </c>
      <c r="G174" s="0" t="inlineStr">
        <is>
          <t>,17],[4,</t>
        </is>
      </c>
      <c r="H174" s="203">
        <f>$D$170</f>
        <v/>
      </c>
      <c r="I174" s="0" t="inlineStr">
        <is>
          <t>,18],[4,</t>
        </is>
      </c>
      <c r="J174" s="203">
        <f>$D$170</f>
        <v/>
      </c>
      <c r="K174" s="0" t="inlineStr">
        <is>
          <t>,19],[4,</t>
        </is>
      </c>
      <c r="L174" s="203">
        <f>$D$170</f>
        <v/>
      </c>
      <c r="M174" s="0" t="inlineStr">
        <is>
          <t>,20],</t>
        </is>
      </c>
    </row>
    <row r="175">
      <c r="A175" s="151" t="inlineStr">
        <is>
          <t xml:space="preserve">[4,5,21],[4,5,22],[4,5,23],[4,6,24],[4,5,25], </t>
        </is>
      </c>
      <c r="B175" s="0">
        <f>CONCATENATE(C174,D174,E174,F174,G174,H174,I174,J174,K174,L174,M174,N174,O174,P174,Q174,R174,S174,T174,U174,V174,W174,X174,Y174,Z174,AA174,AB174,AC174,AD174,AE174,AF174,AG174,AH174,AI174,AJ174,AK174,AL174,AM174,AN174,AO174,AP174,AQ174,AR174,AS174,AT174,AU174,AV174,AW174,AX174,AY174,AZ174,BA174,BB174,BC174,BD174,BE174,BF174,BG174,BH174)</f>
        <v/>
      </c>
      <c r="C175" s="0" t="inlineStr">
        <is>
          <t>[4,</t>
        </is>
      </c>
      <c r="D175" s="203">
        <f>$D$170</f>
        <v/>
      </c>
      <c r="E175" s="0" t="inlineStr">
        <is>
          <t>,21],[4,</t>
        </is>
      </c>
      <c r="F175" s="203">
        <f>$D$170</f>
        <v/>
      </c>
      <c r="G175" s="0" t="inlineStr">
        <is>
          <t>,22],[4,</t>
        </is>
      </c>
      <c r="H175" s="203">
        <f>$D$170</f>
        <v/>
      </c>
      <c r="I175" s="0" t="inlineStr">
        <is>
          <t>,23],[4,</t>
        </is>
      </c>
      <c r="J175" s="203">
        <f>$D$170</f>
        <v/>
      </c>
      <c r="K175" s="0" t="inlineStr">
        <is>
          <t>,24],[4,</t>
        </is>
      </c>
      <c r="L175" s="203">
        <f>$D$170</f>
        <v/>
      </c>
      <c r="M175" s="0" t="inlineStr">
        <is>
          <t>,25],</t>
        </is>
      </c>
    </row>
    <row r="176">
      <c r="B176" s="0">
        <f>CONCATENATE(C175,D175,E175,F175,G175,H175,I175,J175,K175,L175,M175,N175,O175,P175,Q175,R175,S175,T175,U175,V175,W175,X175,Y175,Z175,AA175,AB175,AC175,AD175,AE175,AF175,AG175,AH175,AI175,AJ175,AK175,AL175,AM175,AN175,AO175,AP175,AQ175,AR175,AS175,AT175,AU175,AV175,AW175,AX175,AY175,AZ175,BA175,BB175,BC175,BD175,BE175,BF175,BG175,BH175)</f>
        <v/>
      </c>
    </row>
    <row r="177">
      <c r="A177" s="151" t="inlineStr">
        <is>
          <t xml:space="preserve">[5,5,1],[5,5,2],[5,5,3],[5,6,4],[5,5,5], </t>
        </is>
      </c>
      <c r="B177" s="0">
        <f>CONCATENATE(C176,D176,E176,F176,G176,H176,I176,J176,K176,L176,M176,N176,O176,P176,Q176,R176,S176,T176,U176,V176,W176,X176,Y176,Z176,AA176,AB176,AC176,AD176,AE176,AF176,AG176,AH176,AI176,AJ176,AK176,AL176,AM176,AN176,AO176,AP176,AQ176,AR176,AS176,AT176,AU176,AV176,AW176,AX176,AY176,AZ176,BA176,BB176,BC176,BD176,BE176,BF176,BG176,BH176)</f>
        <v/>
      </c>
      <c r="C177" s="0" t="inlineStr">
        <is>
          <t>[5,</t>
        </is>
      </c>
      <c r="D177" s="203">
        <f>'Control Panel'!AA71</f>
        <v/>
      </c>
      <c r="E177" s="0" t="inlineStr">
        <is>
          <t>,1],[5,</t>
        </is>
      </c>
      <c r="F177" s="203">
        <f>$D$176</f>
        <v/>
      </c>
      <c r="G177" s="0" t="inlineStr">
        <is>
          <t>,2],[5,</t>
        </is>
      </c>
      <c r="H177" s="203">
        <f>$D$176</f>
        <v/>
      </c>
      <c r="I177" s="0" t="inlineStr">
        <is>
          <t>,3],[5,</t>
        </is>
      </c>
      <c r="J177" s="203">
        <f>$D$176</f>
        <v/>
      </c>
      <c r="K177" s="0" t="inlineStr">
        <is>
          <t>,4],[5,</t>
        </is>
      </c>
      <c r="L177" s="203">
        <f>$D$176</f>
        <v/>
      </c>
      <c r="M177" s="0" t="inlineStr">
        <is>
          <t>,5],</t>
        </is>
      </c>
    </row>
    <row r="178">
      <c r="A178" s="151" t="inlineStr">
        <is>
          <t xml:space="preserve">[5,5,6],[5,5,7],[5,5,8],[5,6,9],[5,5,10], </t>
        </is>
      </c>
      <c r="B178" s="0">
        <f>CONCATENATE(C177,D177,E177,F177,G177,H177,I177,J177,K177,L177,M177,N177,O177,P177,Q177,R177,S177,T177,U177,V177,W177,X177,Y177,Z177,AA177,AB177,AC177,AD177,AE177,AF177,AG177,AH177,AI177,AJ177,AK177,AL177,AM177,AN177,AO177,AP177,AQ177,AR177,AS177,AT177,AU177,AV177,AW177,AX177,AY177,AZ177,BA177,BB177,BC177,BD177,BE177,BF177,BG177,BH177)</f>
        <v/>
      </c>
      <c r="C178" s="0" t="inlineStr">
        <is>
          <t>[5,</t>
        </is>
      </c>
      <c r="D178" s="203">
        <f>$D$176</f>
        <v/>
      </c>
      <c r="E178" s="0" t="inlineStr">
        <is>
          <t>,6],[5,</t>
        </is>
      </c>
      <c r="F178" s="203">
        <f>$D$176</f>
        <v/>
      </c>
      <c r="G178" s="0" t="inlineStr">
        <is>
          <t>,7],[5,</t>
        </is>
      </c>
      <c r="H178" s="203">
        <f>$D$176</f>
        <v/>
      </c>
      <c r="I178" s="0" t="inlineStr">
        <is>
          <t>,8],[5,</t>
        </is>
      </c>
      <c r="J178" s="203">
        <f>$D$176</f>
        <v/>
      </c>
      <c r="K178" s="0" t="inlineStr">
        <is>
          <t>,9],[5,</t>
        </is>
      </c>
      <c r="L178" s="203">
        <f>$D$176</f>
        <v/>
      </c>
      <c r="M178" s="0" t="inlineStr">
        <is>
          <t>,10],</t>
        </is>
      </c>
    </row>
    <row r="179">
      <c r="A179" s="151" t="inlineStr">
        <is>
          <t xml:space="preserve">[5,5,11],[5,5,12],[5,0,13],[5,6,14],[5,5,15], </t>
        </is>
      </c>
      <c r="B179" s="0">
        <f>CONCATENATE(C178,D178,E178,F178,G178,H178,I178,J178,K178,L178,M178,N178,O178,P178,Q178,R178,S178,T178,U178,V178,W178,X178,Y178,Z178,AA178,AB178,AC178,AD178,AE178,AF178,AG178,AH178,AI178,AJ178,AK178,AL178,AM178,AN178,AO178,AP178,AQ178,AR178,AS178,AT178,AU178,AV178,AW178,AX178,AY178,AZ178,BA178,BB178,BC178,BD178,BE178,BF178,BG178,BH178)</f>
        <v/>
      </c>
      <c r="C179" s="0" t="inlineStr">
        <is>
          <t>[5,</t>
        </is>
      </c>
      <c r="D179" s="203">
        <f>$D$176</f>
        <v/>
      </c>
      <c r="E179" s="0" t="inlineStr">
        <is>
          <t>,11],[5,</t>
        </is>
      </c>
      <c r="F179" s="203">
        <f>$D$176</f>
        <v/>
      </c>
      <c r="G179" s="0" t="inlineStr">
        <is>
          <t>,12],[5,</t>
        </is>
      </c>
      <c r="H179" s="203" t="n">
        <v>0</v>
      </c>
      <c r="I179" s="0" t="inlineStr">
        <is>
          <t>,13],[5,</t>
        </is>
      </c>
      <c r="J179" s="203">
        <f>$D$176</f>
        <v/>
      </c>
      <c r="K179" s="0" t="inlineStr">
        <is>
          <t>,14],[5,</t>
        </is>
      </c>
      <c r="L179" s="203">
        <f>$D$176</f>
        <v/>
      </c>
      <c r="M179" s="0" t="inlineStr">
        <is>
          <t>,15],</t>
        </is>
      </c>
    </row>
    <row r="180">
      <c r="A180" s="151" t="inlineStr">
        <is>
          <t xml:space="preserve">[5,5,16],[5,5,17],[5,5,18],[5,6,19],[5,5,20], </t>
        </is>
      </c>
      <c r="B180" s="0">
        <f>CONCATENATE(C179,D179,E179,F179,G179,H179,I179,J179,K179,L179,M179,N179,O179,P179,Q179,R179,S179,T179,U179,V179,W179,X179,Y179,Z179,AA179,AB179,AC179,AD179,AE179,AF179,AG179,AH179,AI179,AJ179,AK179,AL179,AM179,AN179,AO179,AP179,AQ179,AR179,AS179,AT179,AU179,AV179,AW179,AX179,AY179,AZ179,BA179,BB179,BC179,BD179,BE179,BF179,BG179,BH179)</f>
        <v/>
      </c>
      <c r="C180" s="0" t="inlineStr">
        <is>
          <t>[5,</t>
        </is>
      </c>
      <c r="D180" s="203">
        <f>$D$176</f>
        <v/>
      </c>
      <c r="E180" s="0" t="inlineStr">
        <is>
          <t>,16],[5,</t>
        </is>
      </c>
      <c r="F180" s="203">
        <f>$D$176</f>
        <v/>
      </c>
      <c r="G180" s="0" t="inlineStr">
        <is>
          <t>,17],[5,</t>
        </is>
      </c>
      <c r="H180" s="203">
        <f>$D$176</f>
        <v/>
      </c>
      <c r="I180" s="0" t="inlineStr">
        <is>
          <t>,18],[5,</t>
        </is>
      </c>
      <c r="J180" s="203">
        <f>$D$176</f>
        <v/>
      </c>
      <c r="K180" s="0" t="inlineStr">
        <is>
          <t>,19],[5,</t>
        </is>
      </c>
      <c r="L180" s="203">
        <f>$D$176</f>
        <v/>
      </c>
      <c r="M180" s="0" t="inlineStr">
        <is>
          <t>,20],</t>
        </is>
      </c>
    </row>
    <row r="181">
      <c r="A181" s="151" t="inlineStr">
        <is>
          <t xml:space="preserve">[5,5,21],[5,5,22],[5,5,23],[5,6,24],[5,5,25], </t>
        </is>
      </c>
      <c r="B181" s="0">
        <f>CONCATENATE(C180,D180,E180,F180,G180,H180,I180,J180,K180,L180,M180,N180,O180,P180,Q180,R180,S180,T180,U180,V180,W180,X180,Y180,Z180,AA180,AB180,AC180,AD180,AE180,AF180,AG180,AH180,AI180,AJ180,AK180,AL180,AM180,AN180,AO180,AP180,AQ180,AR180,AS180,AT180,AU180,AV180,AW180,AX180,AY180,AZ180,BA180,BB180,BC180,BD180,BE180,BF180,BG180,BH180)</f>
        <v/>
      </c>
      <c r="C181" s="0" t="inlineStr">
        <is>
          <t>[5,</t>
        </is>
      </c>
      <c r="D181" s="203">
        <f>$D$176</f>
        <v/>
      </c>
      <c r="E181" s="0" t="inlineStr">
        <is>
          <t>,21],[5,</t>
        </is>
      </c>
      <c r="F181" s="203">
        <f>$D$176</f>
        <v/>
      </c>
      <c r="G181" s="0" t="inlineStr">
        <is>
          <t>,22],[5,</t>
        </is>
      </c>
      <c r="H181" s="203">
        <f>$D$176</f>
        <v/>
      </c>
      <c r="I181" s="0" t="inlineStr">
        <is>
          <t>,23],[5,</t>
        </is>
      </c>
      <c r="J181" s="203">
        <f>$D$176</f>
        <v/>
      </c>
      <c r="K181" s="0" t="inlineStr">
        <is>
          <t>,24],[5,</t>
        </is>
      </c>
      <c r="L181" s="203">
        <f>$D$176</f>
        <v/>
      </c>
      <c r="M181" s="0" t="inlineStr">
        <is>
          <t>,25],</t>
        </is>
      </c>
    </row>
    <row r="182">
      <c r="B182" s="0">
        <f>CONCATENATE(C181,D181,E181,F181,G181,H181,I181,J181,K181,L181,M181,N181,O181,P181,Q181,R181,S181,T181,U181,V181,W181,X181,Y181,Z181,AA181,AB181,AC181,AD181,AE181,AF181,AG181,AH181,AI181,AJ181,AK181,AL181,AM181,AN181,AO181,AP181,AQ181,AR181,AS181,AT181,AU181,AV181,AW181,AX181,AY181,AZ181,BA181,BB181,BC181,BD181,BE181,BF181,BG181,BH181)</f>
        <v/>
      </c>
    </row>
    <row r="183">
      <c r="A183" s="151" t="inlineStr">
        <is>
          <t xml:space="preserve">[6,5,1],[6,5,2],[6,5,3],[6,6,4],[6,5,5], </t>
        </is>
      </c>
      <c r="B183" s="0">
        <f>CONCATENATE(C182,D182,E182,F182,G182,H182,I182,J182,K182,L182,M182,N182,O182,P182,Q182,R182,S182,T182,U182,V182,W182,X182,Y182,Z182,AA182,AB182,AC182,AD182,AE182,AF182,AG182,AH182,AI182,AJ182,AK182,AL182,AM182,AN182,AO182,AP182,AQ182,AR182,AS182,AT182,AU182,AV182,AW182,AX182,AY182,AZ182,BA182,BB182,BC182,BD182,BE182,BF182,BG182,BH182)</f>
        <v/>
      </c>
      <c r="C183" s="0" t="inlineStr">
        <is>
          <t>[6,</t>
        </is>
      </c>
      <c r="D183" s="203">
        <f>'Control Panel'!AG71</f>
        <v/>
      </c>
      <c r="E183" s="0" t="inlineStr">
        <is>
          <t>,1],[6,</t>
        </is>
      </c>
      <c r="F183" s="203">
        <f>$D$182</f>
        <v/>
      </c>
      <c r="G183" s="0" t="inlineStr">
        <is>
          <t>,2],[6,</t>
        </is>
      </c>
      <c r="H183" s="203">
        <f>$D$182</f>
        <v/>
      </c>
      <c r="I183" s="0" t="inlineStr">
        <is>
          <t>,3],[6,</t>
        </is>
      </c>
      <c r="J183" s="203">
        <f>$D$182</f>
        <v/>
      </c>
      <c r="K183" s="0" t="inlineStr">
        <is>
          <t>,4],[6,</t>
        </is>
      </c>
      <c r="L183" s="203">
        <f>$D$182</f>
        <v/>
      </c>
      <c r="M183" s="0" t="inlineStr">
        <is>
          <t>,5],</t>
        </is>
      </c>
    </row>
    <row r="184">
      <c r="A184" s="151" t="inlineStr">
        <is>
          <t xml:space="preserve">[6,5,6],[6,5,7],[6,5,8],[6,6,9],[6,5,10], </t>
        </is>
      </c>
      <c r="B184" s="0">
        <f>CONCATENATE(C183,D183,E183,F183,G183,H183,I183,J183,K183,L183,M183,N183,O183,P183,Q183,R183,S183,T183,U183,V183,W183,X183,Y183,Z183,AA183,AB183,AC183,AD183,AE183,AF183,AG183,AH183,AI183,AJ183,AK183,AL183,AM183,AN183,AO183,AP183,AQ183,AR183,AS183,AT183,AU183,AV183,AW183,AX183,AY183,AZ183,BA183,BB183,BC183,BD183,BE183,BF183,BG183,BH183)</f>
        <v/>
      </c>
      <c r="C184" s="0" t="inlineStr">
        <is>
          <t>[6,</t>
        </is>
      </c>
      <c r="D184" s="203">
        <f>$D$182</f>
        <v/>
      </c>
      <c r="E184" s="0" t="inlineStr">
        <is>
          <t>,6],[6,</t>
        </is>
      </c>
      <c r="F184" s="203">
        <f>$D$182</f>
        <v/>
      </c>
      <c r="G184" s="0" t="inlineStr">
        <is>
          <t>,7],[6,</t>
        </is>
      </c>
      <c r="H184" s="203">
        <f>$D$182</f>
        <v/>
      </c>
      <c r="I184" s="0" t="inlineStr">
        <is>
          <t>,8],[6,</t>
        </is>
      </c>
      <c r="J184" s="203">
        <f>$D$182</f>
        <v/>
      </c>
      <c r="K184" s="0" t="inlineStr">
        <is>
          <t>,9],[6,</t>
        </is>
      </c>
      <c r="L184" s="203">
        <f>$D$182</f>
        <v/>
      </c>
      <c r="M184" s="0" t="inlineStr">
        <is>
          <t>,10],</t>
        </is>
      </c>
    </row>
    <row r="185">
      <c r="A185" s="151" t="inlineStr">
        <is>
          <t xml:space="preserve">[6,5,11],[6,5,12],[6,0,13],[6,6,14],[6,5,15], </t>
        </is>
      </c>
      <c r="B185" s="0">
        <f>CONCATENATE(C184,D184,E184,F184,G184,H184,I184,J184,K184,L184,M184,N184,O184,P184,Q184,R184,S184,T184,U184,V184,W184,X184,Y184,Z184,AA184,AB184,AC184,AD184,AE184,AF184,AG184,AH184,AI184,AJ184,AK184,AL184,AM184,AN184,AO184,AP184,AQ184,AR184,AS184,AT184,AU184,AV184,AW184,AX184,AY184,AZ184,BA184,BB184,BC184,BD184,BE184,BF184,BG184,BH184)</f>
        <v/>
      </c>
      <c r="C185" s="0" t="inlineStr">
        <is>
          <t>[6,</t>
        </is>
      </c>
      <c r="D185" s="203">
        <f>$D$182</f>
        <v/>
      </c>
      <c r="E185" s="0" t="inlineStr">
        <is>
          <t>,11],[6,</t>
        </is>
      </c>
      <c r="F185" s="203">
        <f>$D$182</f>
        <v/>
      </c>
      <c r="G185" s="0" t="inlineStr">
        <is>
          <t>,12],[6,</t>
        </is>
      </c>
      <c r="H185" s="203" t="n">
        <v>0</v>
      </c>
      <c r="I185" s="0" t="inlineStr">
        <is>
          <t>,13],[6,</t>
        </is>
      </c>
      <c r="J185" s="203">
        <f>$D$182</f>
        <v/>
      </c>
      <c r="K185" s="0" t="inlineStr">
        <is>
          <t>,14],[6,</t>
        </is>
      </c>
      <c r="L185" s="203">
        <f>$D$182</f>
        <v/>
      </c>
      <c r="M185" s="0" t="inlineStr">
        <is>
          <t>,15],</t>
        </is>
      </c>
    </row>
    <row r="186">
      <c r="A186" s="151" t="inlineStr">
        <is>
          <t xml:space="preserve">[6,5,16],[6,5,17],[6,5,18],[6,6,19],[6,5,20], </t>
        </is>
      </c>
      <c r="B186" s="0">
        <f>CONCATENATE(C185,D185,E185,F185,G185,H185,I185,J185,K185,L185,M185,N185,O185,P185,Q185,R185,S185,T185,U185,V185,W185,X185,Y185,Z185,AA185,AB185,AC185,AD185,AE185,AF185,AG185,AH185,AI185,AJ185,AK185,AL185,AM185,AN185,AO185,AP185,AQ185,AR185,AS185,AT185,AU185,AV185,AW185,AX185,AY185,AZ185,BA185,BB185,BC185,BD185,BE185,BF185,BG185,BH185)</f>
        <v/>
      </c>
      <c r="C186" s="0" t="inlineStr">
        <is>
          <t>[6,</t>
        </is>
      </c>
      <c r="D186" s="203">
        <f>$D$182</f>
        <v/>
      </c>
      <c r="E186" s="0" t="inlineStr">
        <is>
          <t>,16],[6,</t>
        </is>
      </c>
      <c r="F186" s="203">
        <f>$D$182</f>
        <v/>
      </c>
      <c r="G186" s="0" t="inlineStr">
        <is>
          <t>,17],[6,</t>
        </is>
      </c>
      <c r="H186" s="203">
        <f>$D$182</f>
        <v/>
      </c>
      <c r="I186" s="0" t="inlineStr">
        <is>
          <t>,18],[6,</t>
        </is>
      </c>
      <c r="J186" s="203">
        <f>$D$182</f>
        <v/>
      </c>
      <c r="K186" s="0" t="inlineStr">
        <is>
          <t>,19],[6,</t>
        </is>
      </c>
      <c r="L186" s="203">
        <f>$D$182</f>
        <v/>
      </c>
      <c r="M186" s="0" t="inlineStr">
        <is>
          <t>,20],</t>
        </is>
      </c>
    </row>
    <row r="187">
      <c r="A187" s="151" t="inlineStr">
        <is>
          <t xml:space="preserve">[6,5,21],[6,5,22],[6,5,23],[6,6,24],[6,5,25], </t>
        </is>
      </c>
      <c r="B187" s="0">
        <f>CONCATENATE(C186,D186,E186,F186,G186,H186,I186,J186,K186,L186,M186,N186,O186,P186,Q186,R186,S186,T186,U186,V186,W186,X186,Y186,Z186,AA186,AB186,AC186,AD186,AE186,AF186,AG186,AH186,AI186,AJ186,AK186,AL186,AM186,AN186,AO186,AP186,AQ186,AR186,AS186,AT186,AU186,AV186,AW186,AX186,AY186,AZ186,BA186,BB186,BC186,BD186,BE186,BF186,BG186,BH186)</f>
        <v/>
      </c>
      <c r="C187" s="0" t="inlineStr">
        <is>
          <t>[6,</t>
        </is>
      </c>
      <c r="D187" s="203">
        <f>$D$182</f>
        <v/>
      </c>
      <c r="E187" s="0" t="inlineStr">
        <is>
          <t>,21],[6,</t>
        </is>
      </c>
      <c r="F187" s="203">
        <f>$D$182</f>
        <v/>
      </c>
      <c r="G187" s="0" t="inlineStr">
        <is>
          <t>,22],[6,</t>
        </is>
      </c>
      <c r="H187" s="203">
        <f>$D$182</f>
        <v/>
      </c>
      <c r="I187" s="0" t="inlineStr">
        <is>
          <t>,23],[6,</t>
        </is>
      </c>
      <c r="J187" s="203">
        <f>$D$182</f>
        <v/>
      </c>
      <c r="K187" s="0" t="inlineStr">
        <is>
          <t>,24],[6,</t>
        </is>
      </c>
      <c r="L187" s="203">
        <f>$D$182</f>
        <v/>
      </c>
      <c r="M187" s="0" t="inlineStr">
        <is>
          <t>,25],</t>
        </is>
      </c>
    </row>
    <row r="188">
      <c r="B188" s="0">
        <f>CONCATENATE(C187,D187,E187,F187,G187,H187,I187,J187,K187,L187,M187,N187,O187,P187,Q187,R187,S187,T187,U187,V187,W187,X187,Y187,Z187,AA187,AB187,AC187,AD187,AE187,AF187,AG187,AH187,AI187,AJ187,AK187,AL187,AM187,AN187,AO187,AP187,AQ187,AR187,AS187,AT187,AU187,AV187,AW187,AX187,AY187,AZ187,BA187,BB187,BC187,BD187,BE187,BF187,BG187,BH187)</f>
        <v/>
      </c>
    </row>
    <row r="189">
      <c r="A189" s="151" t="inlineStr">
        <is>
          <t xml:space="preserve">[7,5,1],[7,5,2],[7,5,3],[7,6,4],[7,5,5], </t>
        </is>
      </c>
      <c r="B189" s="0">
        <f>CONCATENATE(C188,D188,E188,F188,G188,H188,I188,J188,K188,L188,M188,N188,O188,P188,Q188,R188,S188,T188,U188,V188,W188,X188,Y188,Z188,AA188,AB188,AC188,AD188,AE188,AF188,AG188,AH188,AI188,AJ188,AK188,AL188,AM188,AN188,AO188,AP188,AQ188,AR188,AS188,AT188,AU188,AV188,AW188,AX188,AY188,AZ188,BA188,BB188,BC188,BD188,BE188,BF188,BG188,BH188)</f>
        <v/>
      </c>
      <c r="C189" s="0" t="inlineStr">
        <is>
          <t>[7,</t>
        </is>
      </c>
      <c r="D189" s="203">
        <f>'Control Panel'!AM71</f>
        <v/>
      </c>
      <c r="E189" s="0" t="inlineStr">
        <is>
          <t>,1],[7,</t>
        </is>
      </c>
      <c r="F189" s="203">
        <f>$D$188</f>
        <v/>
      </c>
      <c r="G189" s="0" t="inlineStr">
        <is>
          <t>,2],[7,</t>
        </is>
      </c>
      <c r="H189" s="203">
        <f>$D$188</f>
        <v/>
      </c>
      <c r="I189" s="0" t="inlineStr">
        <is>
          <t>,3],[7,</t>
        </is>
      </c>
      <c r="J189" s="203">
        <f>$D$188</f>
        <v/>
      </c>
      <c r="K189" s="0" t="inlineStr">
        <is>
          <t>,4],[7,</t>
        </is>
      </c>
      <c r="L189" s="203">
        <f>$D$188</f>
        <v/>
      </c>
      <c r="M189" s="0" t="inlineStr">
        <is>
          <t>,5],</t>
        </is>
      </c>
    </row>
    <row r="190">
      <c r="A190" s="151" t="inlineStr">
        <is>
          <t xml:space="preserve">[7,5,6],[7,5,7],[7,5,8],[7,6,9],[7,5,10], </t>
        </is>
      </c>
      <c r="B190" s="0">
        <f>CONCATENATE(C189,D189,E189,F189,G189,H189,I189,J189,K189,L189,M189,N189,O189,P189,Q189,R189,S189,T189,U189,V189,W189,X189,Y189,Z189,AA189,AB189,AC189,AD189,AE189,AF189,AG189,AH189,AI189,AJ189,AK189,AL189,AM189,AN189,AO189,AP189,AQ189,AR189,AS189,AT189,AU189,AV189,AW189,AX189,AY189,AZ189,BA189,BB189,BC189,BD189,BE189,BF189,BG189,BH189)</f>
        <v/>
      </c>
      <c r="C190" s="0" t="inlineStr">
        <is>
          <t>[7,</t>
        </is>
      </c>
      <c r="D190" s="203">
        <f>$D$188</f>
        <v/>
      </c>
      <c r="E190" s="0" t="inlineStr">
        <is>
          <t>,6],[7,</t>
        </is>
      </c>
      <c r="F190" s="203">
        <f>$D$188</f>
        <v/>
      </c>
      <c r="G190" s="0" t="inlineStr">
        <is>
          <t>,7],[7,</t>
        </is>
      </c>
      <c r="H190" s="203">
        <f>$D$188</f>
        <v/>
      </c>
      <c r="I190" s="0" t="inlineStr">
        <is>
          <t>,8],[7,</t>
        </is>
      </c>
      <c r="J190" s="203">
        <f>$D$188</f>
        <v/>
      </c>
      <c r="K190" s="0" t="inlineStr">
        <is>
          <t>,9],[7,</t>
        </is>
      </c>
      <c r="L190" s="203">
        <f>$D$188</f>
        <v/>
      </c>
      <c r="M190" s="0" t="inlineStr">
        <is>
          <t>,10],</t>
        </is>
      </c>
    </row>
    <row r="191">
      <c r="A191" s="151" t="inlineStr">
        <is>
          <t xml:space="preserve">[7,5,11],[7,5,12],[7,0,13],[7,6,14],[7,5,15], </t>
        </is>
      </c>
      <c r="B191" s="0">
        <f>CONCATENATE(C190,D190,E190,F190,G190,H190,I190,J190,K190,L190,M190,N190,O190,P190,Q190,R190,S190,T190,U190,V190,W190,X190,Y190,Z190,AA190,AB190,AC190,AD190,AE190,AF190,AG190,AH190,AI190,AJ190,AK190,AL190,AM190,AN190,AO190,AP190,AQ190,AR190,AS190,AT190,AU190,AV190,AW190,AX190,AY190,AZ190,BA190,BB190,BC190,BD190,BE190,BF190,BG190,BH190)</f>
        <v/>
      </c>
      <c r="C191" s="0" t="inlineStr">
        <is>
          <t>[7,</t>
        </is>
      </c>
      <c r="D191" s="203">
        <f>$D$188</f>
        <v/>
      </c>
      <c r="E191" s="0" t="inlineStr">
        <is>
          <t>,11],[7,</t>
        </is>
      </c>
      <c r="F191" s="203">
        <f>$D$188</f>
        <v/>
      </c>
      <c r="G191" s="0" t="inlineStr">
        <is>
          <t>,12],[7,</t>
        </is>
      </c>
      <c r="H191" s="203" t="n">
        <v>0</v>
      </c>
      <c r="I191" s="0" t="inlineStr">
        <is>
          <t>,13],[7,</t>
        </is>
      </c>
      <c r="J191" s="203">
        <f>$D$188</f>
        <v/>
      </c>
      <c r="K191" s="0" t="inlineStr">
        <is>
          <t>,14],[7,</t>
        </is>
      </c>
      <c r="L191" s="203">
        <f>$D$188</f>
        <v/>
      </c>
      <c r="M191" s="0" t="inlineStr">
        <is>
          <t>,15],</t>
        </is>
      </c>
    </row>
    <row r="192">
      <c r="A192" s="151" t="inlineStr">
        <is>
          <t xml:space="preserve">[7,5,16],[7,5,17],[7,5,18],[7,6,19],[7,5,20], </t>
        </is>
      </c>
      <c r="B192" s="0">
        <f>CONCATENATE(C191,D191,E191,F191,G191,H191,I191,J191,K191,L191,M191,N191,O191,P191,Q191,R191,S191,T191,U191,V191,W191,X191,Y191,Z191,AA191,AB191,AC191,AD191,AE191,AF191,AG191,AH191,AI191,AJ191,AK191,AL191,AM191,AN191,AO191,AP191,AQ191,AR191,AS191,AT191,AU191,AV191,AW191,AX191,AY191,AZ191,BA191,BB191,BC191,BD191,BE191,BF191,BG191,BH191)</f>
        <v/>
      </c>
      <c r="C192" s="0" t="inlineStr">
        <is>
          <t>[7,</t>
        </is>
      </c>
      <c r="D192" s="203">
        <f>$D$188</f>
        <v/>
      </c>
      <c r="E192" s="0" t="inlineStr">
        <is>
          <t>,16],[7,</t>
        </is>
      </c>
      <c r="F192" s="203">
        <f>$D$188</f>
        <v/>
      </c>
      <c r="G192" s="0" t="inlineStr">
        <is>
          <t>,17],[7,</t>
        </is>
      </c>
      <c r="H192" s="203">
        <f>$D$188</f>
        <v/>
      </c>
      <c r="I192" s="0" t="inlineStr">
        <is>
          <t>,18],[7,</t>
        </is>
      </c>
      <c r="J192" s="203">
        <f>$D$188</f>
        <v/>
      </c>
      <c r="K192" s="0" t="inlineStr">
        <is>
          <t>,19],[7,</t>
        </is>
      </c>
      <c r="L192" s="203">
        <f>$D$188</f>
        <v/>
      </c>
      <c r="M192" s="0" t="inlineStr">
        <is>
          <t>,20],</t>
        </is>
      </c>
    </row>
    <row r="193">
      <c r="A193" s="151" t="inlineStr">
        <is>
          <t xml:space="preserve">[7,5,21],[7,5,22],[7,5,23],[7,6,24],[7,5,25], </t>
        </is>
      </c>
      <c r="B193" s="0">
        <f>CONCATENATE(C192,D192,E192,F192,G192,H192,I192,J192,K192,L192,M192,N192,O192,P192,Q192,R192,S192,T192,U192,V192,W192,X192,Y192,Z192,AA192,AB192,AC192,AD192,AE192,AF192,AG192,AH192,AI192,AJ192,AK192,AL192,AM192,AN192,AO192,AP192,AQ192,AR192,AS192,AT192,AU192,AV192,AW192,AX192,AY192,AZ192,BA192,BB192,BC192,BD192,BE192,BF192,BG192,BH192)</f>
        <v/>
      </c>
      <c r="C193" s="0" t="inlineStr">
        <is>
          <t>[7,</t>
        </is>
      </c>
      <c r="D193" s="203">
        <f>$D$188</f>
        <v/>
      </c>
      <c r="E193" s="0" t="inlineStr">
        <is>
          <t>,21],[7,</t>
        </is>
      </c>
      <c r="F193" s="203">
        <f>$D$188</f>
        <v/>
      </c>
      <c r="G193" s="0" t="inlineStr">
        <is>
          <t>,22],[7,</t>
        </is>
      </c>
      <c r="H193" s="203">
        <f>$D$188</f>
        <v/>
      </c>
      <c r="I193" s="0" t="inlineStr">
        <is>
          <t>,23],[7,</t>
        </is>
      </c>
      <c r="J193" s="203">
        <f>$D$188</f>
        <v/>
      </c>
      <c r="K193" s="0" t="inlineStr">
        <is>
          <t>,24],[7,</t>
        </is>
      </c>
      <c r="L193" s="203">
        <f>$D$188</f>
        <v/>
      </c>
      <c r="M193" s="0" t="inlineStr">
        <is>
          <t>,25],</t>
        </is>
      </c>
    </row>
    <row r="194">
      <c r="B194" s="0">
        <f>CONCATENATE(C193,D193,E193,F193,G193,H193,I193,J193,K193,L193,M193,N193,O193,P193,Q193,R193,S193,T193,U193,V193,W193,X193,Y193,Z193,AA193,AB193,AC193,AD193,AE193,AF193,AG193,AH193,AI193,AJ193,AK193,AL193,AM193,AN193,AO193,AP193,AQ193,AR193,AS193,AT193,AU193,AV193,AW193,AX193,AY193,AZ193,BA193,BB193,BC193,BD193,BE193,BF193,BG193,BH193)</f>
        <v/>
      </c>
    </row>
    <row r="195">
      <c r="A195" s="151" t="inlineStr">
        <is>
          <t xml:space="preserve">[8,5,1],[8,5,2],[8,5,3],[8,6,4],[8,5,5], </t>
        </is>
      </c>
      <c r="B195" s="0">
        <f>CONCATENATE(C194,D194,E194,F194,G194,H194,I194,J194,K194,L194,M194,N194,O194,P194,Q194,R194,S194,T194,U194,V194,W194,X194,Y194,Z194,AA194,AB194,AC194,AD194,AE194,AF194,AG194,AH194,AI194,AJ194,AK194,AL194,AM194,AN194,AO194,AP194,AQ194,AR194,AS194,AT194,AU194,AV194,AW194,AX194,AY194,AZ194,BA194,BB194,BC194,BD194,BE194,BF194,BG194,BH194)</f>
        <v/>
      </c>
      <c r="C195" s="0" t="inlineStr">
        <is>
          <t>[8,</t>
        </is>
      </c>
      <c r="D195" s="203">
        <f>'Control Panel'!AS71</f>
        <v/>
      </c>
      <c r="E195" s="0" t="inlineStr">
        <is>
          <t>,1],[8,</t>
        </is>
      </c>
      <c r="F195" s="203">
        <f>$D$194</f>
        <v/>
      </c>
      <c r="G195" s="0" t="inlineStr">
        <is>
          <t>,2],[8,</t>
        </is>
      </c>
      <c r="H195" s="203">
        <f>$D$194</f>
        <v/>
      </c>
      <c r="I195" s="0" t="inlineStr">
        <is>
          <t>,3],[8,</t>
        </is>
      </c>
      <c r="J195" s="203">
        <f>$D$194</f>
        <v/>
      </c>
      <c r="K195" s="0" t="inlineStr">
        <is>
          <t>,4],[8,</t>
        </is>
      </c>
      <c r="L195" s="203">
        <f>$D$194</f>
        <v/>
      </c>
      <c r="M195" s="0" t="inlineStr">
        <is>
          <t>,5],</t>
        </is>
      </c>
    </row>
    <row r="196">
      <c r="A196" s="151" t="inlineStr">
        <is>
          <t xml:space="preserve">[8,5,6],[8,5,7],[8,5,8],[8,6,9],[8,5,10], </t>
        </is>
      </c>
      <c r="B196" s="0">
        <f>CONCATENATE(C195,D195,E195,F195,G195,H195,I195,J195,K195,L195,M195,N195,O195,P195,Q195,R195,S195,T195,U195,V195,W195,X195,Y195,Z195,AA195,AB195,AC195,AD195,AE195,AF195,AG195,AH195,AI195,AJ195,AK195,AL195,AM195,AN195,AO195,AP195,AQ195,AR195,AS195,AT195,AU195,AV195,AW195,AX195,AY195,AZ195,BA195,BB195,BC195,BD195,BE195,BF195,BG195,BH195)</f>
        <v/>
      </c>
      <c r="C196" s="0" t="inlineStr">
        <is>
          <t>[8,</t>
        </is>
      </c>
      <c r="D196" s="203">
        <f>$D$194</f>
        <v/>
      </c>
      <c r="E196" s="0" t="inlineStr">
        <is>
          <t>,6],[8,</t>
        </is>
      </c>
      <c r="F196" s="203">
        <f>$D$194</f>
        <v/>
      </c>
      <c r="G196" s="0" t="inlineStr">
        <is>
          <t>,7],[8,</t>
        </is>
      </c>
      <c r="H196" s="203">
        <f>$D$194</f>
        <v/>
      </c>
      <c r="I196" s="0" t="inlineStr">
        <is>
          <t>,8],[8,</t>
        </is>
      </c>
      <c r="J196" s="203">
        <f>$D$194</f>
        <v/>
      </c>
      <c r="K196" s="0" t="inlineStr">
        <is>
          <t>,9],[8,</t>
        </is>
      </c>
      <c r="L196" s="203">
        <f>$D$194</f>
        <v/>
      </c>
      <c r="M196" s="0" t="inlineStr">
        <is>
          <t>,10],</t>
        </is>
      </c>
    </row>
    <row r="197">
      <c r="A197" s="151" t="inlineStr">
        <is>
          <t xml:space="preserve">[8,5,11],[8,5,12],[8,0,13],[8,6,14],[8,5,15], </t>
        </is>
      </c>
      <c r="B197" s="0">
        <f>CONCATENATE(C196,D196,E196,F196,G196,H196,I196,J196,K196,L196,M196,N196,O196,P196,Q196,R196,S196,T196,U196,V196,W196,X196,Y196,Z196,AA196,AB196,AC196,AD196,AE196,AF196,AG196,AH196,AI196,AJ196,AK196,AL196,AM196,AN196,AO196,AP196,AQ196,AR196,AS196,AT196,AU196,AV196,AW196,AX196,AY196,AZ196,BA196,BB196,BC196,BD196,BE196,BF196,BG196,BH196)</f>
        <v/>
      </c>
      <c r="C197" s="0" t="inlineStr">
        <is>
          <t>[8,</t>
        </is>
      </c>
      <c r="D197" s="203">
        <f>$D$194</f>
        <v/>
      </c>
      <c r="E197" s="0" t="inlineStr">
        <is>
          <t>,11],[8,</t>
        </is>
      </c>
      <c r="F197" s="203">
        <f>$D$194</f>
        <v/>
      </c>
      <c r="G197" s="0" t="inlineStr">
        <is>
          <t>,12],[8,</t>
        </is>
      </c>
      <c r="H197" s="203" t="n">
        <v>0</v>
      </c>
      <c r="I197" s="0" t="inlineStr">
        <is>
          <t>,13],[8,</t>
        </is>
      </c>
      <c r="J197" s="203">
        <f>$D$194</f>
        <v/>
      </c>
      <c r="K197" s="0" t="inlineStr">
        <is>
          <t>,14],[8,</t>
        </is>
      </c>
      <c r="L197" s="203">
        <f>$D$194</f>
        <v/>
      </c>
      <c r="M197" s="0" t="inlineStr">
        <is>
          <t>,15],</t>
        </is>
      </c>
    </row>
    <row r="198">
      <c r="A198" s="151" t="inlineStr">
        <is>
          <t xml:space="preserve">[8,5,16],[8,5,17],[8,5,18],[8,6,19],[8,5,20], </t>
        </is>
      </c>
      <c r="B198" s="0">
        <f>CONCATENATE(C197,D197,E197,F197,G197,H197,I197,J197,K197,L197,M197,N197,O197,P197,Q197,R197,S197,T197,U197,V197,W197,X197,Y197,Z197,AA197,AB197,AC197,AD197,AE197,AF197,AG197,AH197,AI197,AJ197,AK197,AL197,AM197,AN197,AO197,AP197,AQ197,AR197,AS197,AT197,AU197,AV197,AW197,AX197,AY197,AZ197,BA197,BB197,BC197,BD197,BE197,BF197,BG197,BH197)</f>
        <v/>
      </c>
      <c r="C198" s="0" t="inlineStr">
        <is>
          <t>[8,</t>
        </is>
      </c>
      <c r="D198" s="203">
        <f>$D$194</f>
        <v/>
      </c>
      <c r="E198" s="0" t="inlineStr">
        <is>
          <t>,16],[8,</t>
        </is>
      </c>
      <c r="F198" s="203">
        <f>$D$194</f>
        <v/>
      </c>
      <c r="G198" s="0" t="inlineStr">
        <is>
          <t>,17],[8,</t>
        </is>
      </c>
      <c r="H198" s="203">
        <f>$D$194</f>
        <v/>
      </c>
      <c r="I198" s="0" t="inlineStr">
        <is>
          <t>,18],[8,</t>
        </is>
      </c>
      <c r="J198" s="203">
        <f>$D$194</f>
        <v/>
      </c>
      <c r="K198" s="0" t="inlineStr">
        <is>
          <t>,19],[8,</t>
        </is>
      </c>
      <c r="L198" s="203">
        <f>$D$194</f>
        <v/>
      </c>
      <c r="M198" s="0" t="inlineStr">
        <is>
          <t>,20],</t>
        </is>
      </c>
    </row>
    <row r="199">
      <c r="A199" s="151" t="inlineStr">
        <is>
          <t xml:space="preserve">[8,5,21],[8,5,22],[8,5,23],[8,6,24],[8,5,25] </t>
        </is>
      </c>
      <c r="B199" s="0">
        <f>CONCATENATE(C198,D198,E198,F198,G198,H198,I198,J198,K198,L198,M198,N198,O198,P198,Q198,R198,S198,T198,U198,V198,W198,X198,Y198,Z198,AA198,AB198,AC198,AD198,AE198,AF198,AG198,AH198,AI198,AJ198,AK198,AL198,AM198,AN198,AO198,AP198,AQ198,AR198,AS198,AT198,AU198,AV198,AW198,AX198,AY198,AZ198,BA198,BB198,BC198,BD198,BE198,BF198,BG198,BH198)</f>
        <v/>
      </c>
      <c r="C199" s="0" t="inlineStr">
        <is>
          <t>[8,</t>
        </is>
      </c>
      <c r="D199" s="203">
        <f>$D$194</f>
        <v/>
      </c>
      <c r="E199" s="0" t="inlineStr">
        <is>
          <t>,21],[8,</t>
        </is>
      </c>
      <c r="F199" s="203">
        <f>$D$194</f>
        <v/>
      </c>
      <c r="G199" s="0" t="inlineStr">
        <is>
          <t>,22],[8,</t>
        </is>
      </c>
      <c r="H199" s="203">
        <f>$D$194</f>
        <v/>
      </c>
      <c r="I199" s="0" t="inlineStr">
        <is>
          <t>,23],[8,</t>
        </is>
      </c>
      <c r="J199" s="203">
        <f>$D$194</f>
        <v/>
      </c>
      <c r="K199" s="0" t="inlineStr">
        <is>
          <t>,24],[8,</t>
        </is>
      </c>
      <c r="L199" s="203">
        <f>$D$194</f>
        <v/>
      </c>
      <c r="M199" s="0" t="inlineStr">
        <is>
          <t>,25],</t>
        </is>
      </c>
    </row>
    <row r="200">
      <c r="A200" s="151" t="inlineStr">
        <is>
          <t xml:space="preserve">], </t>
        </is>
      </c>
      <c r="B200" s="0">
        <f>CONCATENATE(C199,D199,E199,F199,G199,H199,I199,J199,K199,L199,M199,N199,O199,P199,Q199,R199,S199,T199,U199,V199,W199,X199,Y199,Z199,AA199,AB199,AC199,AD199,AE199,AF199,AG199,AH199,AI199,AJ199,AK199,AL199,AM199,AN199,AO199,AP199,AQ199,AR199,AS199,AT199,AU199,AV199,AW199,AX199,AY199,AZ199,BA199,BB199,BC199,BD199,BE199,BF199,BG199,BH199)</f>
        <v/>
      </c>
      <c r="C200" s="0" t="inlineStr">
        <is>
          <t xml:space="preserve">], </t>
        </is>
      </c>
    </row>
    <row r="201">
      <c r="A201" s="151" t="inlineStr">
        <is>
          <t xml:space="preserve">[ </t>
        </is>
      </c>
      <c r="B201" s="0">
        <f>CONCATENATE(C200,D200,E200,F200,G200,H200,I200,J200,K200,L200,M200,N200,O200,P200,Q200,R200,S200,T200,U200,V200,W200,X200,Y200,Z200,AA200,AB200,AC200,AD200,AE200,AF200,AG200,AH200,AI200,AJ200,AK200,AL200,AM200,AN200,AO200,AP200,AQ200,AR200,AS200,AT200,AU200,AV200,AW200,AX200,AY200,AZ200,BA200,BB200,BC200,BD200,BE200,BF200,BG200,BH200)</f>
        <v/>
      </c>
      <c r="C201" s="0" t="inlineStr">
        <is>
          <t xml:space="preserve">[ </t>
        </is>
      </c>
    </row>
    <row r="202">
      <c r="A202" s="151" t="inlineStr">
        <is>
          <t xml:space="preserve">[1,5,1],[1,5,2],[1,5,3],[1,6,4],[1,5,5], </t>
        </is>
      </c>
      <c r="B202" s="0">
        <f>CONCATENATE(C201,D201,E201,F201,G201,H201,I201,J201,K201,L201,M201,N201,O201,P201,Q201,R201,S201,T201,U201,V201,W201,X201,Y201,Z201,AA201,AB201,AC201,AD201,AE201,AF201,AG201,AH201,AI201,AJ201,AK201,AL201,AM201,AN201,AO201,AP201,AQ201,AR201,AS201,AT201,AU201,AV201,AW201,AX201,AY201,AZ201,BA201,BB201,BC201,BD201,BE201,BF201,BG201,BH201)</f>
        <v/>
      </c>
      <c r="C202" s="0" t="inlineStr">
        <is>
          <t>[1,</t>
        </is>
      </c>
      <c r="D202" s="203">
        <f>'Control Panel'!AA79</f>
        <v/>
      </c>
      <c r="E202" s="0" t="inlineStr">
        <is>
          <t>,1],[1,</t>
        </is>
      </c>
      <c r="F202" s="203">
        <f>$D$201</f>
        <v/>
      </c>
      <c r="G202" s="0" t="inlineStr">
        <is>
          <t>,2],[1,</t>
        </is>
      </c>
      <c r="H202" s="203">
        <f>$D$201</f>
        <v/>
      </c>
      <c r="I202" s="0" t="inlineStr">
        <is>
          <t>,3],[1,</t>
        </is>
      </c>
      <c r="J202" s="203">
        <f>$D$201</f>
        <v/>
      </c>
      <c r="K202" s="0" t="inlineStr">
        <is>
          <t>,4],[1,</t>
        </is>
      </c>
      <c r="L202" s="203">
        <f>$D$201</f>
        <v/>
      </c>
      <c r="M202" s="0" t="inlineStr">
        <is>
          <t>,5],</t>
        </is>
      </c>
    </row>
    <row r="203">
      <c r="A203" s="151" t="inlineStr">
        <is>
          <t xml:space="preserve">[1,5,6],[1,5,7],[1,5,8],[1,6,9],[1,5,10], </t>
        </is>
      </c>
      <c r="B203" s="0">
        <f>CONCATENATE(C202,D202,E202,F202,G202,H202,I202,J202,K202,L202,M202,N202,O202,P202,Q202,R202,S202,T202,U202,V202,W202,X202,Y202,Z202,AA202,AB202,AC202,AD202,AE202,AF202,AG202,AH202,AI202,AJ202,AK202,AL202,AM202,AN202,AO202,AP202,AQ202,AR202,AS202,AT202,AU202,AV202,AW202,AX202,AY202,AZ202,BA202,BB202,BC202,BD202,BE202,BF202,BG202,BH202)</f>
        <v/>
      </c>
      <c r="C203" s="0" t="inlineStr">
        <is>
          <t>[1,</t>
        </is>
      </c>
      <c r="D203" s="203">
        <f>$D$201</f>
        <v/>
      </c>
      <c r="E203" s="0" t="inlineStr">
        <is>
          <t>,6],[1,</t>
        </is>
      </c>
      <c r="F203" s="203">
        <f>$D$201</f>
        <v/>
      </c>
      <c r="G203" s="0" t="inlineStr">
        <is>
          <t>,7],[1,</t>
        </is>
      </c>
      <c r="H203" s="203">
        <f>$D$201</f>
        <v/>
      </c>
      <c r="I203" s="0" t="inlineStr">
        <is>
          <t>,8],[1,</t>
        </is>
      </c>
      <c r="J203" s="203">
        <f>$D$201</f>
        <v/>
      </c>
      <c r="K203" s="0" t="inlineStr">
        <is>
          <t>,9],[1,</t>
        </is>
      </c>
      <c r="L203" s="203">
        <f>$D$201</f>
        <v/>
      </c>
      <c r="M203" s="0" t="inlineStr">
        <is>
          <t>,10],</t>
        </is>
      </c>
    </row>
    <row r="204">
      <c r="A204" s="151" t="inlineStr">
        <is>
          <t xml:space="preserve">[1,5,11],[1,5,12],[1,0,13],[1,6,14],[1,5,15], </t>
        </is>
      </c>
      <c r="B204" s="0">
        <f>CONCATENATE(C203,D203,E203,F203,G203,H203,I203,J203,K203,L203,M203,N203,O203,P203,Q203,R203,S203,T203,U203,V203,W203,X203,Y203,Z203,AA203,AB203,AC203,AD203,AE203,AF203,AG203,AH203,AI203,AJ203,AK203,AL203,AM203,AN203,AO203,AP203,AQ203,AR203,AS203,AT203,AU203,AV203,AW203,AX203,AY203,AZ203,BA203,BB203,BC203,BD203,BE203,BF203,BG203,BH203)</f>
        <v/>
      </c>
      <c r="C204" s="0" t="inlineStr">
        <is>
          <t>[1,</t>
        </is>
      </c>
      <c r="D204" s="203">
        <f>$D$201</f>
        <v/>
      </c>
      <c r="E204" s="0" t="inlineStr">
        <is>
          <t>,11],[1,</t>
        </is>
      </c>
      <c r="F204" s="203">
        <f>$D$201</f>
        <v/>
      </c>
      <c r="G204" s="0" t="inlineStr">
        <is>
          <t>,12],[1,</t>
        </is>
      </c>
      <c r="H204" s="203" t="n">
        <v>0</v>
      </c>
      <c r="I204" s="0" t="inlineStr">
        <is>
          <t>,13],[1,</t>
        </is>
      </c>
      <c r="J204" s="203">
        <f>$D$201</f>
        <v/>
      </c>
      <c r="K204" s="0" t="inlineStr">
        <is>
          <t>,14],[1,</t>
        </is>
      </c>
      <c r="L204" s="203">
        <f>$D$201</f>
        <v/>
      </c>
      <c r="M204" s="0" t="inlineStr">
        <is>
          <t>,15],</t>
        </is>
      </c>
    </row>
    <row r="205">
      <c r="A205" s="151" t="inlineStr">
        <is>
          <t xml:space="preserve">[1,5,16],[1,5,17],[1,5,18],[1,6,19],[1,5,20], </t>
        </is>
      </c>
      <c r="B205" s="0">
        <f>CONCATENATE(C204,D204,E204,F204,G204,H204,I204,J204,K204,L204,M204,N204,O204,P204,Q204,R204,S204,T204,U204,V204,W204,X204,Y204,Z204,AA204,AB204,AC204,AD204,AE204,AF204,AG204,AH204,AI204,AJ204,AK204,AL204,AM204,AN204,AO204,AP204,AQ204,AR204,AS204,AT204,AU204,AV204,AW204,AX204,AY204,AZ204,BA204,BB204,BC204,BD204,BE204,BF204,BG204,BH204)</f>
        <v/>
      </c>
      <c r="C205" s="0" t="inlineStr">
        <is>
          <t>[1,</t>
        </is>
      </c>
      <c r="D205" s="203">
        <f>$D$201</f>
        <v/>
      </c>
      <c r="E205" s="0" t="inlineStr">
        <is>
          <t>,16],[1,</t>
        </is>
      </c>
      <c r="F205" s="203">
        <f>$D$201</f>
        <v/>
      </c>
      <c r="G205" s="0" t="inlineStr">
        <is>
          <t>,17],[1,</t>
        </is>
      </c>
      <c r="H205" s="203">
        <f>$D$201</f>
        <v/>
      </c>
      <c r="I205" s="0" t="inlineStr">
        <is>
          <t>,18],[1,</t>
        </is>
      </c>
      <c r="J205" s="203">
        <f>$D$201</f>
        <v/>
      </c>
      <c r="K205" s="0" t="inlineStr">
        <is>
          <t>,19],[1,</t>
        </is>
      </c>
      <c r="L205" s="203">
        <f>$D$201</f>
        <v/>
      </c>
      <c r="M205" s="0" t="inlineStr">
        <is>
          <t>,20],</t>
        </is>
      </c>
    </row>
    <row r="206">
      <c r="A206" s="151" t="inlineStr">
        <is>
          <t xml:space="preserve">[1,5,21],[1,5,22],[1,5,23],[1,6,24],[1,5,25], </t>
        </is>
      </c>
      <c r="B206" s="0">
        <f>CONCATENATE(C205,D205,E205,F205,G205,H205,I205,J205,K205,L205,M205,N205,O205,P205,Q205,R205,S205,T205,U205,V205,W205,X205,Y205,Z205,AA205,AB205,AC205,AD205,AE205,AF205,AG205,AH205,AI205,AJ205,AK205,AL205,AM205,AN205,AO205,AP205,AQ205,AR205,AS205,AT205,AU205,AV205,AW205,AX205,AY205,AZ205,BA205,BB205,BC205,BD205,BE205,BF205,BG205,BH205)</f>
        <v/>
      </c>
      <c r="C206" s="0" t="inlineStr">
        <is>
          <t>[1,</t>
        </is>
      </c>
      <c r="D206" s="203">
        <f>$D$201</f>
        <v/>
      </c>
      <c r="E206" s="0" t="inlineStr">
        <is>
          <t>,21],[1,</t>
        </is>
      </c>
      <c r="F206" s="203">
        <f>$D$201</f>
        <v/>
      </c>
      <c r="G206" s="0" t="inlineStr">
        <is>
          <t>,22],[1,</t>
        </is>
      </c>
      <c r="H206" s="203">
        <f>$D$201</f>
        <v/>
      </c>
      <c r="I206" s="0" t="inlineStr">
        <is>
          <t>,23],[1,</t>
        </is>
      </c>
      <c r="J206" s="203">
        <f>$D$201</f>
        <v/>
      </c>
      <c r="K206" s="0" t="inlineStr">
        <is>
          <t>,24],[1,</t>
        </is>
      </c>
      <c r="L206" s="203">
        <f>$D$201</f>
        <v/>
      </c>
      <c r="M206" s="0" t="inlineStr">
        <is>
          <t>,25],</t>
        </is>
      </c>
    </row>
    <row r="207">
      <c r="B207" s="0">
        <f>CONCATENATE(C206,D206,E206,F206,G206,H206,I206,J206,K206,L206,M206,N206,O206,P206,Q206,R206,S206,T206,U206,V206,W206,X206,Y206,Z206,AA206,AB206,AC206,AD206,AE206,AF206,AG206,AH206,AI206,AJ206,AK206,AL206,AM206,AN206,AO206,AP206,AQ206,AR206,AS206,AT206,AU206,AV206,AW206,AX206,AY206,AZ206,BA206,BB206,BC206,BD206,BE206,BF206,BG206,BH206)</f>
        <v/>
      </c>
    </row>
    <row r="208">
      <c r="A208" s="151" t="inlineStr">
        <is>
          <t xml:space="preserve">[2,5,1],[2,5,2],[2,5,3],[2,6,4],[2,5,5], </t>
        </is>
      </c>
      <c r="B208" s="0">
        <f>CONCATENATE(C207,D207,E207,F207,G207,H207,I207,J207,K207,L207,M207,N207,O207,P207,Q207,R207,S207,T207,U207,V207,W207,X207,Y207,Z207,AA207,AB207,AC207,AD207,AE207,AF207,AG207,AH207,AI207,AJ207,AK207,AL207,AM207,AN207,AO207,AP207,AQ207,AR207,AS207,AT207,AU207,AV207,AW207,AX207,AY207,AZ207,BA207,BB207,BC207,BD207,BE207,BF207,BG207,BH207)</f>
        <v/>
      </c>
      <c r="C208" s="0" t="inlineStr">
        <is>
          <t>[2,</t>
        </is>
      </c>
      <c r="D208" s="203">
        <f>'Control Panel'!AG79</f>
        <v/>
      </c>
      <c r="E208" s="0" t="inlineStr">
        <is>
          <t>,1],[2,</t>
        </is>
      </c>
      <c r="F208" s="203">
        <f>$D$207</f>
        <v/>
      </c>
      <c r="G208" s="0" t="inlineStr">
        <is>
          <t>,2],[2,</t>
        </is>
      </c>
      <c r="H208" s="203">
        <f>$D$207</f>
        <v/>
      </c>
      <c r="I208" s="0" t="inlineStr">
        <is>
          <t>,3],[2,</t>
        </is>
      </c>
      <c r="J208" s="203">
        <f>$D$207</f>
        <v/>
      </c>
      <c r="K208" s="0" t="inlineStr">
        <is>
          <t>,4],[2,</t>
        </is>
      </c>
      <c r="L208" s="203">
        <f>$D$207</f>
        <v/>
      </c>
      <c r="M208" s="0" t="inlineStr">
        <is>
          <t>,5],</t>
        </is>
      </c>
    </row>
    <row r="209">
      <c r="A209" s="151" t="inlineStr">
        <is>
          <t xml:space="preserve">[2,5,6],[2,5,7],[2,5,8],[2,6,9],[2,5,10], </t>
        </is>
      </c>
      <c r="B209" s="0">
        <f>CONCATENATE(C208,D208,E208,F208,G208,H208,I208,J208,K208,L208,M208,N208,O208,P208,Q208,R208,S208,T208,U208,V208,W208,X208,Y208,Z208,AA208,AB208,AC208,AD208,AE208,AF208,AG208,AH208,AI208,AJ208,AK208,AL208,AM208,AN208,AO208,AP208,AQ208,AR208,AS208,AT208,AU208,AV208,AW208,AX208,AY208,AZ208,BA208,BB208,BC208,BD208,BE208,BF208,BG208,BH208)</f>
        <v/>
      </c>
      <c r="C209" s="0" t="inlineStr">
        <is>
          <t>[2,</t>
        </is>
      </c>
      <c r="D209" s="203">
        <f>$D$207</f>
        <v/>
      </c>
      <c r="E209" s="0" t="inlineStr">
        <is>
          <t>,6],[2,</t>
        </is>
      </c>
      <c r="F209" s="203">
        <f>$D$207</f>
        <v/>
      </c>
      <c r="G209" s="0" t="inlineStr">
        <is>
          <t>,7],[2,</t>
        </is>
      </c>
      <c r="H209" s="203">
        <f>$D$207</f>
        <v/>
      </c>
      <c r="I209" s="0" t="inlineStr">
        <is>
          <t>,8],[2,</t>
        </is>
      </c>
      <c r="J209" s="203">
        <f>$D$207</f>
        <v/>
      </c>
      <c r="K209" s="0" t="inlineStr">
        <is>
          <t>,9],[2,</t>
        </is>
      </c>
      <c r="L209" s="203">
        <f>$D$207</f>
        <v/>
      </c>
      <c r="M209" s="0" t="inlineStr">
        <is>
          <t>,10],</t>
        </is>
      </c>
    </row>
    <row r="210">
      <c r="A210" s="151" t="inlineStr">
        <is>
          <t xml:space="preserve">[2,5,11],[2,5,12],[2,0,13],[2,6,14],[2,5,15], </t>
        </is>
      </c>
      <c r="B210" s="0">
        <f>CONCATENATE(C209,D209,E209,F209,G209,H209,I209,J209,K209,L209,M209,N209,O209,P209,Q209,R209,S209,T209,U209,V209,W209,X209,Y209,Z209,AA209,AB209,AC209,AD209,AE209,AF209,AG209,AH209,AI209,AJ209,AK209,AL209,AM209,AN209,AO209,AP209,AQ209,AR209,AS209,AT209,AU209,AV209,AW209,AX209,AY209,AZ209,BA209,BB209,BC209,BD209,BE209,BF209,BG209,BH209)</f>
        <v/>
      </c>
      <c r="C210" s="0" t="inlineStr">
        <is>
          <t>[2,</t>
        </is>
      </c>
      <c r="D210" s="203">
        <f>$D$207</f>
        <v/>
      </c>
      <c r="E210" s="0" t="inlineStr">
        <is>
          <t>,11],[2,</t>
        </is>
      </c>
      <c r="F210" s="203">
        <f>$D$207</f>
        <v/>
      </c>
      <c r="G210" s="0" t="inlineStr">
        <is>
          <t>,12],[2,</t>
        </is>
      </c>
      <c r="H210" s="203" t="n">
        <v>0</v>
      </c>
      <c r="I210" s="0" t="inlineStr">
        <is>
          <t>,13],[2,</t>
        </is>
      </c>
      <c r="J210" s="203">
        <f>$D$207</f>
        <v/>
      </c>
      <c r="K210" s="0" t="inlineStr">
        <is>
          <t>,14],[2,</t>
        </is>
      </c>
      <c r="L210" s="203">
        <f>$D$207</f>
        <v/>
      </c>
      <c r="M210" s="0" t="inlineStr">
        <is>
          <t>,15],</t>
        </is>
      </c>
    </row>
    <row r="211">
      <c r="A211" s="151" t="inlineStr">
        <is>
          <t xml:space="preserve">[2,5,16],[2,5,17],[2,5,18],[2,6,19],[2,5,20], </t>
        </is>
      </c>
      <c r="B211" s="0">
        <f>CONCATENATE(C210,D210,E210,F210,G210,H210,I210,J210,K210,L210,M210,N210,O210,P210,Q210,R210,S210,T210,U210,V210,W210,X210,Y210,Z210,AA210,AB210,AC210,AD210,AE210,AF210,AG210,AH210,AI210,AJ210,AK210,AL210,AM210,AN210,AO210,AP210,AQ210,AR210,AS210,AT210,AU210,AV210,AW210,AX210,AY210,AZ210,BA210,BB210,BC210,BD210,BE210,BF210,BG210,BH210)</f>
        <v/>
      </c>
      <c r="C211" s="0" t="inlineStr">
        <is>
          <t>[2,</t>
        </is>
      </c>
      <c r="D211" s="203">
        <f>$D$207</f>
        <v/>
      </c>
      <c r="E211" s="0" t="inlineStr">
        <is>
          <t>,16],[2,</t>
        </is>
      </c>
      <c r="F211" s="203">
        <f>$D$207</f>
        <v/>
      </c>
      <c r="G211" s="0" t="inlineStr">
        <is>
          <t>,17],[2,</t>
        </is>
      </c>
      <c r="H211" s="203">
        <f>$D$207</f>
        <v/>
      </c>
      <c r="I211" s="0" t="inlineStr">
        <is>
          <t>,18],[2,</t>
        </is>
      </c>
      <c r="J211" s="203">
        <f>$D$207</f>
        <v/>
      </c>
      <c r="K211" s="0" t="inlineStr">
        <is>
          <t>,19],[2,</t>
        </is>
      </c>
      <c r="L211" s="203">
        <f>$D$207</f>
        <v/>
      </c>
      <c r="M211" s="0" t="inlineStr">
        <is>
          <t>,20],</t>
        </is>
      </c>
    </row>
    <row r="212">
      <c r="A212" s="151" t="inlineStr">
        <is>
          <t xml:space="preserve">[2,5,21],[2,5,22],[2,5,23],[2,6,24],[2,5,25], </t>
        </is>
      </c>
      <c r="B212" s="0">
        <f>CONCATENATE(C211,D211,E211,F211,G211,H211,I211,J211,K211,L211,M211,N211,O211,P211,Q211,R211,S211,T211,U211,V211,W211,X211,Y211,Z211,AA211,AB211,AC211,AD211,AE211,AF211,AG211,AH211,AI211,AJ211,AK211,AL211,AM211,AN211,AO211,AP211,AQ211,AR211,AS211,AT211,AU211,AV211,AW211,AX211,AY211,AZ211,BA211,BB211,BC211,BD211,BE211,BF211,BG211,BH211)</f>
        <v/>
      </c>
      <c r="C212" s="0" t="inlineStr">
        <is>
          <t>[2,</t>
        </is>
      </c>
      <c r="D212" s="203">
        <f>$D$207</f>
        <v/>
      </c>
      <c r="E212" s="0" t="inlineStr">
        <is>
          <t>,21],[2,</t>
        </is>
      </c>
      <c r="F212" s="203">
        <f>$D$207</f>
        <v/>
      </c>
      <c r="G212" s="0" t="inlineStr">
        <is>
          <t>,22],[2,</t>
        </is>
      </c>
      <c r="H212" s="203">
        <f>$D$207</f>
        <v/>
      </c>
      <c r="I212" s="0" t="inlineStr">
        <is>
          <t>,23],[2,</t>
        </is>
      </c>
      <c r="J212" s="203">
        <f>$D$207</f>
        <v/>
      </c>
      <c r="K212" s="0" t="inlineStr">
        <is>
          <t>,24],[2,</t>
        </is>
      </c>
      <c r="L212" s="203">
        <f>$D$207</f>
        <v/>
      </c>
      <c r="M212" s="0" t="inlineStr">
        <is>
          <t>,25],</t>
        </is>
      </c>
    </row>
    <row r="213">
      <c r="B213" s="0">
        <f>CONCATENATE(C212,D212,E212,F212,G212,H212,I212,J212,K212,L212,M212,N212,O212,P212,Q212,R212,S212,T212,U212,V212,W212,X212,Y212,Z212,AA212,AB212,AC212,AD212,AE212,AF212,AG212,AH212,AI212,AJ212,AK212,AL212,AM212,AN212,AO212,AP212,AQ212,AR212,AS212,AT212,AU212,AV212,AW212,AX212,AY212,AZ212,BA212,BB212,BC212,BD212,BE212,BF212,BG212,BH212)</f>
        <v/>
      </c>
    </row>
    <row r="214">
      <c r="A214" s="151" t="inlineStr">
        <is>
          <t xml:space="preserve">[3,5,1],[3,5,2],[3,5,3],[3,6,4],[3,5,5], </t>
        </is>
      </c>
      <c r="B214" s="0">
        <f>CONCATENATE(C213,D213,E213,F213,G213,H213,I213,J213,K213,L213,M213,N213,O213,P213,Q213,R213,S213,T213,U213,V213,W213,X213,Y213,Z213,AA213,AB213,AC213,AD213,AE213,AF213,AG213,AH213,AI213,AJ213,AK213,AL213,AM213,AN213,AO213,AP213,AQ213,AR213,AS213,AT213,AU213,AV213,AW213,AX213,AY213,AZ213,BA213,BB213,BC213,BD213,BE213,BF213,BG213,BH213)</f>
        <v/>
      </c>
      <c r="C214" s="0" t="inlineStr">
        <is>
          <t>[3,</t>
        </is>
      </c>
      <c r="D214" s="203">
        <f>'Control Panel'!AM79</f>
        <v/>
      </c>
      <c r="E214" s="0" t="inlineStr">
        <is>
          <t>,1],[3,</t>
        </is>
      </c>
      <c r="F214" s="203">
        <f>$D$213</f>
        <v/>
      </c>
      <c r="G214" s="0" t="inlineStr">
        <is>
          <t>,2],[3,</t>
        </is>
      </c>
      <c r="H214" s="203">
        <f>$D$213</f>
        <v/>
      </c>
      <c r="I214" s="0" t="inlineStr">
        <is>
          <t>,3],[3,</t>
        </is>
      </c>
      <c r="J214" s="203">
        <f>$D$213</f>
        <v/>
      </c>
      <c r="K214" s="0" t="inlineStr">
        <is>
          <t>,4],[3,</t>
        </is>
      </c>
      <c r="L214" s="203">
        <f>$D$213</f>
        <v/>
      </c>
      <c r="M214" s="0" t="inlineStr">
        <is>
          <t>,5],</t>
        </is>
      </c>
    </row>
    <row r="215">
      <c r="A215" s="151" t="inlineStr">
        <is>
          <t xml:space="preserve">[3,5,6],[3,5,7],[3,5,8],[3,6,9],[3,5,10], </t>
        </is>
      </c>
      <c r="B215" s="0">
        <f>CONCATENATE(C214,D214,E214,F214,G214,H214,I214,J214,K214,L214,M214,N214,O214,P214,Q214,R214,S214,T214,U214,V214,W214,X214,Y214,Z214,AA214,AB214,AC214,AD214,AE214,AF214,AG214,AH214,AI214,AJ214,AK214,AL214,AM214,AN214,AO214,AP214,AQ214,AR214,AS214,AT214,AU214,AV214,AW214,AX214,AY214,AZ214,BA214,BB214,BC214,BD214,BE214,BF214,BG214,BH214)</f>
        <v/>
      </c>
      <c r="C215" s="0" t="inlineStr">
        <is>
          <t>[3,</t>
        </is>
      </c>
      <c r="D215" s="203">
        <f>$D$213</f>
        <v/>
      </c>
      <c r="E215" s="0" t="inlineStr">
        <is>
          <t>,6],[3,</t>
        </is>
      </c>
      <c r="F215" s="203">
        <f>$D$213</f>
        <v/>
      </c>
      <c r="G215" s="0" t="inlineStr">
        <is>
          <t>,7],[3,</t>
        </is>
      </c>
      <c r="H215" s="203">
        <f>$D$213</f>
        <v/>
      </c>
      <c r="I215" s="0" t="inlineStr">
        <is>
          <t>,8],[3,</t>
        </is>
      </c>
      <c r="J215" s="203">
        <f>$D$213</f>
        <v/>
      </c>
      <c r="K215" s="0" t="inlineStr">
        <is>
          <t>,9],[3,</t>
        </is>
      </c>
      <c r="L215" s="203">
        <f>$D$213</f>
        <v/>
      </c>
      <c r="M215" s="0" t="inlineStr">
        <is>
          <t>,10],</t>
        </is>
      </c>
    </row>
    <row r="216">
      <c r="A216" s="151" t="inlineStr">
        <is>
          <t xml:space="preserve">[3,5,11],[3,5,12],[3,0,13],[3,6,14],[3,5,15], </t>
        </is>
      </c>
      <c r="B216" s="0">
        <f>CONCATENATE(C215,D215,E215,F215,G215,H215,I215,J215,K215,L215,M215,N215,O215,P215,Q215,R215,S215,T215,U215,V215,W215,X215,Y215,Z215,AA215,AB215,AC215,AD215,AE215,AF215,AG215,AH215,AI215,AJ215,AK215,AL215,AM215,AN215,AO215,AP215,AQ215,AR215,AS215,AT215,AU215,AV215,AW215,AX215,AY215,AZ215,BA215,BB215,BC215,BD215,BE215,BF215,BG215,BH215)</f>
        <v/>
      </c>
      <c r="C216" s="0" t="inlineStr">
        <is>
          <t>[3,</t>
        </is>
      </c>
      <c r="D216" s="203">
        <f>$D$213</f>
        <v/>
      </c>
      <c r="E216" s="0" t="inlineStr">
        <is>
          <t>,11],[3,</t>
        </is>
      </c>
      <c r="F216" s="203">
        <f>$D$213</f>
        <v/>
      </c>
      <c r="G216" s="0" t="inlineStr">
        <is>
          <t>,12],[3,</t>
        </is>
      </c>
      <c r="H216" s="203" t="n">
        <v>0</v>
      </c>
      <c r="I216" s="0" t="inlineStr">
        <is>
          <t>,13],[3,</t>
        </is>
      </c>
      <c r="J216" s="203">
        <f>$D$213</f>
        <v/>
      </c>
      <c r="K216" s="0" t="inlineStr">
        <is>
          <t>,14],[3,</t>
        </is>
      </c>
      <c r="L216" s="203">
        <f>$D$213</f>
        <v/>
      </c>
      <c r="M216" s="0" t="inlineStr">
        <is>
          <t>,15],</t>
        </is>
      </c>
    </row>
    <row r="217">
      <c r="A217" s="151" t="inlineStr">
        <is>
          <t xml:space="preserve">[3,5,16],[3,5,17],[3,5,18],[3,6,19],[3,5,20], </t>
        </is>
      </c>
      <c r="B217" s="0">
        <f>CONCATENATE(C216,D216,E216,F216,G216,H216,I216,J216,K216,L216,M216,N216,O216,P216,Q216,R216,S216,T216,U216,V216,W216,X216,Y216,Z216,AA216,AB216,AC216,AD216,AE216,AF216,AG216,AH216,AI216,AJ216,AK216,AL216,AM216,AN216,AO216,AP216,AQ216,AR216,AS216,AT216,AU216,AV216,AW216,AX216,AY216,AZ216,BA216,BB216,BC216,BD216,BE216,BF216,BG216,BH216)</f>
        <v/>
      </c>
      <c r="C217" s="0" t="inlineStr">
        <is>
          <t>[3,</t>
        </is>
      </c>
      <c r="D217" s="203">
        <f>$D$213</f>
        <v/>
      </c>
      <c r="E217" s="0" t="inlineStr">
        <is>
          <t>,16],[3,</t>
        </is>
      </c>
      <c r="F217" s="203">
        <f>$D$213</f>
        <v/>
      </c>
      <c r="G217" s="0" t="inlineStr">
        <is>
          <t>,17],[3,</t>
        </is>
      </c>
      <c r="H217" s="203">
        <f>$D$213</f>
        <v/>
      </c>
      <c r="I217" s="0" t="inlineStr">
        <is>
          <t>,18],[3,</t>
        </is>
      </c>
      <c r="J217" s="203">
        <f>$D$213</f>
        <v/>
      </c>
      <c r="K217" s="0" t="inlineStr">
        <is>
          <t>,19],[3,</t>
        </is>
      </c>
      <c r="L217" s="203">
        <f>$D$213</f>
        <v/>
      </c>
      <c r="M217" s="0" t="inlineStr">
        <is>
          <t>,20],</t>
        </is>
      </c>
    </row>
    <row r="218">
      <c r="A218" s="151" t="inlineStr">
        <is>
          <t xml:space="preserve">[3,5,21],[3,5,22],[3,5,23],[3,6,24],[3,5,25], </t>
        </is>
      </c>
      <c r="B218" s="0">
        <f>CONCATENATE(C217,D217,E217,F217,G217,H217,I217,J217,K217,L217,M217,N217,O217,P217,Q217,R217,S217,T217,U217,V217,W217,X217,Y217,Z217,AA217,AB217,AC217,AD217,AE217,AF217,AG217,AH217,AI217,AJ217,AK217,AL217,AM217,AN217,AO217,AP217,AQ217,AR217,AS217,AT217,AU217,AV217,AW217,AX217,AY217,AZ217,BA217,BB217,BC217,BD217,BE217,BF217,BG217,BH217)</f>
        <v/>
      </c>
      <c r="C218" s="0" t="inlineStr">
        <is>
          <t>[3,</t>
        </is>
      </c>
      <c r="D218" s="203">
        <f>$D$213</f>
        <v/>
      </c>
      <c r="E218" s="0" t="inlineStr">
        <is>
          <t>,21],[3,</t>
        </is>
      </c>
      <c r="F218" s="203">
        <f>$D$213</f>
        <v/>
      </c>
      <c r="G218" s="0" t="inlineStr">
        <is>
          <t>,22],[3,</t>
        </is>
      </c>
      <c r="H218" s="203">
        <f>$D$213</f>
        <v/>
      </c>
      <c r="I218" s="0" t="inlineStr">
        <is>
          <t>,23],[3,</t>
        </is>
      </c>
      <c r="J218" s="203">
        <f>$D$213</f>
        <v/>
      </c>
      <c r="K218" s="0" t="inlineStr">
        <is>
          <t>,24],[3,</t>
        </is>
      </c>
      <c r="L218" s="203">
        <f>$D$213</f>
        <v/>
      </c>
      <c r="M218" s="0" t="inlineStr">
        <is>
          <t>,25],</t>
        </is>
      </c>
    </row>
    <row r="219">
      <c r="B219" s="0">
        <f>CONCATENATE(C218,D218,E218,F218,G218,H218,I218,J218,K218,L218,M218,N218,O218,P218,Q218,R218,S218,T218,U218,V218,W218,X218,Y218,Z218,AA218,AB218,AC218,AD218,AE218,AF218,AG218,AH218,AI218,AJ218,AK218,AL218,AM218,AN218,AO218,AP218,AQ218,AR218,AS218,AT218,AU218,AV218,AW218,AX218,AY218,AZ218,BA218,BB218,BC218,BD218,BE218,BF218,BG218,BH218)</f>
        <v/>
      </c>
    </row>
    <row r="220">
      <c r="A220" s="151" t="inlineStr">
        <is>
          <t xml:space="preserve">[4,5,1],[4,5,2],[4,5,3],[4,6,4],[4,5,5], </t>
        </is>
      </c>
      <c r="B220" s="0">
        <f>CONCATENATE(C219,D219,E219,F219,G219,H219,I219,J219,K219,L219,M219,N219,O219,P219,Q219,R219,S219,T219,U219,V219,W219,X219,Y219,Z219,AA219,AB219,AC219,AD219,AE219,AF219,AG219,AH219,AI219,AJ219,AK219,AL219,AM219,AN219,AO219,AP219,AQ219,AR219,AS219,AT219,AU219,AV219,AW219,AX219,AY219,AZ219,BA219,BB219,BC219,BD219,BE219,BF219,BG219,BH219)</f>
        <v/>
      </c>
      <c r="C220" s="0" t="inlineStr">
        <is>
          <t>[4,</t>
        </is>
      </c>
      <c r="D220" s="203">
        <f>'Control Panel'!AS79</f>
        <v/>
      </c>
      <c r="E220" s="0" t="inlineStr">
        <is>
          <t>,1],[4,</t>
        </is>
      </c>
      <c r="F220" s="203">
        <f>$D$219</f>
        <v/>
      </c>
      <c r="G220" s="0" t="inlineStr">
        <is>
          <t>,2],[4,</t>
        </is>
      </c>
      <c r="H220" s="203">
        <f>$D$219</f>
        <v/>
      </c>
      <c r="I220" s="0" t="inlineStr">
        <is>
          <t>,3],[4,</t>
        </is>
      </c>
      <c r="J220" s="203">
        <f>$D$219</f>
        <v/>
      </c>
      <c r="K220" s="0" t="inlineStr">
        <is>
          <t>,4],[4,</t>
        </is>
      </c>
      <c r="L220" s="203">
        <f>$D$219</f>
        <v/>
      </c>
      <c r="M220" s="0" t="inlineStr">
        <is>
          <t>,5],</t>
        </is>
      </c>
    </row>
    <row r="221">
      <c r="A221" s="151" t="inlineStr">
        <is>
          <t xml:space="preserve">[4,5,6],[4,5,7],[4,5,8],[4,6,9],[4,5,10], </t>
        </is>
      </c>
      <c r="B221" s="0">
        <f>CONCATENATE(C220,D220,E220,F220,G220,H220,I220,J220,K220,L220,M220,N220,O220,P220,Q220,R220,S220,T220,U220,V220,W220,X220,Y220,Z220,AA220,AB220,AC220,AD220,AE220,AF220,AG220,AH220,AI220,AJ220,AK220,AL220,AM220,AN220,AO220,AP220,AQ220,AR220,AS220,AT220,AU220,AV220,AW220,AX220,AY220,AZ220,BA220,BB220,BC220,BD220,BE220,BF220,BG220,BH220)</f>
        <v/>
      </c>
      <c r="C221" s="0" t="inlineStr">
        <is>
          <t>[4,</t>
        </is>
      </c>
      <c r="D221" s="203">
        <f>$D$219</f>
        <v/>
      </c>
      <c r="E221" s="0" t="inlineStr">
        <is>
          <t>,6],[4,</t>
        </is>
      </c>
      <c r="F221" s="203">
        <f>$D$219</f>
        <v/>
      </c>
      <c r="G221" s="0" t="inlineStr">
        <is>
          <t>,7],[4,</t>
        </is>
      </c>
      <c r="H221" s="203">
        <f>$D$219</f>
        <v/>
      </c>
      <c r="I221" s="0" t="inlineStr">
        <is>
          <t>,8],[4,</t>
        </is>
      </c>
      <c r="J221" s="203">
        <f>$D$219</f>
        <v/>
      </c>
      <c r="K221" s="0" t="inlineStr">
        <is>
          <t>,9],[4,</t>
        </is>
      </c>
      <c r="L221" s="203">
        <f>$D$219</f>
        <v/>
      </c>
      <c r="M221" s="0" t="inlineStr">
        <is>
          <t>,10],</t>
        </is>
      </c>
    </row>
    <row r="222">
      <c r="A222" s="151" t="inlineStr">
        <is>
          <t xml:space="preserve">[4,5,11],[4,5,12],[4,0,13],[4,6,14],[4,5,15], </t>
        </is>
      </c>
      <c r="B222" s="0">
        <f>CONCATENATE(C221,D221,E221,F221,G221,H221,I221,J221,K221,L221,M221,N221,O221,P221,Q221,R221,S221,T221,U221,V221,W221,X221,Y221,Z221,AA221,AB221,AC221,AD221,AE221,AF221,AG221,AH221,AI221,AJ221,AK221,AL221,AM221,AN221,AO221,AP221,AQ221,AR221,AS221,AT221,AU221,AV221,AW221,AX221,AY221,AZ221,BA221,BB221,BC221,BD221,BE221,BF221,BG221,BH221)</f>
        <v/>
      </c>
      <c r="C222" s="0" t="inlineStr">
        <is>
          <t>[4,</t>
        </is>
      </c>
      <c r="D222" s="203">
        <f>$D$219</f>
        <v/>
      </c>
      <c r="E222" s="0" t="inlineStr">
        <is>
          <t>,11],[4,</t>
        </is>
      </c>
      <c r="F222" s="203">
        <f>$D$219</f>
        <v/>
      </c>
      <c r="G222" s="0" t="inlineStr">
        <is>
          <t>,12],[4,</t>
        </is>
      </c>
      <c r="H222" s="203" t="n">
        <v>0</v>
      </c>
      <c r="I222" s="0" t="inlineStr">
        <is>
          <t>,13],[4,</t>
        </is>
      </c>
      <c r="J222" s="203">
        <f>$D$219</f>
        <v/>
      </c>
      <c r="K222" s="0" t="inlineStr">
        <is>
          <t>,14],[4,</t>
        </is>
      </c>
      <c r="L222" s="203">
        <f>$D$219</f>
        <v/>
      </c>
      <c r="M222" s="0" t="inlineStr">
        <is>
          <t>,15],</t>
        </is>
      </c>
    </row>
    <row r="223">
      <c r="A223" s="151" t="inlineStr">
        <is>
          <t xml:space="preserve">[4,5,16],[4,5,17],[4,5,18],[4,6,19],[4,5,20], </t>
        </is>
      </c>
      <c r="B223" s="0">
        <f>CONCATENATE(C222,D222,E222,F222,G222,H222,I222,J222,K222,L222,M222,N222,O222,P222,Q222,R222,S222,T222,U222,V222,W222,X222,Y222,Z222,AA222,AB222,AC222,AD222,AE222,AF222,AG222,AH222,AI222,AJ222,AK222,AL222,AM222,AN222,AO222,AP222,AQ222,AR222,AS222,AT222,AU222,AV222,AW222,AX222,AY222,AZ222,BA222,BB222,BC222,BD222,BE222,BF222,BG222,BH222)</f>
        <v/>
      </c>
      <c r="C223" s="0" t="inlineStr">
        <is>
          <t>[4,</t>
        </is>
      </c>
      <c r="D223" s="203">
        <f>$D$219</f>
        <v/>
      </c>
      <c r="E223" s="0" t="inlineStr">
        <is>
          <t>,16],[4,</t>
        </is>
      </c>
      <c r="F223" s="203">
        <f>$D$219</f>
        <v/>
      </c>
      <c r="G223" s="0" t="inlineStr">
        <is>
          <t>,17],[4,</t>
        </is>
      </c>
      <c r="H223" s="203">
        <f>$D$219</f>
        <v/>
      </c>
      <c r="I223" s="0" t="inlineStr">
        <is>
          <t>,18],[4,</t>
        </is>
      </c>
      <c r="J223" s="203">
        <f>$D$219</f>
        <v/>
      </c>
      <c r="K223" s="0" t="inlineStr">
        <is>
          <t>,19],[4,</t>
        </is>
      </c>
      <c r="L223" s="203">
        <f>$D$219</f>
        <v/>
      </c>
      <c r="M223" s="0" t="inlineStr">
        <is>
          <t>,20],</t>
        </is>
      </c>
    </row>
    <row r="224">
      <c r="A224" s="151" t="inlineStr">
        <is>
          <t xml:space="preserve">[4,5,21],[4,5,22],[4,5,23],[4,6,24],[4,5,25], </t>
        </is>
      </c>
      <c r="B224" s="0">
        <f>CONCATENATE(C223,D223,E223,F223,G223,H223,I223,J223,K223,L223,M223,N223,O223,P223,Q223,R223,S223,T223,U223,V223,W223,X223,Y223,Z223,AA223,AB223,AC223,AD223,AE223,AF223,AG223,AH223,AI223,AJ223,AK223,AL223,AM223,AN223,AO223,AP223,AQ223,AR223,AS223,AT223,AU223,AV223,AW223,AX223,AY223,AZ223,BA223,BB223,BC223,BD223,BE223,BF223,BG223,BH223)</f>
        <v/>
      </c>
      <c r="C224" s="0" t="inlineStr">
        <is>
          <t>[4,</t>
        </is>
      </c>
      <c r="D224" s="203">
        <f>$D$219</f>
        <v/>
      </c>
      <c r="E224" s="0" t="inlineStr">
        <is>
          <t>,21],[4,</t>
        </is>
      </c>
      <c r="F224" s="203">
        <f>$D$219</f>
        <v/>
      </c>
      <c r="G224" s="0" t="inlineStr">
        <is>
          <t>,22],[4,</t>
        </is>
      </c>
      <c r="H224" s="203">
        <f>$D$219</f>
        <v/>
      </c>
      <c r="I224" s="0" t="inlineStr">
        <is>
          <t>,23],[4,</t>
        </is>
      </c>
      <c r="J224" s="203">
        <f>$D$219</f>
        <v/>
      </c>
      <c r="K224" s="0" t="inlineStr">
        <is>
          <t>,24],[4,</t>
        </is>
      </c>
      <c r="L224" s="203">
        <f>$D$219</f>
        <v/>
      </c>
      <c r="M224" s="0" t="inlineStr">
        <is>
          <t>,25],</t>
        </is>
      </c>
    </row>
    <row r="225">
      <c r="B225" s="0">
        <f>CONCATENATE(C224,D224,E224,F224,G224,H224,I224,J224,K224,L224,M224,N224,O224,P224,Q224,R224,S224,T224,U224,V224,W224,X224,Y224,Z224,AA224,AB224,AC224,AD224,AE224,AF224,AG224,AH224,AI224,AJ224,AK224,AL224,AM224,AN224,AO224,AP224,AQ224,AR224,AS224,AT224,AU224,AV224,AW224,AX224,AY224,AZ224,BA224,BB224,BC224,BD224,BE224,BF224,BG224,BH224)</f>
        <v/>
      </c>
    </row>
    <row r="226">
      <c r="A226" s="151" t="inlineStr">
        <is>
          <t xml:space="preserve">[5,5,1],[5,5,2],[5,5,3],[5,6,4],[5,5,5], </t>
        </is>
      </c>
      <c r="B226" s="0">
        <f>CONCATENATE(C225,D225,E225,F225,G225,H225,I225,J225,K225,L225,M225,N225,O225,P225,Q225,R225,S225,T225,U225,V225,W225,X225,Y225,Z225,AA225,AB225,AC225,AD225,AE225,AF225,AG225,AH225,AI225,AJ225,AK225,AL225,AM225,AN225,AO225,AP225,AQ225,AR225,AS225,AT225,AU225,AV225,AW225,AX225,AY225,AZ225,BA225,BB225,BC225,BD225,BE225,BF225,BG225,BH225)</f>
        <v/>
      </c>
      <c r="C226" s="0" t="inlineStr">
        <is>
          <t>[5,</t>
        </is>
      </c>
      <c r="D226" s="203">
        <f>'Control Panel'!AA86</f>
        <v/>
      </c>
      <c r="E226" s="0" t="inlineStr">
        <is>
          <t>,1],[5,</t>
        </is>
      </c>
      <c r="F226" s="203">
        <f>$D$225</f>
        <v/>
      </c>
      <c r="G226" s="0" t="inlineStr">
        <is>
          <t>,2],[5,</t>
        </is>
      </c>
      <c r="H226" s="203">
        <f>$D$225</f>
        <v/>
      </c>
      <c r="I226" s="0" t="inlineStr">
        <is>
          <t>,3],[5,</t>
        </is>
      </c>
      <c r="J226" s="203">
        <f>$D$225</f>
        <v/>
      </c>
      <c r="K226" s="0" t="inlineStr">
        <is>
          <t>,4],[5,</t>
        </is>
      </c>
      <c r="L226" s="203">
        <f>$D$225</f>
        <v/>
      </c>
      <c r="M226" s="0" t="inlineStr">
        <is>
          <t>,5],</t>
        </is>
      </c>
    </row>
    <row r="227">
      <c r="A227" s="151" t="inlineStr">
        <is>
          <t xml:space="preserve">[5,5,6],[5,5,7],[5,5,8],[5,6,9],[5,5,10], </t>
        </is>
      </c>
      <c r="B227" s="0">
        <f>CONCATENATE(C226,D226,E226,F226,G226,H226,I226,J226,K226,L226,M226,N226,O226,P226,Q226,R226,S226,T226,U226,V226,W226,X226,Y226,Z226,AA226,AB226,AC226,AD226,AE226,AF226,AG226,AH226,AI226,AJ226,AK226,AL226,AM226,AN226,AO226,AP226,AQ226,AR226,AS226,AT226,AU226,AV226,AW226,AX226,AY226,AZ226,BA226,BB226,BC226,BD226,BE226,BF226,BG226,BH226)</f>
        <v/>
      </c>
      <c r="C227" s="0" t="inlineStr">
        <is>
          <t>[5,</t>
        </is>
      </c>
      <c r="D227" s="203">
        <f>$D$225</f>
        <v/>
      </c>
      <c r="E227" s="0" t="inlineStr">
        <is>
          <t>,6],[5,</t>
        </is>
      </c>
      <c r="F227" s="203">
        <f>$D$225</f>
        <v/>
      </c>
      <c r="G227" s="0" t="inlineStr">
        <is>
          <t>,7],[5,</t>
        </is>
      </c>
      <c r="H227" s="203">
        <f>$D$225</f>
        <v/>
      </c>
      <c r="I227" s="0" t="inlineStr">
        <is>
          <t>,8],[5,</t>
        </is>
      </c>
      <c r="J227" s="203">
        <f>$D$225</f>
        <v/>
      </c>
      <c r="K227" s="0" t="inlineStr">
        <is>
          <t>,9],[5,</t>
        </is>
      </c>
      <c r="L227" s="203">
        <f>$D$225</f>
        <v/>
      </c>
      <c r="M227" s="0" t="inlineStr">
        <is>
          <t>,10],</t>
        </is>
      </c>
    </row>
    <row r="228">
      <c r="A228" s="151" t="inlineStr">
        <is>
          <t xml:space="preserve">[5,5,11],[5,5,12],[5,0,13],[5,6,14],[5,5,15], </t>
        </is>
      </c>
      <c r="B228" s="0">
        <f>CONCATENATE(C227,D227,E227,F227,G227,H227,I227,J227,K227,L227,M227,N227,O227,P227,Q227,R227,S227,T227,U227,V227,W227,X227,Y227,Z227,AA227,AB227,AC227,AD227,AE227,AF227,AG227,AH227,AI227,AJ227,AK227,AL227,AM227,AN227,AO227,AP227,AQ227,AR227,AS227,AT227,AU227,AV227,AW227,AX227,AY227,AZ227,BA227,BB227,BC227,BD227,BE227,BF227,BG227,BH227)</f>
        <v/>
      </c>
      <c r="C228" s="0" t="inlineStr">
        <is>
          <t>[5,</t>
        </is>
      </c>
      <c r="D228" s="203">
        <f>$D$225</f>
        <v/>
      </c>
      <c r="E228" s="0" t="inlineStr">
        <is>
          <t>,11],[5,</t>
        </is>
      </c>
      <c r="F228" s="203">
        <f>$D$225</f>
        <v/>
      </c>
      <c r="G228" s="0" t="inlineStr">
        <is>
          <t>,12],[5,</t>
        </is>
      </c>
      <c r="H228" s="203" t="n">
        <v>0</v>
      </c>
      <c r="I228" s="0" t="inlineStr">
        <is>
          <t>,13],[5,</t>
        </is>
      </c>
      <c r="J228" s="203">
        <f>$D$225</f>
        <v/>
      </c>
      <c r="K228" s="0" t="inlineStr">
        <is>
          <t>,14],[5,</t>
        </is>
      </c>
      <c r="L228" s="203">
        <f>$D$225</f>
        <v/>
      </c>
      <c r="M228" s="0" t="inlineStr">
        <is>
          <t>,15],</t>
        </is>
      </c>
    </row>
    <row r="229">
      <c r="A229" s="151" t="inlineStr">
        <is>
          <t xml:space="preserve">[5,5,16],[5,5,17],[5,5,18],[5,6,19],[5,5,20], </t>
        </is>
      </c>
      <c r="B229" s="0">
        <f>CONCATENATE(C228,D228,E228,F228,G228,H228,I228,J228,K228,L228,M228,N228,O228,P228,Q228,R228,S228,T228,U228,V228,W228,X228,Y228,Z228,AA228,AB228,AC228,AD228,AE228,AF228,AG228,AH228,AI228,AJ228,AK228,AL228,AM228,AN228,AO228,AP228,AQ228,AR228,AS228,AT228,AU228,AV228,AW228,AX228,AY228,AZ228,BA228,BB228,BC228,BD228,BE228,BF228,BG228,BH228)</f>
        <v/>
      </c>
      <c r="C229" s="0" t="inlineStr">
        <is>
          <t>[5,</t>
        </is>
      </c>
      <c r="D229" s="203">
        <f>$D$225</f>
        <v/>
      </c>
      <c r="E229" s="0" t="inlineStr">
        <is>
          <t>,16],[5,</t>
        </is>
      </c>
      <c r="F229" s="203">
        <f>$D$225</f>
        <v/>
      </c>
      <c r="G229" s="0" t="inlineStr">
        <is>
          <t>,17],[5,</t>
        </is>
      </c>
      <c r="H229" s="203">
        <f>$D$225</f>
        <v/>
      </c>
      <c r="I229" s="0" t="inlineStr">
        <is>
          <t>,18],[5,</t>
        </is>
      </c>
      <c r="J229" s="203">
        <f>$D$225</f>
        <v/>
      </c>
      <c r="K229" s="0" t="inlineStr">
        <is>
          <t>,19],[5,</t>
        </is>
      </c>
      <c r="L229" s="203">
        <f>$D$225</f>
        <v/>
      </c>
      <c r="M229" s="0" t="inlineStr">
        <is>
          <t>,20],</t>
        </is>
      </c>
    </row>
    <row r="230">
      <c r="A230" s="151" t="inlineStr">
        <is>
          <t xml:space="preserve">[5,5,21],[5,5,22],[5,5,23],[5,6,24],[5,5,25], </t>
        </is>
      </c>
      <c r="B230" s="0">
        <f>CONCATENATE(C229,D229,E229,F229,G229,H229,I229,J229,K229,L229,M229,N229,O229,P229,Q229,R229,S229,T229,U229,V229,W229,X229,Y229,Z229,AA229,AB229,AC229,AD229,AE229,AF229,AG229,AH229,AI229,AJ229,AK229,AL229,AM229,AN229,AO229,AP229,AQ229,AR229,AS229,AT229,AU229,AV229,AW229,AX229,AY229,AZ229,BA229,BB229,BC229,BD229,BE229,BF229,BG229,BH229)</f>
        <v/>
      </c>
      <c r="C230" s="0" t="inlineStr">
        <is>
          <t>[5,</t>
        </is>
      </c>
      <c r="D230" s="203">
        <f>$D$225</f>
        <v/>
      </c>
      <c r="E230" s="0" t="inlineStr">
        <is>
          <t>,21],[5,</t>
        </is>
      </c>
      <c r="F230" s="203">
        <f>$D$225</f>
        <v/>
      </c>
      <c r="G230" s="0" t="inlineStr">
        <is>
          <t>,22],[5,</t>
        </is>
      </c>
      <c r="H230" s="203">
        <f>$D$225</f>
        <v/>
      </c>
      <c r="I230" s="0" t="inlineStr">
        <is>
          <t>,23],[5,</t>
        </is>
      </c>
      <c r="J230" s="203">
        <f>$D$225</f>
        <v/>
      </c>
      <c r="K230" s="0" t="inlineStr">
        <is>
          <t>,24],[5,</t>
        </is>
      </c>
      <c r="L230" s="203">
        <f>$D$225</f>
        <v/>
      </c>
      <c r="M230" s="0" t="inlineStr">
        <is>
          <t>,25],</t>
        </is>
      </c>
    </row>
    <row r="231">
      <c r="B231" s="0">
        <f>CONCATENATE(C230,D230,E230,F230,G230,H230,I230,J230,K230,L230,M230,N230,O230,P230,Q230,R230,S230,T230,U230,V230,W230,X230,Y230,Z230,AA230,AB230,AC230,AD230,AE230,AF230,AG230,AH230,AI230,AJ230,AK230,AL230,AM230,AN230,AO230,AP230,AQ230,AR230,AS230,AT230,AU230,AV230,AW230,AX230,AY230,AZ230,BA230,BB230,BC230,BD230,BE230,BF230,BG230,BH230)</f>
        <v/>
      </c>
    </row>
    <row r="232">
      <c r="A232" s="151" t="inlineStr">
        <is>
          <t xml:space="preserve">[6,5,1],[6,5,2],[6,5,3],[6,6,4],[6,5,5], </t>
        </is>
      </c>
      <c r="B232" s="0">
        <f>CONCATENATE(C231,D231,E231,F231,G231,H231,I231,J231,K231,L231,M231,N231,O231,P231,Q231,R231,S231,T231,U231,V231,W231,X231,Y231,Z231,AA231,AB231,AC231,AD231,AE231,AF231,AG231,AH231,AI231,AJ231,AK231,AL231,AM231,AN231,AO231,AP231,AQ231,AR231,AS231,AT231,AU231,AV231,AW231,AX231,AY231,AZ231,BA231,BB231,BC231,BD231,BE231,BF231,BG231,BH231)</f>
        <v/>
      </c>
      <c r="C232" s="0" t="inlineStr">
        <is>
          <t>[6,</t>
        </is>
      </c>
      <c r="D232" s="203">
        <f>'Control Panel'!AG86</f>
        <v/>
      </c>
      <c r="E232" s="0" t="inlineStr">
        <is>
          <t>,1],[6,</t>
        </is>
      </c>
      <c r="F232" s="203">
        <f>$D$231</f>
        <v/>
      </c>
      <c r="G232" s="0" t="inlineStr">
        <is>
          <t>,2],[6,</t>
        </is>
      </c>
      <c r="H232" s="203">
        <f>$D$231</f>
        <v/>
      </c>
      <c r="I232" s="0" t="inlineStr">
        <is>
          <t>,3],[6,</t>
        </is>
      </c>
      <c r="J232" s="203">
        <f>$D$231</f>
        <v/>
      </c>
      <c r="K232" s="0" t="inlineStr">
        <is>
          <t>,4],[6,</t>
        </is>
      </c>
      <c r="L232" s="203">
        <f>$D$231</f>
        <v/>
      </c>
      <c r="M232" s="0" t="inlineStr">
        <is>
          <t>,5],</t>
        </is>
      </c>
    </row>
    <row r="233">
      <c r="A233" s="151" t="inlineStr">
        <is>
          <t xml:space="preserve">[6,5,6],[6,5,7],[6,5,8],[6,6,9],[6,5,10], </t>
        </is>
      </c>
      <c r="B233" s="0">
        <f>CONCATENATE(C232,D232,E232,F232,G232,H232,I232,J232,K232,L232,M232,N232,O232,P232,Q232,R232,S232,T232,U232,V232,W232,X232,Y232,Z232,AA232,AB232,AC232,AD232,AE232,AF232,AG232,AH232,AI232,AJ232,AK232,AL232,AM232,AN232,AO232,AP232,AQ232,AR232,AS232,AT232,AU232,AV232,AW232,AX232,AY232,AZ232,BA232,BB232,BC232,BD232,BE232,BF232,BG232,BH232)</f>
        <v/>
      </c>
      <c r="C233" s="0" t="inlineStr">
        <is>
          <t>[6,</t>
        </is>
      </c>
      <c r="D233" s="203">
        <f>$D$231</f>
        <v/>
      </c>
      <c r="E233" s="0" t="inlineStr">
        <is>
          <t>,6],[6,</t>
        </is>
      </c>
      <c r="F233" s="203">
        <f>$D$231</f>
        <v/>
      </c>
      <c r="G233" s="0" t="inlineStr">
        <is>
          <t>,7],[6,</t>
        </is>
      </c>
      <c r="H233" s="203">
        <f>$D$231</f>
        <v/>
      </c>
      <c r="I233" s="0" t="inlineStr">
        <is>
          <t>,8],[6,</t>
        </is>
      </c>
      <c r="J233" s="203">
        <f>$D$231</f>
        <v/>
      </c>
      <c r="K233" s="0" t="inlineStr">
        <is>
          <t>,9],[6,</t>
        </is>
      </c>
      <c r="L233" s="203">
        <f>$D$231</f>
        <v/>
      </c>
      <c r="M233" s="0" t="inlineStr">
        <is>
          <t>,10],</t>
        </is>
      </c>
    </row>
    <row r="234">
      <c r="A234" s="151" t="inlineStr">
        <is>
          <t xml:space="preserve">[6,5,11],[6,5,12],[6,0,13],[6,6,14],[6,5,15], </t>
        </is>
      </c>
      <c r="B234" s="0">
        <f>CONCATENATE(C233,D233,E233,F233,G233,H233,I233,J233,K233,L233,M233,N233,O233,P233,Q233,R233,S233,T233,U233,V233,W233,X233,Y233,Z233,AA233,AB233,AC233,AD233,AE233,AF233,AG233,AH233,AI233,AJ233,AK233,AL233,AM233,AN233,AO233,AP233,AQ233,AR233,AS233,AT233,AU233,AV233,AW233,AX233,AY233,AZ233,BA233,BB233,BC233,BD233,BE233,BF233,BG233,BH233)</f>
        <v/>
      </c>
      <c r="C234" s="0" t="inlineStr">
        <is>
          <t>[6,</t>
        </is>
      </c>
      <c r="D234" s="203">
        <f>$D$231</f>
        <v/>
      </c>
      <c r="E234" s="0" t="inlineStr">
        <is>
          <t>,11],[6,</t>
        </is>
      </c>
      <c r="F234" s="203">
        <f>$D$231</f>
        <v/>
      </c>
      <c r="G234" s="0" t="inlineStr">
        <is>
          <t>,12],[6,</t>
        </is>
      </c>
      <c r="H234" s="203" t="n">
        <v>0</v>
      </c>
      <c r="I234" s="0" t="inlineStr">
        <is>
          <t>,13],[6,</t>
        </is>
      </c>
      <c r="J234" s="203">
        <f>$D$231</f>
        <v/>
      </c>
      <c r="K234" s="0" t="inlineStr">
        <is>
          <t>,14],[6,</t>
        </is>
      </c>
      <c r="L234" s="203">
        <f>$D$231</f>
        <v/>
      </c>
      <c r="M234" s="0" t="inlineStr">
        <is>
          <t>,15],</t>
        </is>
      </c>
    </row>
    <row r="235">
      <c r="A235" s="151" t="inlineStr">
        <is>
          <t xml:space="preserve">[6,5,16],[6,5,17],[6,5,18],[6,6,19],[6,5,20], </t>
        </is>
      </c>
      <c r="B235" s="0">
        <f>CONCATENATE(C234,D234,E234,F234,G234,H234,I234,J234,K234,L234,M234,N234,O234,P234,Q234,R234,S234,T234,U234,V234,W234,X234,Y234,Z234,AA234,AB234,AC234,AD234,AE234,AF234,AG234,AH234,AI234,AJ234,AK234,AL234,AM234,AN234,AO234,AP234,AQ234,AR234,AS234,AT234,AU234,AV234,AW234,AX234,AY234,AZ234,BA234,BB234,BC234,BD234,BE234,BF234,BG234,BH234)</f>
        <v/>
      </c>
      <c r="C235" s="0" t="inlineStr">
        <is>
          <t>[6,</t>
        </is>
      </c>
      <c r="D235" s="203">
        <f>$D$231</f>
        <v/>
      </c>
      <c r="E235" s="0" t="inlineStr">
        <is>
          <t>,16],[6,</t>
        </is>
      </c>
      <c r="F235" s="203">
        <f>$D$231</f>
        <v/>
      </c>
      <c r="G235" s="0" t="inlineStr">
        <is>
          <t>,17],[6,</t>
        </is>
      </c>
      <c r="H235" s="203">
        <f>$D$231</f>
        <v/>
      </c>
      <c r="I235" s="0" t="inlineStr">
        <is>
          <t>,18],[6,</t>
        </is>
      </c>
      <c r="J235" s="203">
        <f>$D$231</f>
        <v/>
      </c>
      <c r="K235" s="0" t="inlineStr">
        <is>
          <t>,19],[6,</t>
        </is>
      </c>
      <c r="L235" s="203">
        <f>$D$231</f>
        <v/>
      </c>
      <c r="M235" s="0" t="inlineStr">
        <is>
          <t>,20],</t>
        </is>
      </c>
    </row>
    <row r="236">
      <c r="A236" s="151" t="inlineStr">
        <is>
          <t xml:space="preserve">[6,5,21],[6,5,22],[6,5,23],[6,6,24],[6,5,25], </t>
        </is>
      </c>
      <c r="B236" s="0">
        <f>CONCATENATE(C235,D235,E235,F235,G235,H235,I235,J235,K235,L235,M235,N235,O235,P235,Q235,R235,S235,T235,U235,V235,W235,X235,Y235,Z235,AA235,AB235,AC235,AD235,AE235,AF235,AG235,AH235,AI235,AJ235,AK235,AL235,AM235,AN235,AO235,AP235,AQ235,AR235,AS235,AT235,AU235,AV235,AW235,AX235,AY235,AZ235,BA235,BB235,BC235,BD235,BE235,BF235,BG235,BH235)</f>
        <v/>
      </c>
      <c r="C236" s="0" t="inlineStr">
        <is>
          <t>[6,</t>
        </is>
      </c>
      <c r="D236" s="203">
        <f>$D$231</f>
        <v/>
      </c>
      <c r="E236" s="0" t="inlineStr">
        <is>
          <t>,21],[6,</t>
        </is>
      </c>
      <c r="F236" s="203">
        <f>$D$231</f>
        <v/>
      </c>
      <c r="G236" s="0" t="inlineStr">
        <is>
          <t>,22],[6,</t>
        </is>
      </c>
      <c r="H236" s="203">
        <f>$D$231</f>
        <v/>
      </c>
      <c r="I236" s="0" t="inlineStr">
        <is>
          <t>,23],[6,</t>
        </is>
      </c>
      <c r="J236" s="203">
        <f>$D$231</f>
        <v/>
      </c>
      <c r="K236" s="0" t="inlineStr">
        <is>
          <t>,24],[6,</t>
        </is>
      </c>
      <c r="L236" s="203">
        <f>$D$231</f>
        <v/>
      </c>
      <c r="M236" s="0" t="inlineStr">
        <is>
          <t>,25],</t>
        </is>
      </c>
    </row>
    <row r="237">
      <c r="B237" s="0">
        <f>CONCATENATE(C236,D236,E236,F236,G236,H236,I236,J236,K236,L236,M236,N236,O236,P236,Q236,R236,S236,T236,U236,V236,W236,X236,Y236,Z236,AA236,AB236,AC236,AD236,AE236,AF236,AG236,AH236,AI236,AJ236,AK236,AL236,AM236,AN236,AO236,AP236,AQ236,AR236,AS236,AT236,AU236,AV236,AW236,AX236,AY236,AZ236,BA236,BB236,BC236,BD236,BE236,BF236,BG236,BH236)</f>
        <v/>
      </c>
    </row>
    <row r="238">
      <c r="A238" s="151" t="inlineStr">
        <is>
          <t xml:space="preserve">[7,5,1],[7,5,2],[7,5,3],[7,6,4],[7,5,5], </t>
        </is>
      </c>
      <c r="B238" s="0">
        <f>CONCATENATE(C237,D237,E237,F237,G237,H237,I237,J237,K237,L237,M237,N237,O237,P237,Q237,R237,S237,T237,U237,V237,W237,X237,Y237,Z237,AA237,AB237,AC237,AD237,AE237,AF237,AG237,AH237,AI237,AJ237,AK237,AL237,AM237,AN237,AO237,AP237,AQ237,AR237,AS237,AT237,AU237,AV237,AW237,AX237,AY237,AZ237,BA237,BB237,BC237,BD237,BE237,BF237,BG237,BH237)</f>
        <v/>
      </c>
      <c r="C238" s="0" t="inlineStr">
        <is>
          <t>[7,</t>
        </is>
      </c>
      <c r="D238" s="203">
        <f>'Control Panel'!AM86</f>
        <v/>
      </c>
      <c r="E238" s="0" t="inlineStr">
        <is>
          <t>,1],[7,</t>
        </is>
      </c>
      <c r="F238" s="203">
        <f>$D$237</f>
        <v/>
      </c>
      <c r="G238" s="0" t="inlineStr">
        <is>
          <t>,2],[7,</t>
        </is>
      </c>
      <c r="H238" s="203">
        <f>$D$237</f>
        <v/>
      </c>
      <c r="I238" s="0" t="inlineStr">
        <is>
          <t>,3],[7,</t>
        </is>
      </c>
      <c r="J238" s="203">
        <f>$D$237</f>
        <v/>
      </c>
      <c r="K238" s="0" t="inlineStr">
        <is>
          <t>,4],[7,</t>
        </is>
      </c>
      <c r="L238" s="203">
        <f>$D$237</f>
        <v/>
      </c>
      <c r="M238" s="0" t="inlineStr">
        <is>
          <t>,5],</t>
        </is>
      </c>
    </row>
    <row r="239">
      <c r="A239" s="151" t="inlineStr">
        <is>
          <t xml:space="preserve">[7,5,6],[7,5,7],[7,5,8],[7,6,9],[7,5,10], </t>
        </is>
      </c>
      <c r="B239" s="0">
        <f>CONCATENATE(C238,D238,E238,F238,G238,H238,I238,J238,K238,L238,M238,N238,O238,P238,Q238,R238,S238,T238,U238,V238,W238,X238,Y238,Z238,AA238,AB238,AC238,AD238,AE238,AF238,AG238,AH238,AI238,AJ238,AK238,AL238,AM238,AN238,AO238,AP238,AQ238,AR238,AS238,AT238,AU238,AV238,AW238,AX238,AY238,AZ238,BA238,BB238,BC238,BD238,BE238,BF238,BG238,BH238)</f>
        <v/>
      </c>
      <c r="C239" s="0" t="inlineStr">
        <is>
          <t>[7,</t>
        </is>
      </c>
      <c r="D239" s="203">
        <f>$D$237</f>
        <v/>
      </c>
      <c r="E239" s="0" t="inlineStr">
        <is>
          <t>,6],[7,</t>
        </is>
      </c>
      <c r="F239" s="203">
        <f>$D$237</f>
        <v/>
      </c>
      <c r="G239" s="0" t="inlineStr">
        <is>
          <t>,7],[7,</t>
        </is>
      </c>
      <c r="H239" s="203">
        <f>$D$237</f>
        <v/>
      </c>
      <c r="I239" s="0" t="inlineStr">
        <is>
          <t>,8],[7,</t>
        </is>
      </c>
      <c r="J239" s="203">
        <f>$D$237</f>
        <v/>
      </c>
      <c r="K239" s="0" t="inlineStr">
        <is>
          <t>,9],[7,</t>
        </is>
      </c>
      <c r="L239" s="203">
        <f>$D$237</f>
        <v/>
      </c>
      <c r="M239" s="0" t="inlineStr">
        <is>
          <t>,10],</t>
        </is>
      </c>
    </row>
    <row r="240">
      <c r="A240" s="151" t="inlineStr">
        <is>
          <t xml:space="preserve">[7,5,11],[7,5,12],[7,0,13],[7,6,14],[7,5,15], </t>
        </is>
      </c>
      <c r="B240" s="0">
        <f>CONCATENATE(C239,D239,E239,F239,G239,H239,I239,J239,K239,L239,M239,N239,O239,P239,Q239,R239,S239,T239,U239,V239,W239,X239,Y239,Z239,AA239,AB239,AC239,AD239,AE239,AF239,AG239,AH239,AI239,AJ239,AK239,AL239,AM239,AN239,AO239,AP239,AQ239,AR239,AS239,AT239,AU239,AV239,AW239,AX239,AY239,AZ239,BA239,BB239,BC239,BD239,BE239,BF239,BG239,BH239)</f>
        <v/>
      </c>
      <c r="C240" s="0" t="inlineStr">
        <is>
          <t>[7,</t>
        </is>
      </c>
      <c r="D240" s="203">
        <f>$D$237</f>
        <v/>
      </c>
      <c r="E240" s="0" t="inlineStr">
        <is>
          <t>,11],[7,</t>
        </is>
      </c>
      <c r="F240" s="203">
        <f>$D$237</f>
        <v/>
      </c>
      <c r="G240" s="0" t="inlineStr">
        <is>
          <t>,12],[7,</t>
        </is>
      </c>
      <c r="H240" s="203" t="n">
        <v>0</v>
      </c>
      <c r="I240" s="0" t="inlineStr">
        <is>
          <t>,13],[7,</t>
        </is>
      </c>
      <c r="J240" s="203">
        <f>$D$237</f>
        <v/>
      </c>
      <c r="K240" s="0" t="inlineStr">
        <is>
          <t>,14],[7,</t>
        </is>
      </c>
      <c r="L240" s="203">
        <f>$D$237</f>
        <v/>
      </c>
      <c r="M240" s="0" t="inlineStr">
        <is>
          <t>,15],</t>
        </is>
      </c>
    </row>
    <row r="241">
      <c r="A241" s="151" t="inlineStr">
        <is>
          <t xml:space="preserve">[7,5,16],[7,5,17],[7,5,18],[7,6,19],[7,5,20], </t>
        </is>
      </c>
      <c r="B241" s="0">
        <f>CONCATENATE(C240,D240,E240,F240,G240,H240,I240,J240,K240,L240,M240,N240,O240,P240,Q240,R240,S240,T240,U240,V240,W240,X240,Y240,Z240,AA240,AB240,AC240,AD240,AE240,AF240,AG240,AH240,AI240,AJ240,AK240,AL240,AM240,AN240,AO240,AP240,AQ240,AR240,AS240,AT240,AU240,AV240,AW240,AX240,AY240,AZ240,BA240,BB240,BC240,BD240,BE240,BF240,BG240,BH240)</f>
        <v/>
      </c>
      <c r="C241" s="0" t="inlineStr">
        <is>
          <t>[7,</t>
        </is>
      </c>
      <c r="D241" s="203">
        <f>$D$237</f>
        <v/>
      </c>
      <c r="E241" s="0" t="inlineStr">
        <is>
          <t>,16],[7,</t>
        </is>
      </c>
      <c r="F241" s="203">
        <f>$D$237</f>
        <v/>
      </c>
      <c r="G241" s="0" t="inlineStr">
        <is>
          <t>,17],[7,</t>
        </is>
      </c>
      <c r="H241" s="203">
        <f>$D$237</f>
        <v/>
      </c>
      <c r="I241" s="0" t="inlineStr">
        <is>
          <t>,18],[7,</t>
        </is>
      </c>
      <c r="J241" s="203">
        <f>$D$237</f>
        <v/>
      </c>
      <c r="K241" s="0" t="inlineStr">
        <is>
          <t>,19],[7,</t>
        </is>
      </c>
      <c r="L241" s="203">
        <f>$D$237</f>
        <v/>
      </c>
      <c r="M241" s="0" t="inlineStr">
        <is>
          <t>,20],</t>
        </is>
      </c>
    </row>
    <row r="242">
      <c r="A242" s="151" t="inlineStr">
        <is>
          <t xml:space="preserve">[7,5,21],[7,5,22],[7,5,23],[7,6,24],[7,5,25], </t>
        </is>
      </c>
      <c r="B242" s="0">
        <f>CONCATENATE(C241,D241,E241,F241,G241,H241,I241,J241,K241,L241,M241,N241,O241,P241,Q241,R241,S241,T241,U241,V241,W241,X241,Y241,Z241,AA241,AB241,AC241,AD241,AE241,AF241,AG241,AH241,AI241,AJ241,AK241,AL241,AM241,AN241,AO241,AP241,AQ241,AR241,AS241,AT241,AU241,AV241,AW241,AX241,AY241,AZ241,BA241,BB241,BC241,BD241,BE241,BF241,BG241,BH241)</f>
        <v/>
      </c>
      <c r="C242" s="0" t="inlineStr">
        <is>
          <t>[7,</t>
        </is>
      </c>
      <c r="D242" s="203">
        <f>$D$237</f>
        <v/>
      </c>
      <c r="E242" s="0" t="inlineStr">
        <is>
          <t>,21],[7,</t>
        </is>
      </c>
      <c r="F242" s="203">
        <f>$D$237</f>
        <v/>
      </c>
      <c r="G242" s="0" t="inlineStr">
        <is>
          <t>,22],[7,</t>
        </is>
      </c>
      <c r="H242" s="203">
        <f>$D$237</f>
        <v/>
      </c>
      <c r="I242" s="0" t="inlineStr">
        <is>
          <t>,23],[7,</t>
        </is>
      </c>
      <c r="J242" s="203">
        <f>$D$237</f>
        <v/>
      </c>
      <c r="K242" s="0" t="inlineStr">
        <is>
          <t>,24],[7,</t>
        </is>
      </c>
      <c r="L242" s="203">
        <f>$D$237</f>
        <v/>
      </c>
      <c r="M242" s="0" t="inlineStr">
        <is>
          <t>,25],</t>
        </is>
      </c>
    </row>
    <row r="243">
      <c r="B243" s="0">
        <f>CONCATENATE(C242,D242,E242,F242,G242,H242,I242,J242,K242,L242,M242,N242,O242,P242,Q242,R242,S242,T242,U242,V242,W242,X242,Y242,Z242,AA242,AB242,AC242,AD242,AE242,AF242,AG242,AH242,AI242,AJ242,AK242,AL242,AM242,AN242,AO242,AP242,AQ242,AR242,AS242,AT242,AU242,AV242,AW242,AX242,AY242,AZ242,BA242,BB242,BC242,BD242,BE242,BF242,BG242,BH242)</f>
        <v/>
      </c>
    </row>
    <row r="244">
      <c r="A244" s="151" t="inlineStr">
        <is>
          <t xml:space="preserve">[8,5,1],[8,5,2],[8,5,3],[8,6,4],[8,5,5], </t>
        </is>
      </c>
      <c r="B244" s="0">
        <f>CONCATENATE(C243,D243,E243,F243,G243,H243,I243,J243,K243,L243,M243,N243,O243,P243,Q243,R243,S243,T243,U243,V243,W243,X243,Y243,Z243,AA243,AB243,AC243,AD243,AE243,AF243,AG243,AH243,AI243,AJ243,AK243,AL243,AM243,AN243,AO243,AP243,AQ243,AR243,AS243,AT243,AU243,AV243,AW243,AX243,AY243,AZ243,BA243,BB243,BC243,BD243,BE243,BF243,BG243,BH243)</f>
        <v/>
      </c>
      <c r="C244" s="0" t="inlineStr">
        <is>
          <t>[8,</t>
        </is>
      </c>
      <c r="D244" s="203">
        <f>'Control Panel'!AS86</f>
        <v/>
      </c>
      <c r="E244" s="0" t="inlineStr">
        <is>
          <t>,1],[8,</t>
        </is>
      </c>
      <c r="F244" s="203">
        <f>$D$243</f>
        <v/>
      </c>
      <c r="G244" s="0" t="inlineStr">
        <is>
          <t>,2],[8,</t>
        </is>
      </c>
      <c r="H244" s="203">
        <f>$D$243</f>
        <v/>
      </c>
      <c r="I244" s="0" t="inlineStr">
        <is>
          <t>,3],[8,</t>
        </is>
      </c>
      <c r="J244" s="203">
        <f>$D$243</f>
        <v/>
      </c>
      <c r="K244" s="0" t="inlineStr">
        <is>
          <t>,4],[8,</t>
        </is>
      </c>
      <c r="L244" s="203">
        <f>$D$243</f>
        <v/>
      </c>
      <c r="M244" s="0" t="inlineStr">
        <is>
          <t>,5],</t>
        </is>
      </c>
    </row>
    <row r="245">
      <c r="A245" s="151" t="inlineStr">
        <is>
          <t xml:space="preserve">[8,5,6],[8,5,7],[8,5,8],[8,6,9],[8,5,10], </t>
        </is>
      </c>
      <c r="B245" s="0">
        <f>CONCATENATE(C244,D244,E244,F244,G244,H244,I244,J244,K244,L244,M244,N244,O244,P244,Q244,R244,S244,T244,U244,V244,W244,X244,Y244,Z244,AA244,AB244,AC244,AD244,AE244,AF244,AG244,AH244,AI244,AJ244,AK244,AL244,AM244,AN244,AO244,AP244,AQ244,AR244,AS244,AT244,AU244,AV244,AW244,AX244,AY244,AZ244,BA244,BB244,BC244,BD244,BE244,BF244,BG244,BH244)</f>
        <v/>
      </c>
      <c r="C245" s="0" t="inlineStr">
        <is>
          <t>[8,</t>
        </is>
      </c>
      <c r="D245" s="203">
        <f>$D$243</f>
        <v/>
      </c>
      <c r="E245" s="0" t="inlineStr">
        <is>
          <t>,6],[8,</t>
        </is>
      </c>
      <c r="F245" s="203">
        <f>$D$243</f>
        <v/>
      </c>
      <c r="G245" s="0" t="inlineStr">
        <is>
          <t>,7],[8,</t>
        </is>
      </c>
      <c r="H245" s="203">
        <f>$D$243</f>
        <v/>
      </c>
      <c r="I245" s="0" t="inlineStr">
        <is>
          <t>,8],[8,</t>
        </is>
      </c>
      <c r="J245" s="203">
        <f>$D$243</f>
        <v/>
      </c>
      <c r="K245" s="0" t="inlineStr">
        <is>
          <t>,9],[8,</t>
        </is>
      </c>
      <c r="L245" s="203">
        <f>$D$243</f>
        <v/>
      </c>
      <c r="M245" s="0" t="inlineStr">
        <is>
          <t>,10],</t>
        </is>
      </c>
    </row>
    <row r="246">
      <c r="A246" s="151" t="inlineStr">
        <is>
          <t xml:space="preserve">[8,5,11],[8,5,12],[8,0,13],[8,6,14],[8,5,15], </t>
        </is>
      </c>
      <c r="B246" s="0">
        <f>CONCATENATE(C245,D245,E245,F245,G245,H245,I245,J245,K245,L245,M245,N245,O245,P245,Q245,R245,S245,T245,U245,V245,W245,X245,Y245,Z245,AA245,AB245,AC245,AD245,AE245,AF245,AG245,AH245,AI245,AJ245,AK245,AL245,AM245,AN245,AO245,AP245,AQ245,AR245,AS245,AT245,AU245,AV245,AW245,AX245,AY245,AZ245,BA245,BB245,BC245,BD245,BE245,BF245,BG245,BH245)</f>
        <v/>
      </c>
      <c r="C246" s="0" t="inlineStr">
        <is>
          <t>[8,</t>
        </is>
      </c>
      <c r="D246" s="203">
        <f>$D$243</f>
        <v/>
      </c>
      <c r="E246" s="0" t="inlineStr">
        <is>
          <t>,11],[8,</t>
        </is>
      </c>
      <c r="F246" s="203">
        <f>$D$243</f>
        <v/>
      </c>
      <c r="G246" s="0" t="inlineStr">
        <is>
          <t>,12],[8,</t>
        </is>
      </c>
      <c r="H246" s="203" t="n">
        <v>0</v>
      </c>
      <c r="I246" s="0" t="inlineStr">
        <is>
          <t>,13],[8,</t>
        </is>
      </c>
      <c r="J246" s="203">
        <f>$D$243</f>
        <v/>
      </c>
      <c r="K246" s="0" t="inlineStr">
        <is>
          <t>,14],[8,</t>
        </is>
      </c>
      <c r="L246" s="203">
        <f>$D$243</f>
        <v/>
      </c>
      <c r="M246" s="0" t="inlineStr">
        <is>
          <t>,15],</t>
        </is>
      </c>
    </row>
    <row r="247">
      <c r="A247" s="151" t="inlineStr">
        <is>
          <t xml:space="preserve">[8,5,16],[8,5,17],[8,5,18],[8,6,19],[8,5,20], </t>
        </is>
      </c>
      <c r="B247" s="0">
        <f>CONCATENATE(C246,D246,E246,F246,G246,H246,I246,J246,K246,L246,M246,N246,O246,P246,Q246,R246,S246,T246,U246,V246,W246,X246,Y246,Z246,AA246,AB246,AC246,AD246,AE246,AF246,AG246,AH246,AI246,AJ246,AK246,AL246,AM246,AN246,AO246,AP246,AQ246,AR246,AS246,AT246,AU246,AV246,AW246,AX246,AY246,AZ246,BA246,BB246,BC246,BD246,BE246,BF246,BG246,BH246)</f>
        <v/>
      </c>
      <c r="C247" s="0" t="inlineStr">
        <is>
          <t>[8,</t>
        </is>
      </c>
      <c r="D247" s="203">
        <f>$D$243</f>
        <v/>
      </c>
      <c r="E247" s="0" t="inlineStr">
        <is>
          <t>,16],[8,</t>
        </is>
      </c>
      <c r="F247" s="203">
        <f>$D$243</f>
        <v/>
      </c>
      <c r="G247" s="0" t="inlineStr">
        <is>
          <t>,17],[8,</t>
        </is>
      </c>
      <c r="H247" s="203">
        <f>$D$243</f>
        <v/>
      </c>
      <c r="I247" s="0" t="inlineStr">
        <is>
          <t>,18],[8,</t>
        </is>
      </c>
      <c r="J247" s="203">
        <f>$D$243</f>
        <v/>
      </c>
      <c r="K247" s="0" t="inlineStr">
        <is>
          <t>,19],[8,</t>
        </is>
      </c>
      <c r="L247" s="203">
        <f>$D$243</f>
        <v/>
      </c>
      <c r="M247" s="0" t="inlineStr">
        <is>
          <t>,20],</t>
        </is>
      </c>
    </row>
    <row r="248">
      <c r="A248" s="151" t="inlineStr">
        <is>
          <t xml:space="preserve">[8,5,21],[8,5,22],[8,5,23],[8,6,24],[8,5,25] </t>
        </is>
      </c>
      <c r="B248" s="0">
        <f>CONCATENATE(C247,D247,E247,F247,G247,H247,I247,J247,K247,L247,M247,N247,O247,P247,Q247,R247,S247,T247,U247,V247,W247,X247,Y247,Z247,AA247,AB247,AC247,AD247,AE247,AF247,AG247,AH247,AI247,AJ247,AK247,AL247,AM247,AN247,AO247,AP247,AQ247,AR247,AS247,AT247,AU247,AV247,AW247,AX247,AY247,AZ247,BA247,BB247,BC247,BD247,BE247,BF247,BG247,BH247)</f>
        <v/>
      </c>
      <c r="C248" s="0" t="inlineStr">
        <is>
          <t>[8,</t>
        </is>
      </c>
      <c r="D248" s="203">
        <f>$D$243</f>
        <v/>
      </c>
      <c r="E248" s="0" t="inlineStr">
        <is>
          <t>,21],[8,</t>
        </is>
      </c>
      <c r="F248" s="203">
        <f>$D$243</f>
        <v/>
      </c>
      <c r="G248" s="0" t="inlineStr">
        <is>
          <t>,22],[8,</t>
        </is>
      </c>
      <c r="H248" s="203">
        <f>$D$243</f>
        <v/>
      </c>
      <c r="I248" s="0" t="inlineStr">
        <is>
          <t>,23],[8,</t>
        </is>
      </c>
      <c r="J248" s="203">
        <f>$D$243</f>
        <v/>
      </c>
      <c r="K248" s="0" t="inlineStr">
        <is>
          <t>,24],[8,</t>
        </is>
      </c>
      <c r="L248" s="203">
        <f>$D$243</f>
        <v/>
      </c>
      <c r="M248" s="0" t="inlineStr">
        <is>
          <t>,25],</t>
        </is>
      </c>
    </row>
    <row r="249">
      <c r="A249" s="151" t="inlineStr">
        <is>
          <t xml:space="preserve">] </t>
        </is>
      </c>
      <c r="B249" s="0">
        <f>CONCATENATE(C248,D248,E248,F248,G248,H248,I248,J248,K248,L248,M248,N248,O248,P248,Q248,R248,S248,T248,U248,V248,W248,X248,Y248,Z248,AA248,AB248,AC248,AD248,AE248,AF248,AG248,AH248,AI248,AJ248,AK248,AL248,AM248,AN248,AO248,AP248,AQ248,AR248,AS248,AT248,AU248,AV248,AW248,AX248,AY248,AZ248,BA248,BB248,BC248,BD248,BE248,BF248,BG248,BH248)</f>
        <v/>
      </c>
      <c r="C249" s="0" t="inlineStr">
        <is>
          <t>]</t>
        </is>
      </c>
    </row>
    <row r="250">
      <c r="A250" s="151" t="inlineStr">
        <is>
          <t xml:space="preserve">]; </t>
        </is>
      </c>
      <c r="B250" s="0">
        <f>CONCATENATE(C249,D249,E249,F249,G249,H249,I249,J249,K249,L249,M249,N249,O249,P249,Q249,R249,S249,T249,U249,V249,W249,X249,Y249,Z249,AA249,AB249,AC249,AD249,AE249,AF249,AG249,AH249,AI249,AJ249,AK249,AL249,AM249,AN249,AO249,AP249,AQ249,AR249,AS249,AT249,AU249,AV249,AW249,AX249,AY249,AZ249,BA249,BB249,BC249,BD249,BE249,BF249,BG249,BH249)</f>
        <v/>
      </c>
      <c r="C250" s="0" t="inlineStr">
        <is>
          <t>];</t>
        </is>
      </c>
    </row>
    <row r="251">
      <c r="B251" s="0">
        <f>CONCATENATE(C250,D250,E250,F250,G250,H250,I250,J250,K250,L250,M250,N250,O250,P250,Q250,R250,S250,T250,U250,V250,W250,X250,Y250,Z250,AA250,AB250,AC250,AD250,AE250,AF250,AG250,AH250,AI250,AJ250,AK250,AL250,AM250,AN250,AO250,AP250,AQ250,AR250,AS250,AT250,AU250,AV250,AW250,AX250,AY250,AZ250,BA250,BB250,BC250,BD250,BE250,BF250,BG250,BH250)</f>
        <v/>
      </c>
    </row>
    <row r="252">
      <c r="A252" s="151" t="inlineStr">
        <is>
          <t xml:space="preserve">#Exchange by Position Probability Table </t>
        </is>
      </c>
      <c r="B252" s="0">
        <f>CONCATENATE(C251,D251,E251,F251,G251,H251,I251,J251,K251,L251,M251,N251,O251,P251,Q251,R251,S251,T251,U251,V251,W251,X251,Y251,Z251,AA251,AB251,AC251,AD251,AE251,AF251,AG251,AH251,AI251,AJ251,AK251,AL251,AM251,AN251,AO251,AP251,AQ251,AR251,AS251,AT251,AU251,AV251,AW251,AX251,AY251,AZ251,BA251,BB251,BC251,BD251,BE251,BF251,BG251,BH251)</f>
        <v/>
      </c>
      <c r="C252" s="0" t="inlineStr">
        <is>
          <t xml:space="preserve">#Exchange by Position Probability Table </t>
        </is>
      </c>
    </row>
    <row r="253">
      <c r="A253" s="151" t="inlineStr">
        <is>
          <t xml:space="preserve">var eventBingoSelectTable = [ </t>
        </is>
      </c>
      <c r="B253" s="0">
        <f>CONCATENATE(C252,D252,E252,F252,G252,H252,I252,J252,K252,L252,M252,N252,O252,P252,Q252,R252,S252,T252,U252,V252,W252,X252,Y252,Z252,AA252,AB252,AC252,AD252,AE252,AF252,AG252,AH252,AI252,AJ252,AK252,AL252,AM252,AN252,AO252,AP252,AQ252,AR252,AS252,AT252,AU252,AV252,AW252,AX252,AY252,AZ252,BA252,BB252,BC252,BD252,BE252,BF252,BG252,BH252)</f>
        <v/>
      </c>
      <c r="C253" s="0" t="inlineStr">
        <is>
          <t xml:space="preserve">var eventBingoSelectTable = [ </t>
        </is>
      </c>
    </row>
    <row r="254">
      <c r="A254" s="151" t="inlineStr">
        <is>
          <t xml:space="preserve">[ </t>
        </is>
      </c>
      <c r="B254" s="0">
        <f>CONCATENATE(C253,D253,E253,F253,G253,H253,I253,J253,K253,L253,M253,N253,O253,P253,Q253,R253,S253,T253,U253,V253,W253,X253,Y253,Z253,AA253,AB253,AC253,AD253,AE253,AF253,AG253,AH253,AI253,AJ253,AK253,AL253,AM253,AN253,AO253,AP253,AQ253,AR253,AS253,AT253,AU253,AV253,AW253,AX253,AY253,AZ253,BA253,BB253,BC253,BD253,BE253,BF253,BG253,BH253)</f>
        <v/>
      </c>
      <c r="C254" s="0" t="inlineStr">
        <is>
          <t xml:space="preserve">[ </t>
        </is>
      </c>
    </row>
    <row r="255">
      <c r="A255" s="151" t="inlineStr">
        <is>
          <t xml:space="preserve">[1,5,1],[1,5,2],[1,5,3],[1,6,4],[1,5,5], </t>
        </is>
      </c>
      <c r="B255" s="0">
        <f>CONCATENATE(C254,D254,E254,F254,G254,H254,I254,J254,K254,L254,M254,N254,O254,P254,Q254,R254,S254,T254,U254,V254,W254,X254,Y254,Z254,AA254,AB254,AC254,AD254,AE254,AF254,AG254,AH254,AI254,AJ254,AK254,AL254,AM254,AN254,AO254,AP254,AQ254,AR254,AS254,AT254,AU254,AV254,AW254,AX254,AY254,AZ254,BA254,BB254,BC254,BD254,BE254,BF254,BG254,BH254)</f>
        <v/>
      </c>
      <c r="C255" s="0" t="inlineStr">
        <is>
          <t>[1,</t>
        </is>
      </c>
      <c r="D255" s="0" t="n">
        <v>611</v>
      </c>
      <c r="E255" s="0" t="inlineStr">
        <is>
          <t>,1],[1,</t>
        </is>
      </c>
      <c r="F255" s="0" t="n">
        <v>611</v>
      </c>
      <c r="G255" s="0" t="inlineStr">
        <is>
          <t>,2],[1,</t>
        </is>
      </c>
      <c r="H255" s="0" t="n">
        <v>611</v>
      </c>
      <c r="I255" s="0" t="inlineStr">
        <is>
          <t>,3],[1,</t>
        </is>
      </c>
      <c r="J255" s="0" t="n">
        <v>611</v>
      </c>
      <c r="K255" s="0" t="inlineStr">
        <is>
          <t>,4],[1,</t>
        </is>
      </c>
      <c r="L255" s="0" t="n">
        <v>611</v>
      </c>
      <c r="M255" s="0" t="inlineStr">
        <is>
          <t>,5],</t>
        </is>
      </c>
    </row>
    <row r="256">
      <c r="A256" s="151" t="inlineStr">
        <is>
          <t xml:space="preserve">[1,5,6],[1,5,7],[1,5,8],[1,6,9],[1,5,10], </t>
        </is>
      </c>
      <c r="B256" s="0">
        <f>CONCATENATE(C255,D255,E255,F255,G255,H255,I255,J255,K255,L255,M255,N255,O255,P255,Q255,R255,S255,T255,U255,V255,W255,X255,Y255,Z255,AA255,AB255,AC255,AD255,AE255,AF255,AG255,AH255,AI255,AJ255,AK255,AL255,AM255,AN255,AO255,AP255,AQ255,AR255,AS255,AT255,AU255,AV255,AW255,AX255,AY255,AZ255,BA255,BB255,BC255,BD255,BE255,BF255,BG255,BH255)</f>
        <v/>
      </c>
      <c r="C256" s="0" t="inlineStr">
        <is>
          <t>[1,</t>
        </is>
      </c>
      <c r="D256" s="0" t="n">
        <v>611</v>
      </c>
      <c r="E256" s="0" t="inlineStr">
        <is>
          <t>,6],[1,</t>
        </is>
      </c>
      <c r="F256" s="0" t="n">
        <v>611</v>
      </c>
      <c r="G256" s="0" t="inlineStr">
        <is>
          <t>,7],[1,</t>
        </is>
      </c>
      <c r="H256" s="0" t="n">
        <v>611</v>
      </c>
      <c r="I256" s="0" t="inlineStr">
        <is>
          <t>,8],[1,</t>
        </is>
      </c>
      <c r="J256" s="0" t="n">
        <v>611</v>
      </c>
      <c r="K256" s="0" t="inlineStr">
        <is>
          <t>,9],[1,</t>
        </is>
      </c>
      <c r="L256" s="0" t="n">
        <v>611</v>
      </c>
      <c r="M256" s="0" t="inlineStr">
        <is>
          <t>,10],</t>
        </is>
      </c>
    </row>
    <row r="257">
      <c r="A257" s="151" t="inlineStr">
        <is>
          <t xml:space="preserve">[1,5,11],[1,5,12],[1,0,13],[1,6,14],[1,5,15], </t>
        </is>
      </c>
      <c r="B257" s="0">
        <f>CONCATENATE(C256,D256,E256,F256,G256,H256,I256,J256,K256,L256,M256,N256,O256,P256,Q256,R256,S256,T256,U256,V256,W256,X256,Y256,Z256,AA256,AB256,AC256,AD256,AE256,AF256,AG256,AH256,AI256,AJ256,AK256,AL256,AM256,AN256,AO256,AP256,AQ256,AR256,AS256,AT256,AU256,AV256,AW256,AX256,AY256,AZ256,BA256,BB256,BC256,BD256,BE256,BF256,BG256,BH256)</f>
        <v/>
      </c>
      <c r="C257" s="0" t="inlineStr">
        <is>
          <t>[1,</t>
        </is>
      </c>
      <c r="D257" s="0" t="n">
        <v>611</v>
      </c>
      <c r="E257" s="0" t="inlineStr">
        <is>
          <t>,11],[1,</t>
        </is>
      </c>
      <c r="F257" s="0" t="n">
        <v>611</v>
      </c>
      <c r="G257" s="0" t="inlineStr">
        <is>
          <t>,12],[1,</t>
        </is>
      </c>
      <c r="H257" s="0" t="n">
        <v>0</v>
      </c>
      <c r="I257" s="0" t="inlineStr">
        <is>
          <t>,13],[1,</t>
        </is>
      </c>
      <c r="J257" s="0" t="n">
        <v>611</v>
      </c>
      <c r="K257" s="0" t="inlineStr">
        <is>
          <t>,14],[1,</t>
        </is>
      </c>
      <c r="L257" s="0" t="n">
        <v>611</v>
      </c>
      <c r="M257" s="0" t="inlineStr">
        <is>
          <t>,15],</t>
        </is>
      </c>
    </row>
    <row r="258">
      <c r="A258" s="151" t="inlineStr">
        <is>
          <t xml:space="preserve">[1,5,16],[1,5,17],[1,5,18],[1,6,19],[1,5,20], </t>
        </is>
      </c>
      <c r="B258" s="0">
        <f>CONCATENATE(C257,D257,E257,F257,G257,H257,I257,J257,K257,L257,M257,N257,O257,P257,Q257,R257,S257,T257,U257,V257,W257,X257,Y257,Z257,AA257,AB257,AC257,AD257,AE257,AF257,AG257,AH257,AI257,AJ257,AK257,AL257,AM257,AN257,AO257,AP257,AQ257,AR257,AS257,AT257,AU257,AV257,AW257,AX257,AY257,AZ257,BA257,BB257,BC257,BD257,BE257,BF257,BG257,BH257)</f>
        <v/>
      </c>
      <c r="C258" s="0" t="inlineStr">
        <is>
          <t>[1,</t>
        </is>
      </c>
      <c r="D258" s="0" t="n">
        <v>611</v>
      </c>
      <c r="E258" s="0" t="inlineStr">
        <is>
          <t>,16],[1,</t>
        </is>
      </c>
      <c r="F258" s="0" t="n">
        <v>611</v>
      </c>
      <c r="G258" s="0" t="inlineStr">
        <is>
          <t>,17],[1,</t>
        </is>
      </c>
      <c r="H258" s="0" t="n">
        <v>611</v>
      </c>
      <c r="I258" s="0" t="inlineStr">
        <is>
          <t>,18],[1,</t>
        </is>
      </c>
      <c r="J258" s="0" t="n">
        <v>611</v>
      </c>
      <c r="K258" s="0" t="inlineStr">
        <is>
          <t>,19],[1,</t>
        </is>
      </c>
      <c r="L258" s="0" t="n">
        <v>611</v>
      </c>
      <c r="M258" s="0" t="inlineStr">
        <is>
          <t>,20],</t>
        </is>
      </c>
    </row>
    <row r="259">
      <c r="A259" s="151" t="inlineStr">
        <is>
          <t xml:space="preserve">[1,5,21],[1,5,22],[1,5,23],[1,6,24],[1,5,25], </t>
        </is>
      </c>
      <c r="B259" s="0">
        <f>CONCATENATE(C258,D258,E258,F258,G258,H258,I258,J258,K258,L258,M258,N258,O258,P258,Q258,R258,S258,T258,U258,V258,W258,X258,Y258,Z258,AA258,AB258,AC258,AD258,AE258,AF258,AG258,AH258,AI258,AJ258,AK258,AL258,AM258,AN258,AO258,AP258,AQ258,AR258,AS258,AT258,AU258,AV258,AW258,AX258,AY258,AZ258,BA258,BB258,BC258,BD258,BE258,BF258,BG258,BH258)</f>
        <v/>
      </c>
      <c r="C259" s="0" t="inlineStr">
        <is>
          <t>[1,</t>
        </is>
      </c>
      <c r="D259" s="0" t="n">
        <v>611</v>
      </c>
      <c r="E259" s="0" t="inlineStr">
        <is>
          <t>,21],[1,</t>
        </is>
      </c>
      <c r="F259" s="0" t="n">
        <v>611</v>
      </c>
      <c r="G259" s="0" t="inlineStr">
        <is>
          <t>,22],[1,</t>
        </is>
      </c>
      <c r="H259" s="0" t="n">
        <v>611</v>
      </c>
      <c r="I259" s="0" t="inlineStr">
        <is>
          <t>,23],[1,</t>
        </is>
      </c>
      <c r="J259" s="0" t="n">
        <v>611</v>
      </c>
      <c r="K259" s="0" t="inlineStr">
        <is>
          <t>,24],[1,</t>
        </is>
      </c>
      <c r="L259" s="0" t="n">
        <v>611</v>
      </c>
      <c r="M259" s="0" t="inlineStr">
        <is>
          <t>,25],</t>
        </is>
      </c>
    </row>
    <row r="260">
      <c r="B260" s="0">
        <f>CONCATENATE(C259,D259,E259,F259,G259,H259,I259,J259,K259,L259,M259,N259,O259,P259,Q259,R259,S259,T259,U259,V259,W259,X259,Y259,Z259,AA259,AB259,AC259,AD259,AE259,AF259,AG259,AH259,AI259,AJ259,AK259,AL259,AM259,AN259,AO259,AP259,AQ259,AR259,AS259,AT259,AU259,AV259,AW259,AX259,AY259,AZ259,BA259,BB259,BC259,BD259,BE259,BF259,BG259,BH259)</f>
        <v/>
      </c>
    </row>
    <row r="261">
      <c r="A261" s="151" t="inlineStr">
        <is>
          <t xml:space="preserve">[2,5,1],[2,5,2],[2,5,3],[2,6,4],[2,5,5], </t>
        </is>
      </c>
      <c r="B261" s="0">
        <f>CONCATENATE(C260,D260,E260,F260,G260,H260,I260,J260,K260,L260,M260,N260,O260,P260,Q260,R260,S260,T260,U260,V260,W260,X260,Y260,Z260,AA260,AB260,AC260,AD260,AE260,AF260,AG260,AH260,AI260,AJ260,AK260,AL260,AM260,AN260,AO260,AP260,AQ260,AR260,AS260,AT260,AU260,AV260,AW260,AX260,AY260,AZ260,BA260,BB260,BC260,BD260,BE260,BF260,BG260,BH260)</f>
        <v/>
      </c>
      <c r="C261" s="0" t="inlineStr">
        <is>
          <t>[2,</t>
        </is>
      </c>
      <c r="D261" s="0" t="n">
        <v>305</v>
      </c>
      <c r="E261" s="0" t="inlineStr">
        <is>
          <t>,1],[2,</t>
        </is>
      </c>
      <c r="F261" s="0" t="n">
        <v>305</v>
      </c>
      <c r="G261" s="0" t="inlineStr">
        <is>
          <t>,2],[2,</t>
        </is>
      </c>
      <c r="H261" s="0" t="n">
        <v>305</v>
      </c>
      <c r="I261" s="0" t="inlineStr">
        <is>
          <t>,3],[2,</t>
        </is>
      </c>
      <c r="J261" s="0" t="n">
        <v>305</v>
      </c>
      <c r="K261" s="0" t="inlineStr">
        <is>
          <t>,4],[2,</t>
        </is>
      </c>
      <c r="L261" s="0" t="n">
        <v>305</v>
      </c>
      <c r="M261" s="0" t="inlineStr">
        <is>
          <t>,5],</t>
        </is>
      </c>
    </row>
    <row r="262">
      <c r="A262" s="151" t="inlineStr">
        <is>
          <t xml:space="preserve">[2,5,6],[2,5,7],[2,5,8],[2,6,9],[2,5,10], </t>
        </is>
      </c>
      <c r="B262" s="0">
        <f>CONCATENATE(C261,D261,E261,F261,G261,H261,I261,J261,K261,L261,M261,N261,O261,P261,Q261,R261,S261,T261,U261,V261,W261,X261,Y261,Z261,AA261,AB261,AC261,AD261,AE261,AF261,AG261,AH261,AI261,AJ261,AK261,AL261,AM261,AN261,AO261,AP261,AQ261,AR261,AS261,AT261,AU261,AV261,AW261,AX261,AY261,AZ261,BA261,BB261,BC261,BD261,BE261,BF261,BG261,BH261)</f>
        <v/>
      </c>
      <c r="C262" s="0" t="inlineStr">
        <is>
          <t>[2,</t>
        </is>
      </c>
      <c r="D262" s="0" t="n">
        <v>305</v>
      </c>
      <c r="E262" s="0" t="inlineStr">
        <is>
          <t>,6],[2,</t>
        </is>
      </c>
      <c r="F262" s="0" t="n">
        <v>305</v>
      </c>
      <c r="G262" s="0" t="inlineStr">
        <is>
          <t>,7],[2,</t>
        </is>
      </c>
      <c r="H262" s="0" t="n">
        <v>305</v>
      </c>
      <c r="I262" s="0" t="inlineStr">
        <is>
          <t>,8],[2,</t>
        </is>
      </c>
      <c r="J262" s="0" t="n">
        <v>305</v>
      </c>
      <c r="K262" s="0" t="inlineStr">
        <is>
          <t>,9],[2,</t>
        </is>
      </c>
      <c r="L262" s="0" t="n">
        <v>305</v>
      </c>
      <c r="M262" s="0" t="inlineStr">
        <is>
          <t>,10],</t>
        </is>
      </c>
    </row>
    <row r="263">
      <c r="A263" s="151" t="inlineStr">
        <is>
          <t xml:space="preserve">[2,5,11],[2,5,12],[2,0,13],[2,6,14],[2,5,15], </t>
        </is>
      </c>
      <c r="B263" s="0">
        <f>CONCATENATE(C262,D262,E262,F262,G262,H262,I262,J262,K262,L262,M262,N262,O262,P262,Q262,R262,S262,T262,U262,V262,W262,X262,Y262,Z262,AA262,AB262,AC262,AD262,AE262,AF262,AG262,AH262,AI262,AJ262,AK262,AL262,AM262,AN262,AO262,AP262,AQ262,AR262,AS262,AT262,AU262,AV262,AW262,AX262,AY262,AZ262,BA262,BB262,BC262,BD262,BE262,BF262,BG262,BH262)</f>
        <v/>
      </c>
      <c r="C263" s="0" t="inlineStr">
        <is>
          <t>[2,</t>
        </is>
      </c>
      <c r="D263" s="0" t="n">
        <v>305</v>
      </c>
      <c r="E263" s="0" t="inlineStr">
        <is>
          <t>,11],[2,</t>
        </is>
      </c>
      <c r="F263" s="0" t="n">
        <v>305</v>
      </c>
      <c r="G263" s="0" t="inlineStr">
        <is>
          <t>,12],[2,</t>
        </is>
      </c>
      <c r="H263" s="0" t="n">
        <v>0</v>
      </c>
      <c r="I263" s="0" t="inlineStr">
        <is>
          <t>,13],[2,</t>
        </is>
      </c>
      <c r="J263" s="0" t="n">
        <v>305</v>
      </c>
      <c r="K263" s="0" t="inlineStr">
        <is>
          <t>,14],[2,</t>
        </is>
      </c>
      <c r="L263" s="0" t="n">
        <v>305</v>
      </c>
      <c r="M263" s="0" t="inlineStr">
        <is>
          <t>,15],</t>
        </is>
      </c>
    </row>
    <row r="264">
      <c r="A264" s="151" t="inlineStr">
        <is>
          <t xml:space="preserve">[2,5,16],[2,5,17],[2,5,18],[2,6,19],[2,5,20], </t>
        </is>
      </c>
      <c r="B264" s="0">
        <f>CONCATENATE(C263,D263,E263,F263,G263,H263,I263,J263,K263,L263,M263,N263,O263,P263,Q263,R263,S263,T263,U263,V263,W263,X263,Y263,Z263,AA263,AB263,AC263,AD263,AE263,AF263,AG263,AH263,AI263,AJ263,AK263,AL263,AM263,AN263,AO263,AP263,AQ263,AR263,AS263,AT263,AU263,AV263,AW263,AX263,AY263,AZ263,BA263,BB263,BC263,BD263,BE263,BF263,BG263,BH263)</f>
        <v/>
      </c>
      <c r="C264" s="0" t="inlineStr">
        <is>
          <t>[2,</t>
        </is>
      </c>
      <c r="D264" s="0" t="n">
        <v>305</v>
      </c>
      <c r="E264" s="0" t="inlineStr">
        <is>
          <t>,16],[2,</t>
        </is>
      </c>
      <c r="F264" s="0" t="n">
        <v>305</v>
      </c>
      <c r="G264" s="0" t="inlineStr">
        <is>
          <t>,17],[2,</t>
        </is>
      </c>
      <c r="H264" s="0" t="n">
        <v>305</v>
      </c>
      <c r="I264" s="0" t="inlineStr">
        <is>
          <t>,18],[2,</t>
        </is>
      </c>
      <c r="J264" s="0" t="n">
        <v>305</v>
      </c>
      <c r="K264" s="0" t="inlineStr">
        <is>
          <t>,19],[2,</t>
        </is>
      </c>
      <c r="L264" s="0" t="n">
        <v>305</v>
      </c>
      <c r="M264" s="0" t="inlineStr">
        <is>
          <t>,20],</t>
        </is>
      </c>
    </row>
    <row r="265">
      <c r="A265" s="151" t="inlineStr">
        <is>
          <t xml:space="preserve">[2,5,21],[2,5,22],[2,5,23],[2,6,24],[2,5,25], </t>
        </is>
      </c>
      <c r="B265" s="0">
        <f>CONCATENATE(C264,D264,E264,F264,G264,H264,I264,J264,K264,L264,M264,N264,O264,P264,Q264,R264,S264,T264,U264,V264,W264,X264,Y264,Z264,AA264,AB264,AC264,AD264,AE264,AF264,AG264,AH264,AI264,AJ264,AK264,AL264,AM264,AN264,AO264,AP264,AQ264,AR264,AS264,AT264,AU264,AV264,AW264,AX264,AY264,AZ264,BA264,BB264,BC264,BD264,BE264,BF264,BG264,BH264)</f>
        <v/>
      </c>
      <c r="C265" s="0" t="inlineStr">
        <is>
          <t>[2,</t>
        </is>
      </c>
      <c r="D265" s="0" t="n">
        <v>305</v>
      </c>
      <c r="E265" s="0" t="inlineStr">
        <is>
          <t>,21],[2,</t>
        </is>
      </c>
      <c r="F265" s="0" t="n">
        <v>305</v>
      </c>
      <c r="G265" s="0" t="inlineStr">
        <is>
          <t>,22],[2,</t>
        </is>
      </c>
      <c r="H265" s="0" t="n">
        <v>305</v>
      </c>
      <c r="I265" s="0" t="inlineStr">
        <is>
          <t>,23],[2,</t>
        </is>
      </c>
      <c r="J265" s="0" t="n">
        <v>305</v>
      </c>
      <c r="K265" s="0" t="inlineStr">
        <is>
          <t>,24],[2,</t>
        </is>
      </c>
      <c r="L265" s="0" t="n">
        <v>305</v>
      </c>
      <c r="M265" s="0" t="inlineStr">
        <is>
          <t>,25],</t>
        </is>
      </c>
    </row>
    <row r="266">
      <c r="B266" s="0">
        <f>CONCATENATE(C265,D265,E265,F265,G265,H265,I265,J265,K265,L265,M265,N265,O265,P265,Q265,R265,S265,T265,U265,V265,W265,X265,Y265,Z265,AA265,AB265,AC265,AD265,AE265,AF265,AG265,AH265,AI265,AJ265,AK265,AL265,AM265,AN265,AO265,AP265,AQ265,AR265,AS265,AT265,AU265,AV265,AW265,AX265,AY265,AZ265,BA265,BB265,BC265,BD265,BE265,BF265,BG265,BH265)</f>
        <v/>
      </c>
    </row>
    <row r="267">
      <c r="A267" s="151" t="inlineStr">
        <is>
          <t xml:space="preserve">[3,5,1],[3,5,2],[3,5,3],[3,6,4],[3,5,5], </t>
        </is>
      </c>
      <c r="B267" s="0">
        <f>CONCATENATE(C266,D266,E266,F266,G266,H266,I266,J266,K266,L266,M266,N266,O266,P266,Q266,R266,S266,T266,U266,V266,W266,X266,Y266,Z266,AA266,AB266,AC266,AD266,AE266,AF266,AG266,AH266,AI266,AJ266,AK266,AL266,AM266,AN266,AO266,AP266,AQ266,AR266,AS266,AT266,AU266,AV266,AW266,AX266,AY266,AZ266,BA266,BB266,BC266,BD266,BE266,BF266,BG266,BH266)</f>
        <v/>
      </c>
      <c r="C267" s="0" t="inlineStr">
        <is>
          <t>[3,</t>
        </is>
      </c>
      <c r="D267" s="0" t="n">
        <v>204</v>
      </c>
      <c r="E267" s="0" t="inlineStr">
        <is>
          <t>,1],[3,</t>
        </is>
      </c>
      <c r="F267" s="0" t="n">
        <v>204</v>
      </c>
      <c r="G267" s="0" t="inlineStr">
        <is>
          <t>,2],[3,</t>
        </is>
      </c>
      <c r="H267" s="0" t="n">
        <v>204</v>
      </c>
      <c r="I267" s="0" t="inlineStr">
        <is>
          <t>,3],[3,</t>
        </is>
      </c>
      <c r="J267" s="0" t="n">
        <v>204</v>
      </c>
      <c r="K267" s="0" t="inlineStr">
        <is>
          <t>,4],[3,</t>
        </is>
      </c>
      <c r="L267" s="0" t="n">
        <v>204</v>
      </c>
      <c r="M267" s="0" t="inlineStr">
        <is>
          <t>,5],</t>
        </is>
      </c>
    </row>
    <row r="268">
      <c r="A268" s="151" t="inlineStr">
        <is>
          <t xml:space="preserve">[3,5,6],[3,5,7],[3,5,8],[3,6,9],[3,5,10], </t>
        </is>
      </c>
      <c r="B268" s="0">
        <f>CONCATENATE(C267,D267,E267,F267,G267,H267,I267,J267,K267,L267,M267,N267,O267,P267,Q267,R267,S267,T267,U267,V267,W267,X267,Y267,Z267,AA267,AB267,AC267,AD267,AE267,AF267,AG267,AH267,AI267,AJ267,AK267,AL267,AM267,AN267,AO267,AP267,AQ267,AR267,AS267,AT267,AU267,AV267,AW267,AX267,AY267,AZ267,BA267,BB267,BC267,BD267,BE267,BF267,BG267,BH267)</f>
        <v/>
      </c>
      <c r="C268" s="0" t="inlineStr">
        <is>
          <t>[3,</t>
        </is>
      </c>
      <c r="D268" s="0" t="n">
        <v>204</v>
      </c>
      <c r="E268" s="0" t="inlineStr">
        <is>
          <t>,6],[3,</t>
        </is>
      </c>
      <c r="F268" s="0" t="n">
        <v>204</v>
      </c>
      <c r="G268" s="0" t="inlineStr">
        <is>
          <t>,7],[3,</t>
        </is>
      </c>
      <c r="H268" s="0" t="n">
        <v>204</v>
      </c>
      <c r="I268" s="0" t="inlineStr">
        <is>
          <t>,8],[3,</t>
        </is>
      </c>
      <c r="J268" s="0" t="n">
        <v>204</v>
      </c>
      <c r="K268" s="0" t="inlineStr">
        <is>
          <t>,9],[3,</t>
        </is>
      </c>
      <c r="L268" s="0" t="n">
        <v>204</v>
      </c>
      <c r="M268" s="0" t="inlineStr">
        <is>
          <t>,10],</t>
        </is>
      </c>
    </row>
    <row r="269">
      <c r="A269" s="151" t="inlineStr">
        <is>
          <t xml:space="preserve">[3,5,11],[3,5,12],[3,0,13],[3,6,14],[3,5,15], </t>
        </is>
      </c>
      <c r="B269" s="0">
        <f>CONCATENATE(C268,D268,E268,F268,G268,H268,I268,J268,K268,L268,M268,N268,O268,P268,Q268,R268,S268,T268,U268,V268,W268,X268,Y268,Z268,AA268,AB268,AC268,AD268,AE268,AF268,AG268,AH268,AI268,AJ268,AK268,AL268,AM268,AN268,AO268,AP268,AQ268,AR268,AS268,AT268,AU268,AV268,AW268,AX268,AY268,AZ268,BA268,BB268,BC268,BD268,BE268,BF268,BG268,BH268)</f>
        <v/>
      </c>
      <c r="C269" s="0" t="inlineStr">
        <is>
          <t>[3,</t>
        </is>
      </c>
      <c r="D269" s="0" t="n">
        <v>204</v>
      </c>
      <c r="E269" s="0" t="inlineStr">
        <is>
          <t>,11],[3,</t>
        </is>
      </c>
      <c r="F269" s="0" t="n">
        <v>204</v>
      </c>
      <c r="G269" s="0" t="inlineStr">
        <is>
          <t>,12],[3,</t>
        </is>
      </c>
      <c r="H269" s="0" t="n">
        <v>0</v>
      </c>
      <c r="I269" s="0" t="inlineStr">
        <is>
          <t>,13],[3,</t>
        </is>
      </c>
      <c r="J269" s="0" t="n">
        <v>204</v>
      </c>
      <c r="K269" s="0" t="inlineStr">
        <is>
          <t>,14],[3,</t>
        </is>
      </c>
      <c r="L269" s="0" t="n">
        <v>204</v>
      </c>
      <c r="M269" s="0" t="inlineStr">
        <is>
          <t>,15],</t>
        </is>
      </c>
    </row>
    <row r="270">
      <c r="A270" s="151" t="inlineStr">
        <is>
          <t xml:space="preserve">[3,5,16],[3,5,17],[3,5,18],[3,6,19],[3,5,20], </t>
        </is>
      </c>
      <c r="B270" s="0">
        <f>CONCATENATE(C269,D269,E269,F269,G269,H269,I269,J269,K269,L269,M269,N269,O269,P269,Q269,R269,S269,T269,U269,V269,W269,X269,Y269,Z269,AA269,AB269,AC269,AD269,AE269,AF269,AG269,AH269,AI269,AJ269,AK269,AL269,AM269,AN269,AO269,AP269,AQ269,AR269,AS269,AT269,AU269,AV269,AW269,AX269,AY269,AZ269,BA269,BB269,BC269,BD269,BE269,BF269,BG269,BH269)</f>
        <v/>
      </c>
      <c r="C270" s="0" t="inlineStr">
        <is>
          <t>[3,</t>
        </is>
      </c>
      <c r="D270" s="0" t="n">
        <v>204</v>
      </c>
      <c r="E270" s="0" t="inlineStr">
        <is>
          <t>,16],[3,</t>
        </is>
      </c>
      <c r="F270" s="0" t="n">
        <v>204</v>
      </c>
      <c r="G270" s="0" t="inlineStr">
        <is>
          <t>,17],[3,</t>
        </is>
      </c>
      <c r="H270" s="0" t="n">
        <v>204</v>
      </c>
      <c r="I270" s="0" t="inlineStr">
        <is>
          <t>,18],[3,</t>
        </is>
      </c>
      <c r="J270" s="0" t="n">
        <v>204</v>
      </c>
      <c r="K270" s="0" t="inlineStr">
        <is>
          <t>,19],[3,</t>
        </is>
      </c>
      <c r="L270" s="0" t="n">
        <v>204</v>
      </c>
      <c r="M270" s="0" t="inlineStr">
        <is>
          <t>,20],</t>
        </is>
      </c>
    </row>
    <row r="271">
      <c r="A271" s="151" t="inlineStr">
        <is>
          <t xml:space="preserve">[3,5,21],[3,5,22],[3,5,23],[3,6,24],[3,5,25], </t>
        </is>
      </c>
      <c r="B271" s="0">
        <f>CONCATENATE(C270,D270,E270,F270,G270,H270,I270,J270,K270,L270,M270,N270,O270,P270,Q270,R270,S270,T270,U270,V270,W270,X270,Y270,Z270,AA270,AB270,AC270,AD270,AE270,AF270,AG270,AH270,AI270,AJ270,AK270,AL270,AM270,AN270,AO270,AP270,AQ270,AR270,AS270,AT270,AU270,AV270,AW270,AX270,AY270,AZ270,BA270,BB270,BC270,BD270,BE270,BF270,BG270,BH270)</f>
        <v/>
      </c>
      <c r="C271" s="0" t="inlineStr">
        <is>
          <t>[3,</t>
        </is>
      </c>
      <c r="D271" s="0" t="n">
        <v>204</v>
      </c>
      <c r="E271" s="0" t="inlineStr">
        <is>
          <t>,21],[3,</t>
        </is>
      </c>
      <c r="F271" s="0" t="n">
        <v>204</v>
      </c>
      <c r="G271" s="0" t="inlineStr">
        <is>
          <t>,22],[3,</t>
        </is>
      </c>
      <c r="H271" s="0" t="n">
        <v>204</v>
      </c>
      <c r="I271" s="0" t="inlineStr">
        <is>
          <t>,23],[3,</t>
        </is>
      </c>
      <c r="J271" s="0" t="n">
        <v>204</v>
      </c>
      <c r="K271" s="0" t="inlineStr">
        <is>
          <t>,24],[3,</t>
        </is>
      </c>
      <c r="L271" s="0" t="n">
        <v>204</v>
      </c>
      <c r="M271" s="0" t="inlineStr">
        <is>
          <t>,25],</t>
        </is>
      </c>
    </row>
    <row r="272">
      <c r="B272" s="0">
        <f>CONCATENATE(C271,D271,E271,F271,G271,H271,I271,J271,K271,L271,M271,N271,O271,P271,Q271,R271,S271,T271,U271,V271,W271,X271,Y271,Z271,AA271,AB271,AC271,AD271,AE271,AF271,AG271,AH271,AI271,AJ271,AK271,AL271,AM271,AN271,AO271,AP271,AQ271,AR271,AS271,AT271,AU271,AV271,AW271,AX271,AY271,AZ271,BA271,BB271,BC271,BD271,BE271,BF271,BG271,BH271)</f>
        <v/>
      </c>
    </row>
    <row r="273">
      <c r="A273" s="151" t="inlineStr">
        <is>
          <t xml:space="preserve">[4,5,1],[4,5,2],[4,5,3],[4,6,4],[4,5,5], </t>
        </is>
      </c>
      <c r="B273" s="0">
        <f>CONCATENATE(C272,D272,E272,F272,G272,H272,I272,J272,K272,L272,M272,N272,O272,P272,Q272,R272,S272,T272,U272,V272,W272,X272,Y272,Z272,AA272,AB272,AC272,AD272,AE272,AF272,AG272,AH272,AI272,AJ272,AK272,AL272,AM272,AN272,AO272,AP272,AQ272,AR272,AS272,AT272,AU272,AV272,AW272,AX272,AY272,AZ272,BA272,BB272,BC272,BD272,BE272,BF272,BG272,BH272)</f>
        <v/>
      </c>
      <c r="C273" s="0" t="inlineStr">
        <is>
          <t>[4,</t>
        </is>
      </c>
      <c r="D273" s="0" t="n">
        <v>35</v>
      </c>
      <c r="E273" s="0" t="inlineStr">
        <is>
          <t>,1],[4,</t>
        </is>
      </c>
      <c r="F273" s="0" t="n">
        <v>35</v>
      </c>
      <c r="G273" s="0" t="inlineStr">
        <is>
          <t>,2],[4,</t>
        </is>
      </c>
      <c r="H273" s="0" t="n">
        <v>35</v>
      </c>
      <c r="I273" s="0" t="inlineStr">
        <is>
          <t>,3],[4,</t>
        </is>
      </c>
      <c r="J273" s="0" t="n">
        <v>35</v>
      </c>
      <c r="K273" s="0" t="inlineStr">
        <is>
          <t>,4],[4,</t>
        </is>
      </c>
      <c r="L273" s="0" t="n">
        <v>35</v>
      </c>
      <c r="M273" s="0" t="inlineStr">
        <is>
          <t>,5],</t>
        </is>
      </c>
    </row>
    <row r="274">
      <c r="A274" s="151" t="inlineStr">
        <is>
          <t xml:space="preserve">[4,5,6],[4,5,7],[4,5,8],[4,6,9],[4,5,10], </t>
        </is>
      </c>
      <c r="B274" s="0">
        <f>CONCATENATE(C273,D273,E273,F273,G273,H273,I273,J273,K273,L273,M273,N273,O273,P273,Q273,R273,S273,T273,U273,V273,W273,X273,Y273,Z273,AA273,AB273,AC273,AD273,AE273,AF273,AG273,AH273,AI273,AJ273,AK273,AL273,AM273,AN273,AO273,AP273,AQ273,AR273,AS273,AT273,AU273,AV273,AW273,AX273,AY273,AZ273,BA273,BB273,BC273,BD273,BE273,BF273,BG273,BH273)</f>
        <v/>
      </c>
      <c r="C274" s="0" t="inlineStr">
        <is>
          <t>[4,</t>
        </is>
      </c>
      <c r="D274" s="0" t="n">
        <v>35</v>
      </c>
      <c r="E274" s="0" t="inlineStr">
        <is>
          <t>,6],[4,</t>
        </is>
      </c>
      <c r="F274" s="0" t="n">
        <v>35</v>
      </c>
      <c r="G274" s="0" t="inlineStr">
        <is>
          <t>,7],[4,</t>
        </is>
      </c>
      <c r="H274" s="0" t="n">
        <v>35</v>
      </c>
      <c r="I274" s="0" t="inlineStr">
        <is>
          <t>,8],[4,</t>
        </is>
      </c>
      <c r="J274" s="0" t="n">
        <v>35</v>
      </c>
      <c r="K274" s="0" t="inlineStr">
        <is>
          <t>,9],[4,</t>
        </is>
      </c>
      <c r="L274" s="0" t="n">
        <v>35</v>
      </c>
      <c r="M274" s="0" t="inlineStr">
        <is>
          <t>,10],</t>
        </is>
      </c>
    </row>
    <row r="275">
      <c r="A275" s="151" t="inlineStr">
        <is>
          <t xml:space="preserve">[4,5,11],[4,5,12],[4,0,13],[4,6,14],[4,5,15], </t>
        </is>
      </c>
      <c r="B275" s="0">
        <f>CONCATENATE(C274,D274,E274,F274,G274,H274,I274,J274,K274,L274,M274,N274,O274,P274,Q274,R274,S274,T274,U274,V274,W274,X274,Y274,Z274,AA274,AB274,AC274,AD274,AE274,AF274,AG274,AH274,AI274,AJ274,AK274,AL274,AM274,AN274,AO274,AP274,AQ274,AR274,AS274,AT274,AU274,AV274,AW274,AX274,AY274,AZ274,BA274,BB274,BC274,BD274,BE274,BF274,BG274,BH274)</f>
        <v/>
      </c>
      <c r="C275" s="0" t="inlineStr">
        <is>
          <t>[4,</t>
        </is>
      </c>
      <c r="D275" s="0" t="n">
        <v>35</v>
      </c>
      <c r="E275" s="0" t="inlineStr">
        <is>
          <t>,11],[4,</t>
        </is>
      </c>
      <c r="F275" s="0" t="n">
        <v>35</v>
      </c>
      <c r="G275" s="0" t="inlineStr">
        <is>
          <t>,12],[4,</t>
        </is>
      </c>
      <c r="H275" s="0" t="n">
        <v>0</v>
      </c>
      <c r="I275" s="0" t="inlineStr">
        <is>
          <t>,13],[4,</t>
        </is>
      </c>
      <c r="J275" s="0" t="n">
        <v>35</v>
      </c>
      <c r="K275" s="0" t="inlineStr">
        <is>
          <t>,14],[4,</t>
        </is>
      </c>
      <c r="L275" s="0" t="n">
        <v>35</v>
      </c>
      <c r="M275" s="0" t="inlineStr">
        <is>
          <t>,15],</t>
        </is>
      </c>
    </row>
    <row r="276">
      <c r="A276" s="151" t="inlineStr">
        <is>
          <t xml:space="preserve">[4,5,16],[4,5,17],[4,5,18],[4,6,19],[4,5,20], </t>
        </is>
      </c>
      <c r="B276" s="0">
        <f>CONCATENATE(C275,D275,E275,F275,G275,H275,I275,J275,K275,L275,M275,N275,O275,P275,Q275,R275,S275,T275,U275,V275,W275,X275,Y275,Z275,AA275,AB275,AC275,AD275,AE275,AF275,AG275,AH275,AI275,AJ275,AK275,AL275,AM275,AN275,AO275,AP275,AQ275,AR275,AS275,AT275,AU275,AV275,AW275,AX275,AY275,AZ275,BA275,BB275,BC275,BD275,BE275,BF275,BG275,BH275)</f>
        <v/>
      </c>
      <c r="C276" s="0" t="inlineStr">
        <is>
          <t>[4,</t>
        </is>
      </c>
      <c r="D276" s="0" t="n">
        <v>35</v>
      </c>
      <c r="E276" s="0" t="inlineStr">
        <is>
          <t>,16],[4,</t>
        </is>
      </c>
      <c r="F276" s="0" t="n">
        <v>35</v>
      </c>
      <c r="G276" s="0" t="inlineStr">
        <is>
          <t>,17],[4,</t>
        </is>
      </c>
      <c r="H276" s="0" t="n">
        <v>35</v>
      </c>
      <c r="I276" s="0" t="inlineStr">
        <is>
          <t>,18],[4,</t>
        </is>
      </c>
      <c r="J276" s="0" t="n">
        <v>35</v>
      </c>
      <c r="K276" s="0" t="inlineStr">
        <is>
          <t>,19],[4,</t>
        </is>
      </c>
      <c r="L276" s="0" t="n">
        <v>35</v>
      </c>
      <c r="M276" s="0" t="inlineStr">
        <is>
          <t>,20],</t>
        </is>
      </c>
    </row>
    <row r="277">
      <c r="A277" s="151" t="inlineStr">
        <is>
          <t xml:space="preserve">[4,5,21],[4,5,22],[4,5,23],[4,6,24],[4,5,25], </t>
        </is>
      </c>
      <c r="B277" s="0">
        <f>CONCATENATE(C276,D276,E276,F276,G276,H276,I276,J276,K276,L276,M276,N276,O276,P276,Q276,R276,S276,T276,U276,V276,W276,X276,Y276,Z276,AA276,AB276,AC276,AD276,AE276,AF276,AG276,AH276,AI276,AJ276,AK276,AL276,AM276,AN276,AO276,AP276,AQ276,AR276,AS276,AT276,AU276,AV276,AW276,AX276,AY276,AZ276,BA276,BB276,BC276,BD276,BE276,BF276,BG276,BH276)</f>
        <v/>
      </c>
      <c r="C277" s="0" t="inlineStr">
        <is>
          <t>[4,</t>
        </is>
      </c>
      <c r="D277" s="0" t="n">
        <v>35</v>
      </c>
      <c r="E277" s="0" t="inlineStr">
        <is>
          <t>,21],[4,</t>
        </is>
      </c>
      <c r="F277" s="0" t="n">
        <v>35</v>
      </c>
      <c r="G277" s="0" t="inlineStr">
        <is>
          <t>,22],[4,</t>
        </is>
      </c>
      <c r="H277" s="0" t="n">
        <v>35</v>
      </c>
      <c r="I277" s="0" t="inlineStr">
        <is>
          <t>,23],[4,</t>
        </is>
      </c>
      <c r="J277" s="0" t="n">
        <v>35</v>
      </c>
      <c r="K277" s="0" t="inlineStr">
        <is>
          <t>,24],[4,</t>
        </is>
      </c>
      <c r="L277" s="0" t="n">
        <v>35</v>
      </c>
      <c r="M277" s="0" t="inlineStr">
        <is>
          <t>,25],</t>
        </is>
      </c>
    </row>
    <row r="278">
      <c r="B278" s="0">
        <f>CONCATENATE(C277,D277,E277,F277,G277,H277,I277,J277,K277,L277,M277,N277,O277,P277,Q277,R277,S277,T277,U277,V277,W277,X277,Y277,Z277,AA277,AB277,AC277,AD277,AE277,AF277,AG277,AH277,AI277,AJ277,AK277,AL277,AM277,AN277,AO277,AP277,AQ277,AR277,AS277,AT277,AU277,AV277,AW277,AX277,AY277,AZ277,BA277,BB277,BC277,BD277,BE277,BF277,BG277,BH277)</f>
        <v/>
      </c>
    </row>
    <row r="279">
      <c r="A279" s="151" t="inlineStr">
        <is>
          <t xml:space="preserve">[5,5,1],[5,5,2],[5,5,3],[5,6,4],[5,5,5], </t>
        </is>
      </c>
      <c r="B279" s="0">
        <f>CONCATENATE(C278,D278,E278,F278,G278,H278,I278,J278,K278,L278,M278,N278,O278,P278,Q278,R278,S278,T278,U278,V278,W278,X278,Y278,Z278,AA278,AB278,AC278,AD278,AE278,AF278,AG278,AH278,AI278,AJ278,AK278,AL278,AM278,AN278,AO278,AP278,AQ278,AR278,AS278,AT278,AU278,AV278,AW278,AX278,AY278,AZ278,BA278,BB278,BC278,BD278,BE278,BF278,BG278,BH278)</f>
        <v/>
      </c>
      <c r="C279" s="0" t="inlineStr">
        <is>
          <t>[5,</t>
        </is>
      </c>
      <c r="D279" s="0" t="n">
        <v>30</v>
      </c>
      <c r="E279" s="0" t="inlineStr">
        <is>
          <t>,1],[5,</t>
        </is>
      </c>
      <c r="F279" s="0" t="n">
        <v>30</v>
      </c>
      <c r="G279" s="0" t="inlineStr">
        <is>
          <t>,2],[5,</t>
        </is>
      </c>
      <c r="H279" s="0" t="n">
        <v>30</v>
      </c>
      <c r="I279" s="0" t="inlineStr">
        <is>
          <t>,3],[5,</t>
        </is>
      </c>
      <c r="J279" s="0" t="n">
        <v>30</v>
      </c>
      <c r="K279" s="0" t="inlineStr">
        <is>
          <t>,4],[5,</t>
        </is>
      </c>
      <c r="L279" s="0" t="n">
        <v>30</v>
      </c>
      <c r="M279" s="0" t="inlineStr">
        <is>
          <t>,5],</t>
        </is>
      </c>
    </row>
    <row r="280">
      <c r="A280" s="151" t="inlineStr">
        <is>
          <t xml:space="preserve">[5,5,6],[5,5,7],[5,5,8],[5,6,9],[5,5,10], </t>
        </is>
      </c>
      <c r="B280" s="0">
        <f>CONCATENATE(C279,D279,E279,F279,G279,H279,I279,J279,K279,L279,M279,N279,O279,P279,Q279,R279,S279,T279,U279,V279,W279,X279,Y279,Z279,AA279,AB279,AC279,AD279,AE279,AF279,AG279,AH279,AI279,AJ279,AK279,AL279,AM279,AN279,AO279,AP279,AQ279,AR279,AS279,AT279,AU279,AV279,AW279,AX279,AY279,AZ279,BA279,BB279,BC279,BD279,BE279,BF279,BG279,BH279)</f>
        <v/>
      </c>
      <c r="C280" s="0" t="inlineStr">
        <is>
          <t>[5,</t>
        </is>
      </c>
      <c r="D280" s="0" t="n">
        <v>30</v>
      </c>
      <c r="E280" s="0" t="inlineStr">
        <is>
          <t>,6],[5,</t>
        </is>
      </c>
      <c r="F280" s="0" t="n">
        <v>30</v>
      </c>
      <c r="G280" s="0" t="inlineStr">
        <is>
          <t>,7],[5,</t>
        </is>
      </c>
      <c r="H280" s="0" t="n">
        <v>30</v>
      </c>
      <c r="I280" s="0" t="inlineStr">
        <is>
          <t>,8],[5,</t>
        </is>
      </c>
      <c r="J280" s="0" t="n">
        <v>30</v>
      </c>
      <c r="K280" s="0" t="inlineStr">
        <is>
          <t>,9],[5,</t>
        </is>
      </c>
      <c r="L280" s="0" t="n">
        <v>30</v>
      </c>
      <c r="M280" s="0" t="inlineStr">
        <is>
          <t>,10],</t>
        </is>
      </c>
    </row>
    <row r="281">
      <c r="A281" s="151" t="inlineStr">
        <is>
          <t xml:space="preserve">[5,5,11],[5,5,12],[5,0,13],[5,6,14],[5,5,15], </t>
        </is>
      </c>
      <c r="B281" s="0">
        <f>CONCATENATE(C280,D280,E280,F280,G280,H280,I280,J280,K280,L280,M280,N280,O280,P280,Q280,R280,S280,T280,U280,V280,W280,X280,Y280,Z280,AA280,AB280,AC280,AD280,AE280,AF280,AG280,AH280,AI280,AJ280,AK280,AL280,AM280,AN280,AO280,AP280,AQ280,AR280,AS280,AT280,AU280,AV280,AW280,AX280,AY280,AZ280,BA280,BB280,BC280,BD280,BE280,BF280,BG280,BH280)</f>
        <v/>
      </c>
      <c r="C281" s="0" t="inlineStr">
        <is>
          <t>[5,</t>
        </is>
      </c>
      <c r="D281" s="0" t="n">
        <v>30</v>
      </c>
      <c r="E281" s="0" t="inlineStr">
        <is>
          <t>,11],[5,</t>
        </is>
      </c>
      <c r="F281" s="0" t="n">
        <v>30</v>
      </c>
      <c r="G281" s="0" t="inlineStr">
        <is>
          <t>,12],[5,</t>
        </is>
      </c>
      <c r="H281" s="0" t="n">
        <v>0</v>
      </c>
      <c r="I281" s="0" t="inlineStr">
        <is>
          <t>,13],[5,</t>
        </is>
      </c>
      <c r="J281" s="0" t="n">
        <v>30</v>
      </c>
      <c r="K281" s="0" t="inlineStr">
        <is>
          <t>,14],[5,</t>
        </is>
      </c>
      <c r="L281" s="0" t="n">
        <v>30</v>
      </c>
      <c r="M281" s="0" t="inlineStr">
        <is>
          <t>,15],</t>
        </is>
      </c>
    </row>
    <row r="282">
      <c r="A282" s="151" t="inlineStr">
        <is>
          <t xml:space="preserve">[5,5,16],[5,5,17],[5,5,18],[5,6,19],[5,5,20], </t>
        </is>
      </c>
      <c r="B282" s="0">
        <f>CONCATENATE(C281,D281,E281,F281,G281,H281,I281,J281,K281,L281,M281,N281,O281,P281,Q281,R281,S281,T281,U281,V281,W281,X281,Y281,Z281,AA281,AB281,AC281,AD281,AE281,AF281,AG281,AH281,AI281,AJ281,AK281,AL281,AM281,AN281,AO281,AP281,AQ281,AR281,AS281,AT281,AU281,AV281,AW281,AX281,AY281,AZ281,BA281,BB281,BC281,BD281,BE281,BF281,BG281,BH281)</f>
        <v/>
      </c>
      <c r="C282" s="0" t="inlineStr">
        <is>
          <t>[5,</t>
        </is>
      </c>
      <c r="D282" s="0" t="n">
        <v>30</v>
      </c>
      <c r="E282" s="0" t="inlineStr">
        <is>
          <t>,16],[5,</t>
        </is>
      </c>
      <c r="F282" s="0" t="n">
        <v>30</v>
      </c>
      <c r="G282" s="0" t="inlineStr">
        <is>
          <t>,17],[5,</t>
        </is>
      </c>
      <c r="H282" s="0" t="n">
        <v>30</v>
      </c>
      <c r="I282" s="0" t="inlineStr">
        <is>
          <t>,18],[5,</t>
        </is>
      </c>
      <c r="J282" s="0" t="n">
        <v>30</v>
      </c>
      <c r="K282" s="0" t="inlineStr">
        <is>
          <t>,19],[5,</t>
        </is>
      </c>
      <c r="L282" s="0" t="n">
        <v>30</v>
      </c>
      <c r="M282" s="0" t="inlineStr">
        <is>
          <t>,20],</t>
        </is>
      </c>
    </row>
    <row r="283">
      <c r="A283" s="151" t="inlineStr">
        <is>
          <t xml:space="preserve">[5,5,21],[5,5,22],[5,5,23],[5,6,24],[5,5,25], </t>
        </is>
      </c>
      <c r="B283" s="0">
        <f>CONCATENATE(C282,D282,E282,F282,G282,H282,I282,J282,K282,L282,M282,N282,O282,P282,Q282,R282,S282,T282,U282,V282,W282,X282,Y282,Z282,AA282,AB282,AC282,AD282,AE282,AF282,AG282,AH282,AI282,AJ282,AK282,AL282,AM282,AN282,AO282,AP282,AQ282,AR282,AS282,AT282,AU282,AV282,AW282,AX282,AY282,AZ282,BA282,BB282,BC282,BD282,BE282,BF282,BG282,BH282)</f>
        <v/>
      </c>
      <c r="C283" s="0" t="inlineStr">
        <is>
          <t>[5,</t>
        </is>
      </c>
      <c r="D283" s="0" t="n">
        <v>30</v>
      </c>
      <c r="E283" s="0" t="inlineStr">
        <is>
          <t>,21],[5,</t>
        </is>
      </c>
      <c r="F283" s="0" t="n">
        <v>30</v>
      </c>
      <c r="G283" s="0" t="inlineStr">
        <is>
          <t>,22],[5,</t>
        </is>
      </c>
      <c r="H283" s="0" t="n">
        <v>30</v>
      </c>
      <c r="I283" s="0" t="inlineStr">
        <is>
          <t>,23],[5,</t>
        </is>
      </c>
      <c r="J283" s="0" t="n">
        <v>30</v>
      </c>
      <c r="K283" s="0" t="inlineStr">
        <is>
          <t>,24],[5,</t>
        </is>
      </c>
      <c r="L283" s="0" t="n">
        <v>30</v>
      </c>
      <c r="M283" s="0" t="inlineStr">
        <is>
          <t>,25],</t>
        </is>
      </c>
    </row>
    <row r="284">
      <c r="B284" s="0">
        <f>CONCATENATE(C283,D283,E283,F283,G283,H283,I283,J283,K283,L283,M283,N283,O283,P283,Q283,R283,S283,T283,U283,V283,W283,X283,Y283,Z283,AA283,AB283,AC283,AD283,AE283,AF283,AG283,AH283,AI283,AJ283,AK283,AL283,AM283,AN283,AO283,AP283,AQ283,AR283,AS283,AT283,AU283,AV283,AW283,AX283,AY283,AZ283,BA283,BB283,BC283,BD283,BE283,BF283,BG283,BH283)</f>
        <v/>
      </c>
    </row>
    <row r="285">
      <c r="A285" s="151" t="inlineStr">
        <is>
          <t xml:space="preserve">[6,5,1],[6,5,2],[6,5,3],[6,6,4],[6,5,5], </t>
        </is>
      </c>
      <c r="B285" s="0">
        <f>CONCATENATE(C284,D284,E284,F284,G284,H284,I284,J284,K284,L284,M284,N284,O284,P284,Q284,R284,S284,T284,U284,V284,W284,X284,Y284,Z284,AA284,AB284,AC284,AD284,AE284,AF284,AG284,AH284,AI284,AJ284,AK284,AL284,AM284,AN284,AO284,AP284,AQ284,AR284,AS284,AT284,AU284,AV284,AW284,AX284,AY284,AZ284,BA284,BB284,BC284,BD284,BE284,BF284,BG284,BH284)</f>
        <v/>
      </c>
      <c r="C285" s="0" t="inlineStr">
        <is>
          <t>[6,</t>
        </is>
      </c>
      <c r="D285" s="0" t="n">
        <v>25</v>
      </c>
      <c r="E285" s="0" t="inlineStr">
        <is>
          <t>,1],[6,</t>
        </is>
      </c>
      <c r="F285" s="0" t="n">
        <v>25</v>
      </c>
      <c r="G285" s="0" t="inlineStr">
        <is>
          <t>,2],[6,</t>
        </is>
      </c>
      <c r="H285" s="0" t="n">
        <v>25</v>
      </c>
      <c r="I285" s="0" t="inlineStr">
        <is>
          <t>,3],[6,</t>
        </is>
      </c>
      <c r="J285" s="0" t="n">
        <v>25</v>
      </c>
      <c r="K285" s="0" t="inlineStr">
        <is>
          <t>,4],[6,</t>
        </is>
      </c>
      <c r="L285" s="0" t="n">
        <v>25</v>
      </c>
      <c r="M285" s="0" t="inlineStr">
        <is>
          <t>,5],</t>
        </is>
      </c>
    </row>
    <row r="286">
      <c r="A286" s="151" t="inlineStr">
        <is>
          <t xml:space="preserve">[6,5,6],[6,5,7],[6,5,8],[6,6,9],[6,5,10], </t>
        </is>
      </c>
      <c r="B286" s="0">
        <f>CONCATENATE(C285,D285,E285,F285,G285,H285,I285,J285,K285,L285,M285,N285,O285,P285,Q285,R285,S285,T285,U285,V285,W285,X285,Y285,Z285,AA285,AB285,AC285,AD285,AE285,AF285,AG285,AH285,AI285,AJ285,AK285,AL285,AM285,AN285,AO285,AP285,AQ285,AR285,AS285,AT285,AU285,AV285,AW285,AX285,AY285,AZ285,BA285,BB285,BC285,BD285,BE285,BF285,BG285,BH285)</f>
        <v/>
      </c>
      <c r="C286" s="0" t="inlineStr">
        <is>
          <t>[6,</t>
        </is>
      </c>
      <c r="D286" s="0" t="n">
        <v>25</v>
      </c>
      <c r="E286" s="0" t="inlineStr">
        <is>
          <t>,6],[6,</t>
        </is>
      </c>
      <c r="F286" s="0" t="n">
        <v>25</v>
      </c>
      <c r="G286" s="0" t="inlineStr">
        <is>
          <t>,7],[6,</t>
        </is>
      </c>
      <c r="H286" s="0" t="n">
        <v>25</v>
      </c>
      <c r="I286" s="0" t="inlineStr">
        <is>
          <t>,8],[6,</t>
        </is>
      </c>
      <c r="J286" s="0" t="n">
        <v>25</v>
      </c>
      <c r="K286" s="0" t="inlineStr">
        <is>
          <t>,9],[6,</t>
        </is>
      </c>
      <c r="L286" s="0" t="n">
        <v>25</v>
      </c>
      <c r="M286" s="0" t="inlineStr">
        <is>
          <t>,10],</t>
        </is>
      </c>
    </row>
    <row r="287">
      <c r="A287" s="151" t="inlineStr">
        <is>
          <t xml:space="preserve">[6,5,11],[6,5,12],[6,0,13],[6,6,14],[6,5,15], </t>
        </is>
      </c>
      <c r="B287" s="0">
        <f>CONCATENATE(C286,D286,E286,F286,G286,H286,I286,J286,K286,L286,M286,N286,O286,P286,Q286,R286,S286,T286,U286,V286,W286,X286,Y286,Z286,AA286,AB286,AC286,AD286,AE286,AF286,AG286,AH286,AI286,AJ286,AK286,AL286,AM286,AN286,AO286,AP286,AQ286,AR286,AS286,AT286,AU286,AV286,AW286,AX286,AY286,AZ286,BA286,BB286,BC286,BD286,BE286,BF286,BG286,BH286)</f>
        <v/>
      </c>
      <c r="C287" s="0" t="inlineStr">
        <is>
          <t>[6,</t>
        </is>
      </c>
      <c r="D287" s="0" t="n">
        <v>25</v>
      </c>
      <c r="E287" s="0" t="inlineStr">
        <is>
          <t>,11],[6,</t>
        </is>
      </c>
      <c r="F287" s="0" t="n">
        <v>25</v>
      </c>
      <c r="G287" s="0" t="inlineStr">
        <is>
          <t>,12],[6,</t>
        </is>
      </c>
      <c r="H287" s="0" t="n">
        <v>0</v>
      </c>
      <c r="I287" s="0" t="inlineStr">
        <is>
          <t>,13],[6,</t>
        </is>
      </c>
      <c r="J287" s="0" t="n">
        <v>25</v>
      </c>
      <c r="K287" s="0" t="inlineStr">
        <is>
          <t>,14],[6,</t>
        </is>
      </c>
      <c r="L287" s="0" t="n">
        <v>25</v>
      </c>
      <c r="M287" s="0" t="inlineStr">
        <is>
          <t>,15],</t>
        </is>
      </c>
    </row>
    <row r="288">
      <c r="A288" s="151" t="inlineStr">
        <is>
          <t xml:space="preserve">[6,5,16],[6,5,17],[6,5,18],[6,6,19],[6,5,20], </t>
        </is>
      </c>
      <c r="B288" s="0">
        <f>CONCATENATE(C287,D287,E287,F287,G287,H287,I287,J287,K287,L287,M287,N287,O287,P287,Q287,R287,S287,T287,U287,V287,W287,X287,Y287,Z287,AA287,AB287,AC287,AD287,AE287,AF287,AG287,AH287,AI287,AJ287,AK287,AL287,AM287,AN287,AO287,AP287,AQ287,AR287,AS287,AT287,AU287,AV287,AW287,AX287,AY287,AZ287,BA287,BB287,BC287,BD287,BE287,BF287,BG287,BH287)</f>
        <v/>
      </c>
      <c r="C288" s="0" t="inlineStr">
        <is>
          <t>[6,</t>
        </is>
      </c>
      <c r="D288" s="0" t="n">
        <v>25</v>
      </c>
      <c r="E288" s="0" t="inlineStr">
        <is>
          <t>,16],[6,</t>
        </is>
      </c>
      <c r="F288" s="0" t="n">
        <v>25</v>
      </c>
      <c r="G288" s="0" t="inlineStr">
        <is>
          <t>,17],[6,</t>
        </is>
      </c>
      <c r="H288" s="0" t="n">
        <v>25</v>
      </c>
      <c r="I288" s="0" t="inlineStr">
        <is>
          <t>,18],[6,</t>
        </is>
      </c>
      <c r="J288" s="0" t="n">
        <v>25</v>
      </c>
      <c r="K288" s="0" t="inlineStr">
        <is>
          <t>,19],[6,</t>
        </is>
      </c>
      <c r="L288" s="0" t="n">
        <v>25</v>
      </c>
      <c r="M288" s="0" t="inlineStr">
        <is>
          <t>,20],</t>
        </is>
      </c>
    </row>
    <row r="289">
      <c r="A289" s="151" t="inlineStr">
        <is>
          <t xml:space="preserve">[6,5,21],[6,5,22],[6,5,23],[6,6,24],[6,5,25], </t>
        </is>
      </c>
      <c r="B289" s="0">
        <f>CONCATENATE(C288,D288,E288,F288,G288,H288,I288,J288,K288,L288,M288,N288,O288,P288,Q288,R288,S288,T288,U288,V288,W288,X288,Y288,Z288,AA288,AB288,AC288,AD288,AE288,AF288,AG288,AH288,AI288,AJ288,AK288,AL288,AM288,AN288,AO288,AP288,AQ288,AR288,AS288,AT288,AU288,AV288,AW288,AX288,AY288,AZ288,BA288,BB288,BC288,BD288,BE288,BF288,BG288,BH288)</f>
        <v/>
      </c>
      <c r="C289" s="0" t="inlineStr">
        <is>
          <t>[6,</t>
        </is>
      </c>
      <c r="D289" s="0" t="n">
        <v>25</v>
      </c>
      <c r="E289" s="0" t="inlineStr">
        <is>
          <t>,21],[6,</t>
        </is>
      </c>
      <c r="F289" s="0" t="n">
        <v>25</v>
      </c>
      <c r="G289" s="0" t="inlineStr">
        <is>
          <t>,22],[6,</t>
        </is>
      </c>
      <c r="H289" s="0" t="n">
        <v>25</v>
      </c>
      <c r="I289" s="0" t="inlineStr">
        <is>
          <t>,23],[6,</t>
        </is>
      </c>
      <c r="J289" s="0" t="n">
        <v>25</v>
      </c>
      <c r="K289" s="0" t="inlineStr">
        <is>
          <t>,24],[6,</t>
        </is>
      </c>
      <c r="L289" s="0" t="n">
        <v>25</v>
      </c>
      <c r="M289" s="0" t="inlineStr">
        <is>
          <t>,25],</t>
        </is>
      </c>
    </row>
    <row r="290">
      <c r="B290" s="0">
        <f>CONCATENATE(C289,D289,E289,F289,G289,H289,I289,J289,K289,L289,M289,N289,O289,P289,Q289,R289,S289,T289,U289,V289,W289,X289,Y289,Z289,AA289,AB289,AC289,AD289,AE289,AF289,AG289,AH289,AI289,AJ289,AK289,AL289,AM289,AN289,AO289,AP289,AQ289,AR289,AS289,AT289,AU289,AV289,AW289,AX289,AY289,AZ289,BA289,BB289,BC289,BD289,BE289,BF289,BG289,BH289)</f>
        <v/>
      </c>
    </row>
    <row r="291">
      <c r="A291" s="151" t="inlineStr">
        <is>
          <t xml:space="preserve">[7,5,1],[7,5,2],[7,5,3],[7,6,4],[7,5,5], </t>
        </is>
      </c>
      <c r="B291" s="0">
        <f>CONCATENATE(C290,D290,E290,F290,G290,H290,I290,J290,K290,L290,M290,N290,O290,P290,Q290,R290,S290,T290,U290,V290,W290,X290,Y290,Z290,AA290,AB290,AC290,AD290,AE290,AF290,AG290,AH290,AI290,AJ290,AK290,AL290,AM290,AN290,AO290,AP290,AQ290,AR290,AS290,AT290,AU290,AV290,AW290,AX290,AY290,AZ290,BA290,BB290,BC290,BD290,BE290,BF290,BG290,BH290)</f>
        <v/>
      </c>
      <c r="C291" s="0" t="inlineStr">
        <is>
          <t>[7,</t>
        </is>
      </c>
      <c r="D291" s="0" t="n">
        <v>22</v>
      </c>
      <c r="E291" s="0" t="inlineStr">
        <is>
          <t>,1],[7,</t>
        </is>
      </c>
      <c r="F291" s="0" t="n">
        <v>22</v>
      </c>
      <c r="G291" s="0" t="inlineStr">
        <is>
          <t>,2],[7,</t>
        </is>
      </c>
      <c r="H291" s="0" t="n">
        <v>22</v>
      </c>
      <c r="I291" s="0" t="inlineStr">
        <is>
          <t>,3],[7,</t>
        </is>
      </c>
      <c r="J291" s="0" t="n">
        <v>22</v>
      </c>
      <c r="K291" s="0" t="inlineStr">
        <is>
          <t>,4],[7,</t>
        </is>
      </c>
      <c r="L291" s="0" t="n">
        <v>22</v>
      </c>
      <c r="M291" s="0" t="inlineStr">
        <is>
          <t>,5],</t>
        </is>
      </c>
    </row>
    <row r="292">
      <c r="A292" s="151" t="inlineStr">
        <is>
          <t xml:space="preserve">[7,5,6],[7,5,7],[7,5,8],[7,6,9],[7,5,10], </t>
        </is>
      </c>
      <c r="B292" s="0">
        <f>CONCATENATE(C291,D291,E291,F291,G291,H291,I291,J291,K291,L291,M291,N291,O291,P291,Q291,R291,S291,T291,U291,V291,W291,X291,Y291,Z291,AA291,AB291,AC291,AD291,AE291,AF291,AG291,AH291,AI291,AJ291,AK291,AL291,AM291,AN291,AO291,AP291,AQ291,AR291,AS291,AT291,AU291,AV291,AW291,AX291,AY291,AZ291,BA291,BB291,BC291,BD291,BE291,BF291,BG291,BH291)</f>
        <v/>
      </c>
      <c r="C292" s="0" t="inlineStr">
        <is>
          <t>[7,</t>
        </is>
      </c>
      <c r="D292" s="0" t="n">
        <v>22</v>
      </c>
      <c r="E292" s="0" t="inlineStr">
        <is>
          <t>,6],[7,</t>
        </is>
      </c>
      <c r="F292" s="0" t="n">
        <v>22</v>
      </c>
      <c r="G292" s="0" t="inlineStr">
        <is>
          <t>,7],[7,</t>
        </is>
      </c>
      <c r="H292" s="0" t="n">
        <v>22</v>
      </c>
      <c r="I292" s="0" t="inlineStr">
        <is>
          <t>,8],[7,</t>
        </is>
      </c>
      <c r="J292" s="0" t="n">
        <v>22</v>
      </c>
      <c r="K292" s="0" t="inlineStr">
        <is>
          <t>,9],[7,</t>
        </is>
      </c>
      <c r="L292" s="0" t="n">
        <v>22</v>
      </c>
      <c r="M292" s="0" t="inlineStr">
        <is>
          <t>,10],</t>
        </is>
      </c>
    </row>
    <row r="293">
      <c r="A293" s="151" t="inlineStr">
        <is>
          <t xml:space="preserve">[7,5,11],[7,5,12],[7,0,13],[7,6,14],[7,5,15], </t>
        </is>
      </c>
      <c r="B293" s="0">
        <f>CONCATENATE(C292,D292,E292,F292,G292,H292,I292,J292,K292,L292,M292,N292,O292,P292,Q292,R292,S292,T292,U292,V292,W292,X292,Y292,Z292,AA292,AB292,AC292,AD292,AE292,AF292,AG292,AH292,AI292,AJ292,AK292,AL292,AM292,AN292,AO292,AP292,AQ292,AR292,AS292,AT292,AU292,AV292,AW292,AX292,AY292,AZ292,BA292,BB292,BC292,BD292,BE292,BF292,BG292,BH292)</f>
        <v/>
      </c>
      <c r="C293" s="0" t="inlineStr">
        <is>
          <t>[7,</t>
        </is>
      </c>
      <c r="D293" s="0" t="n">
        <v>22</v>
      </c>
      <c r="E293" s="0" t="inlineStr">
        <is>
          <t>,11],[7,</t>
        </is>
      </c>
      <c r="F293" s="0" t="n">
        <v>22</v>
      </c>
      <c r="G293" s="0" t="inlineStr">
        <is>
          <t>,12],[7,</t>
        </is>
      </c>
      <c r="H293" s="0" t="n">
        <v>0</v>
      </c>
      <c r="I293" s="0" t="inlineStr">
        <is>
          <t>,13],[7,</t>
        </is>
      </c>
      <c r="J293" s="0" t="n">
        <v>22</v>
      </c>
      <c r="K293" s="0" t="inlineStr">
        <is>
          <t>,14],[7,</t>
        </is>
      </c>
      <c r="L293" s="0" t="n">
        <v>22</v>
      </c>
      <c r="M293" s="0" t="inlineStr">
        <is>
          <t>,15],</t>
        </is>
      </c>
    </row>
    <row r="294">
      <c r="A294" s="151" t="inlineStr">
        <is>
          <t xml:space="preserve">[7,5,16],[7,5,17],[7,5,18],[7,6,19],[7,5,20], </t>
        </is>
      </c>
      <c r="B294" s="0">
        <f>CONCATENATE(C293,D293,E293,F293,G293,H293,I293,J293,K293,L293,M293,N293,O293,P293,Q293,R293,S293,T293,U293,V293,W293,X293,Y293,Z293,AA293,AB293,AC293,AD293,AE293,AF293,AG293,AH293,AI293,AJ293,AK293,AL293,AM293,AN293,AO293,AP293,AQ293,AR293,AS293,AT293,AU293,AV293,AW293,AX293,AY293,AZ293,BA293,BB293,BC293,BD293,BE293,BF293,BG293,BH293)</f>
        <v/>
      </c>
      <c r="C294" s="0" t="inlineStr">
        <is>
          <t>[7,</t>
        </is>
      </c>
      <c r="D294" s="0" t="n">
        <v>22</v>
      </c>
      <c r="E294" s="0" t="inlineStr">
        <is>
          <t>,16],[7,</t>
        </is>
      </c>
      <c r="F294" s="0" t="n">
        <v>22</v>
      </c>
      <c r="G294" s="0" t="inlineStr">
        <is>
          <t>,17],[7,</t>
        </is>
      </c>
      <c r="H294" s="0" t="n">
        <v>22</v>
      </c>
      <c r="I294" s="0" t="inlineStr">
        <is>
          <t>,18],[7,</t>
        </is>
      </c>
      <c r="J294" s="0" t="n">
        <v>22</v>
      </c>
      <c r="K294" s="0" t="inlineStr">
        <is>
          <t>,19],[7,</t>
        </is>
      </c>
      <c r="L294" s="0" t="n">
        <v>22</v>
      </c>
      <c r="M294" s="0" t="inlineStr">
        <is>
          <t>,20],</t>
        </is>
      </c>
    </row>
    <row r="295">
      <c r="A295" s="151" t="inlineStr">
        <is>
          <t xml:space="preserve">[7,5,21],[7,5,22],[7,5,23],[7,6,24],[7,5,25], </t>
        </is>
      </c>
      <c r="B295" s="0">
        <f>CONCATENATE(C294,D294,E294,F294,G294,H294,I294,J294,K294,L294,M294,N294,O294,P294,Q294,R294,S294,T294,U294,V294,W294,X294,Y294,Z294,AA294,AB294,AC294,AD294,AE294,AF294,AG294,AH294,AI294,AJ294,AK294,AL294,AM294,AN294,AO294,AP294,AQ294,AR294,AS294,AT294,AU294,AV294,AW294,AX294,AY294,AZ294,BA294,BB294,BC294,BD294,BE294,BF294,BG294,BH294)</f>
        <v/>
      </c>
      <c r="C295" s="0" t="inlineStr">
        <is>
          <t>[7,</t>
        </is>
      </c>
      <c r="D295" s="0" t="n">
        <v>22</v>
      </c>
      <c r="E295" s="0" t="inlineStr">
        <is>
          <t>,21],[7,</t>
        </is>
      </c>
      <c r="F295" s="0" t="n">
        <v>22</v>
      </c>
      <c r="G295" s="0" t="inlineStr">
        <is>
          <t>,22],[7,</t>
        </is>
      </c>
      <c r="H295" s="0" t="n">
        <v>22</v>
      </c>
      <c r="I295" s="0" t="inlineStr">
        <is>
          <t>,23],[7,</t>
        </is>
      </c>
      <c r="J295" s="0" t="n">
        <v>22</v>
      </c>
      <c r="K295" s="0" t="inlineStr">
        <is>
          <t>,24],[7,</t>
        </is>
      </c>
      <c r="L295" s="0" t="n">
        <v>22</v>
      </c>
      <c r="M295" s="0" t="inlineStr">
        <is>
          <t>,25],</t>
        </is>
      </c>
    </row>
    <row r="296">
      <c r="B296" s="0">
        <f>CONCATENATE(C295,D295,E295,F295,G295,H295,I295,J295,K295,L295,M295,N295,O295,P295,Q295,R295,S295,T295,U295,V295,W295,X295,Y295,Z295,AA295,AB295,AC295,AD295,AE295,AF295,AG295,AH295,AI295,AJ295,AK295,AL295,AM295,AN295,AO295,AP295,AQ295,AR295,AS295,AT295,AU295,AV295,AW295,AX295,AY295,AZ295,BA295,BB295,BC295,BD295,BE295,BF295,BG295,BH295)</f>
        <v/>
      </c>
    </row>
    <row r="297">
      <c r="A297" s="151" t="inlineStr">
        <is>
          <t xml:space="preserve">[8,5,1],[8,5,2],[8,5,3],[8,6,4],[8,5,5], </t>
        </is>
      </c>
      <c r="B297" s="0">
        <f>CONCATENATE(C296,D296,E296,F296,G296,H296,I296,J296,K296,L296,M296,N296,O296,P296,Q296,R296,S296,T296,U296,V296,W296,X296,Y296,Z296,AA296,AB296,AC296,AD296,AE296,AF296,AG296,AH296,AI296,AJ296,AK296,AL296,AM296,AN296,AO296,AP296,AQ296,AR296,AS296,AT296,AU296,AV296,AW296,AX296,AY296,AZ296,BA296,BB296,BC296,BD296,BE296,BF296,BG296,BH296)</f>
        <v/>
      </c>
      <c r="C297" s="0" t="inlineStr">
        <is>
          <t>[8,</t>
        </is>
      </c>
      <c r="D297" s="0" t="n">
        <v>18</v>
      </c>
      <c r="E297" s="0" t="inlineStr">
        <is>
          <t>,1],[8,</t>
        </is>
      </c>
      <c r="F297" s="0" t="n">
        <v>18</v>
      </c>
      <c r="G297" s="0" t="inlineStr">
        <is>
          <t>,2],[8,</t>
        </is>
      </c>
      <c r="H297" s="0" t="n">
        <v>18</v>
      </c>
      <c r="I297" s="0" t="inlineStr">
        <is>
          <t>,3],[8,</t>
        </is>
      </c>
      <c r="J297" s="0" t="n">
        <v>18</v>
      </c>
      <c r="K297" s="0" t="inlineStr">
        <is>
          <t>,4],[8,</t>
        </is>
      </c>
      <c r="L297" s="0" t="n">
        <v>18</v>
      </c>
      <c r="M297" s="0" t="inlineStr">
        <is>
          <t>,5],</t>
        </is>
      </c>
    </row>
    <row r="298">
      <c r="A298" s="151" t="inlineStr">
        <is>
          <t xml:space="preserve">[8,5,6],[8,5,7],[8,5,8],[8,6,9],[8,5,10], </t>
        </is>
      </c>
      <c r="B298" s="0">
        <f>CONCATENATE(C297,D297,E297,F297,G297,H297,I297,J297,K297,L297,M297,N297,O297,P297,Q297,R297,S297,T297,U297,V297,W297,X297,Y297,Z297,AA297,AB297,AC297,AD297,AE297,AF297,AG297,AH297,AI297,AJ297,AK297,AL297,AM297,AN297,AO297,AP297,AQ297,AR297,AS297,AT297,AU297,AV297,AW297,AX297,AY297,AZ297,BA297,BB297,BC297,BD297,BE297,BF297,BG297,BH297)</f>
        <v/>
      </c>
      <c r="C298" s="0" t="inlineStr">
        <is>
          <t>[8,</t>
        </is>
      </c>
      <c r="D298" s="0" t="n">
        <v>18</v>
      </c>
      <c r="E298" s="0" t="inlineStr">
        <is>
          <t>,6],[8,</t>
        </is>
      </c>
      <c r="F298" s="0" t="n">
        <v>18</v>
      </c>
      <c r="G298" s="0" t="inlineStr">
        <is>
          <t>,7],[8,</t>
        </is>
      </c>
      <c r="H298" s="0" t="n">
        <v>18</v>
      </c>
      <c r="I298" s="0" t="inlineStr">
        <is>
          <t>,8],[8,</t>
        </is>
      </c>
      <c r="J298" s="0" t="n">
        <v>18</v>
      </c>
      <c r="K298" s="0" t="inlineStr">
        <is>
          <t>,9],[8,</t>
        </is>
      </c>
      <c r="L298" s="0" t="n">
        <v>18</v>
      </c>
      <c r="M298" s="0" t="inlineStr">
        <is>
          <t>,10],</t>
        </is>
      </c>
    </row>
    <row r="299">
      <c r="A299" s="151" t="inlineStr">
        <is>
          <t xml:space="preserve">[8,5,11],[8,5,12],[8,0,13],[8,6,14],[8,5,15], </t>
        </is>
      </c>
      <c r="B299" s="0">
        <f>CONCATENATE(C298,D298,E298,F298,G298,H298,I298,J298,K298,L298,M298,N298,O298,P298,Q298,R298,S298,T298,U298,V298,W298,X298,Y298,Z298,AA298,AB298,AC298,AD298,AE298,AF298,AG298,AH298,AI298,AJ298,AK298,AL298,AM298,AN298,AO298,AP298,AQ298,AR298,AS298,AT298,AU298,AV298,AW298,AX298,AY298,AZ298,BA298,BB298,BC298,BD298,BE298,BF298,BG298,BH298)</f>
        <v/>
      </c>
      <c r="C299" s="0" t="inlineStr">
        <is>
          <t>[8,</t>
        </is>
      </c>
      <c r="D299" s="0" t="n">
        <v>18</v>
      </c>
      <c r="E299" s="0" t="inlineStr">
        <is>
          <t>,11],[8,</t>
        </is>
      </c>
      <c r="F299" s="0" t="n">
        <v>18</v>
      </c>
      <c r="G299" s="0" t="inlineStr">
        <is>
          <t>,12],[8,</t>
        </is>
      </c>
      <c r="H299" s="0" t="n">
        <v>0</v>
      </c>
      <c r="I299" s="0" t="inlineStr">
        <is>
          <t>,13],[8,</t>
        </is>
      </c>
      <c r="J299" s="0" t="n">
        <v>18</v>
      </c>
      <c r="K299" s="0" t="inlineStr">
        <is>
          <t>,14],[8,</t>
        </is>
      </c>
      <c r="L299" s="0" t="n">
        <v>18</v>
      </c>
      <c r="M299" s="0" t="inlineStr">
        <is>
          <t>,15],</t>
        </is>
      </c>
    </row>
    <row r="300">
      <c r="A300" s="151" t="inlineStr">
        <is>
          <t xml:space="preserve">[8,5,16],[8,5,17],[8,5,18],[8,6,19],[8,5,20], </t>
        </is>
      </c>
      <c r="B300" s="0">
        <f>CONCATENATE(C299,D299,E299,F299,G299,H299,I299,J299,K299,L299,M299,N299,O299,P299,Q299,R299,S299,T299,U299,V299,W299,X299,Y299,Z299,AA299,AB299,AC299,AD299,AE299,AF299,AG299,AH299,AI299,AJ299,AK299,AL299,AM299,AN299,AO299,AP299,AQ299,AR299,AS299,AT299,AU299,AV299,AW299,AX299,AY299,AZ299,BA299,BB299,BC299,BD299,BE299,BF299,BG299,BH299)</f>
        <v/>
      </c>
      <c r="C300" s="0" t="inlineStr">
        <is>
          <t>[8,</t>
        </is>
      </c>
      <c r="D300" s="0" t="n">
        <v>18</v>
      </c>
      <c r="E300" s="0" t="inlineStr">
        <is>
          <t>,16],[8,</t>
        </is>
      </c>
      <c r="F300" s="0" t="n">
        <v>18</v>
      </c>
      <c r="G300" s="0" t="inlineStr">
        <is>
          <t>,17],[8,</t>
        </is>
      </c>
      <c r="H300" s="0" t="n">
        <v>18</v>
      </c>
      <c r="I300" s="0" t="inlineStr">
        <is>
          <t>,18],[8,</t>
        </is>
      </c>
      <c r="J300" s="0" t="n">
        <v>18</v>
      </c>
      <c r="K300" s="0" t="inlineStr">
        <is>
          <t>,19],[8,</t>
        </is>
      </c>
      <c r="L300" s="0" t="n">
        <v>18</v>
      </c>
      <c r="M300" s="0" t="inlineStr">
        <is>
          <t>,20],</t>
        </is>
      </c>
    </row>
    <row r="301">
      <c r="A301" s="151" t="inlineStr">
        <is>
          <t xml:space="preserve">[8,5,21],[8,5,22],[8,5,23],[8,6,24],[8,5,25] </t>
        </is>
      </c>
      <c r="B301" s="0">
        <f>CONCATENATE(C300,D300,E300,F300,G300,H300,I300,J300,K300,L300,M300,N300,O300,P300,Q300,R300,S300,T300,U300,V300,W300,X300,Y300,Z300,AA300,AB300,AC300,AD300,AE300,AF300,AG300,AH300,AI300,AJ300,AK300,AL300,AM300,AN300,AO300,AP300,AQ300,AR300,AS300,AT300,AU300,AV300,AW300,AX300,AY300,AZ300,BA300,BB300,BC300,BD300,BE300,BF300,BG300,BH300)</f>
        <v/>
      </c>
      <c r="C301" s="0" t="inlineStr">
        <is>
          <t>[8,</t>
        </is>
      </c>
      <c r="D301" s="0" t="n">
        <v>18</v>
      </c>
      <c r="E301" s="0" t="inlineStr">
        <is>
          <t>,21],[8,</t>
        </is>
      </c>
      <c r="F301" s="0" t="n">
        <v>18</v>
      </c>
      <c r="G301" s="0" t="inlineStr">
        <is>
          <t>,22],[8,</t>
        </is>
      </c>
      <c r="H301" s="0" t="n">
        <v>18</v>
      </c>
      <c r="I301" s="0" t="inlineStr">
        <is>
          <t>,23],[8,</t>
        </is>
      </c>
      <c r="J301" s="0" t="n">
        <v>18</v>
      </c>
      <c r="K301" s="0" t="inlineStr">
        <is>
          <t>,24],[8,</t>
        </is>
      </c>
      <c r="L301" s="0" t="n">
        <v>18</v>
      </c>
      <c r="M301" s="0" t="inlineStr">
        <is>
          <t>,25],</t>
        </is>
      </c>
    </row>
    <row r="302">
      <c r="A302" s="151" t="inlineStr">
        <is>
          <t xml:space="preserve">], </t>
        </is>
      </c>
      <c r="B302" s="0">
        <f>CONCATENATE(C301,D301,E301,F301,G301,H301,I301,J301,K301,L301,M301,N301,O301,P301,Q301,R301,S301,T301,U301,V301,W301,X301,Y301,Z301,AA301,AB301,AC301,AD301,AE301,AF301,AG301,AH301,AI301,AJ301,AK301,AL301,AM301,AN301,AO301,AP301,AQ301,AR301,AS301,AT301,AU301,AV301,AW301,AX301,AY301,AZ301,BA301,BB301,BC301,BD301,BE301,BF301,BG301,BH301)</f>
        <v/>
      </c>
      <c r="C302" s="0" t="inlineStr">
        <is>
          <t xml:space="preserve">], </t>
        </is>
      </c>
    </row>
    <row r="303">
      <c r="A303" s="151" t="inlineStr">
        <is>
          <t xml:space="preserve">[ </t>
        </is>
      </c>
      <c r="B303" s="0">
        <f>CONCATENATE(C302,D302,E302,F302,G302,H302,I302,J302,K302,L302,M302,N302,O302,P302,Q302,R302,S302,T302,U302,V302,W302,X302,Y302,Z302,AA302,AB302,AC302,AD302,AE302,AF302,AG302,AH302,AI302,AJ302,AK302,AL302,AM302,AN302,AO302,AP302,AQ302,AR302,AS302,AT302,AU302,AV302,AW302,AX302,AY302,AZ302,BA302,BB302,BC302,BD302,BE302,BF302,BG302,BH302)</f>
        <v/>
      </c>
      <c r="C303" s="0" t="inlineStr">
        <is>
          <t xml:space="preserve">[ </t>
        </is>
      </c>
    </row>
    <row r="304">
      <c r="A304" s="151" t="inlineStr">
        <is>
          <t xml:space="preserve">[1,5,1],[1,5,2],[1,5,3],[1,6,4],[1,5,5], </t>
        </is>
      </c>
      <c r="B304" s="0">
        <f>CONCATENATE(C303,D303,E303,F303,G303,H303,I303,J303,K303,L303,M303,N303,O303,P303,Q303,R303,S303,T303,U303,V303,W303,X303,Y303,Z303,AA303,AB303,AC303,AD303,AE303,AF303,AG303,AH303,AI303,AJ303,AK303,AL303,AM303,AN303,AO303,AP303,AQ303,AR303,AS303,AT303,AU303,AV303,AW303,AX303,AY303,AZ303,BA303,BB303,BC303,BD303,BE303,BF303,BG303,BH303)</f>
        <v/>
      </c>
      <c r="C304" s="0" t="inlineStr">
        <is>
          <t>[1,</t>
        </is>
      </c>
      <c r="D304" s="0" t="n">
        <v>94</v>
      </c>
      <c r="E304" s="0" t="inlineStr">
        <is>
          <t>,1],[1,</t>
        </is>
      </c>
      <c r="F304" s="0" t="n">
        <v>94</v>
      </c>
      <c r="G304" s="0" t="inlineStr">
        <is>
          <t>,2],[1,</t>
        </is>
      </c>
      <c r="H304" s="0" t="n">
        <v>94</v>
      </c>
      <c r="I304" s="0" t="inlineStr">
        <is>
          <t>,3],[1,</t>
        </is>
      </c>
      <c r="J304" s="0" t="n">
        <v>94</v>
      </c>
      <c r="K304" s="0" t="inlineStr">
        <is>
          <t>,4],[1,</t>
        </is>
      </c>
      <c r="L304" s="0" t="n">
        <v>94</v>
      </c>
      <c r="M304" s="0" t="inlineStr">
        <is>
          <t>,5],</t>
        </is>
      </c>
    </row>
    <row r="305">
      <c r="A305" s="151" t="inlineStr">
        <is>
          <t xml:space="preserve">[1,5,6],[1,5,7],[1,5,8],[1,6,9],[1,5,10], </t>
        </is>
      </c>
      <c r="B305" s="0">
        <f>CONCATENATE(C304,D304,E304,F304,G304,H304,I304,J304,K304,L304,M304,N304,O304,P304,Q304,R304,S304,T304,U304,V304,W304,X304,Y304,Z304,AA304,AB304,AC304,AD304,AE304,AF304,AG304,AH304,AI304,AJ304,AK304,AL304,AM304,AN304,AO304,AP304,AQ304,AR304,AS304,AT304,AU304,AV304,AW304,AX304,AY304,AZ304,BA304,BB304,BC304,BD304,BE304,BF304,BG304,BH304)</f>
        <v/>
      </c>
      <c r="C305" s="0" t="inlineStr">
        <is>
          <t>[1,</t>
        </is>
      </c>
      <c r="D305" s="0" t="n">
        <v>94</v>
      </c>
      <c r="E305" s="0" t="inlineStr">
        <is>
          <t>,6],[1,</t>
        </is>
      </c>
      <c r="F305" s="0" t="n">
        <v>94</v>
      </c>
      <c r="G305" s="0" t="inlineStr">
        <is>
          <t>,7],[1,</t>
        </is>
      </c>
      <c r="H305" s="0" t="n">
        <v>94</v>
      </c>
      <c r="I305" s="0" t="inlineStr">
        <is>
          <t>,8],[1,</t>
        </is>
      </c>
      <c r="J305" s="0" t="n">
        <v>94</v>
      </c>
      <c r="K305" s="0" t="inlineStr">
        <is>
          <t>,9],[1,</t>
        </is>
      </c>
      <c r="L305" s="0" t="n">
        <v>94</v>
      </c>
      <c r="M305" s="0" t="inlineStr">
        <is>
          <t>,10],</t>
        </is>
      </c>
    </row>
    <row r="306">
      <c r="A306" s="151" t="inlineStr">
        <is>
          <t xml:space="preserve">[1,5,11],[1,5,12],[1,0,13],[1,6,14],[1,5,15], </t>
        </is>
      </c>
      <c r="B306" s="0">
        <f>CONCATENATE(C305,D305,E305,F305,G305,H305,I305,J305,K305,L305,M305,N305,O305,P305,Q305,R305,S305,T305,U305,V305,W305,X305,Y305,Z305,AA305,AB305,AC305,AD305,AE305,AF305,AG305,AH305,AI305,AJ305,AK305,AL305,AM305,AN305,AO305,AP305,AQ305,AR305,AS305,AT305,AU305,AV305,AW305,AX305,AY305,AZ305,BA305,BB305,BC305,BD305,BE305,BF305,BG305,BH305)</f>
        <v/>
      </c>
      <c r="C306" s="0" t="inlineStr">
        <is>
          <t>[1,</t>
        </is>
      </c>
      <c r="D306" s="0" t="n">
        <v>94</v>
      </c>
      <c r="E306" s="0" t="inlineStr">
        <is>
          <t>,11],[1,</t>
        </is>
      </c>
      <c r="F306" s="0" t="n">
        <v>94</v>
      </c>
      <c r="G306" s="0" t="inlineStr">
        <is>
          <t>,12],[1,</t>
        </is>
      </c>
      <c r="H306" s="0" t="n">
        <v>0</v>
      </c>
      <c r="I306" s="0" t="inlineStr">
        <is>
          <t>,13],[1,</t>
        </is>
      </c>
      <c r="J306" s="0" t="n">
        <v>94</v>
      </c>
      <c r="K306" s="0" t="inlineStr">
        <is>
          <t>,14],[1,</t>
        </is>
      </c>
      <c r="L306" s="0" t="n">
        <v>94</v>
      </c>
      <c r="M306" s="0" t="inlineStr">
        <is>
          <t>,15],</t>
        </is>
      </c>
    </row>
    <row r="307">
      <c r="A307" s="151" t="inlineStr">
        <is>
          <t xml:space="preserve">[1,5,16],[1,5,17],[1,5,18],[1,6,19],[1,5,20], </t>
        </is>
      </c>
      <c r="B307" s="0">
        <f>CONCATENATE(C306,D306,E306,F306,G306,H306,I306,J306,K306,L306,M306,N306,O306,P306,Q306,R306,S306,T306,U306,V306,W306,X306,Y306,Z306,AA306,AB306,AC306,AD306,AE306,AF306,AG306,AH306,AI306,AJ306,AK306,AL306,AM306,AN306,AO306,AP306,AQ306,AR306,AS306,AT306,AU306,AV306,AW306,AX306,AY306,AZ306,BA306,BB306,BC306,BD306,BE306,BF306,BG306,BH306)</f>
        <v/>
      </c>
      <c r="C307" s="0" t="inlineStr">
        <is>
          <t>[1,</t>
        </is>
      </c>
      <c r="D307" s="0" t="n">
        <v>94</v>
      </c>
      <c r="E307" s="0" t="inlineStr">
        <is>
          <t>,16],[1,</t>
        </is>
      </c>
      <c r="F307" s="0" t="n">
        <v>94</v>
      </c>
      <c r="G307" s="0" t="inlineStr">
        <is>
          <t>,17],[1,</t>
        </is>
      </c>
      <c r="H307" s="0" t="n">
        <v>94</v>
      </c>
      <c r="I307" s="0" t="inlineStr">
        <is>
          <t>,18],[1,</t>
        </is>
      </c>
      <c r="J307" s="0" t="n">
        <v>94</v>
      </c>
      <c r="K307" s="0" t="inlineStr">
        <is>
          <t>,19],[1,</t>
        </is>
      </c>
      <c r="L307" s="0" t="n">
        <v>94</v>
      </c>
      <c r="M307" s="0" t="inlineStr">
        <is>
          <t>,20],</t>
        </is>
      </c>
    </row>
    <row r="308">
      <c r="A308" s="151" t="inlineStr">
        <is>
          <t xml:space="preserve">[1,5,21],[1,5,22],[1,5,23],[1,6,24],[1,5,25], </t>
        </is>
      </c>
      <c r="B308" s="0">
        <f>CONCATENATE(C307,D307,E307,F307,G307,H307,I307,J307,K307,L307,M307,N307,O307,P307,Q307,R307,S307,T307,U307,V307,W307,X307,Y307,Z307,AA307,AB307,AC307,AD307,AE307,AF307,AG307,AH307,AI307,AJ307,AK307,AL307,AM307,AN307,AO307,AP307,AQ307,AR307,AS307,AT307,AU307,AV307,AW307,AX307,AY307,AZ307,BA307,BB307,BC307,BD307,BE307,BF307,BG307,BH307)</f>
        <v/>
      </c>
      <c r="C308" s="0" t="inlineStr">
        <is>
          <t>[1,</t>
        </is>
      </c>
      <c r="D308" s="0" t="n">
        <v>94</v>
      </c>
      <c r="E308" s="0" t="inlineStr">
        <is>
          <t>,21],[1,</t>
        </is>
      </c>
      <c r="F308" s="0" t="n">
        <v>94</v>
      </c>
      <c r="G308" s="0" t="inlineStr">
        <is>
          <t>,22],[1,</t>
        </is>
      </c>
      <c r="H308" s="0" t="n">
        <v>94</v>
      </c>
      <c r="I308" s="0" t="inlineStr">
        <is>
          <t>,23],[1,</t>
        </is>
      </c>
      <c r="J308" s="0" t="n">
        <v>94</v>
      </c>
      <c r="K308" s="0" t="inlineStr">
        <is>
          <t>,24],[1,</t>
        </is>
      </c>
      <c r="L308" s="0" t="n">
        <v>94</v>
      </c>
      <c r="M308" s="0" t="inlineStr">
        <is>
          <t>,25],</t>
        </is>
      </c>
    </row>
    <row r="309">
      <c r="B309" s="0">
        <f>CONCATENATE(C308,D308,E308,F308,G308,H308,I308,J308,K308,L308,M308,N308,O308,P308,Q308,R308,S308,T308,U308,V308,W308,X308,Y308,Z308,AA308,AB308,AC308,AD308,AE308,AF308,AG308,AH308,AI308,AJ308,AK308,AL308,AM308,AN308,AO308,AP308,AQ308,AR308,AS308,AT308,AU308,AV308,AW308,AX308,AY308,AZ308,BA308,BB308,BC308,BD308,BE308,BF308,BG308,BH308)</f>
        <v/>
      </c>
    </row>
    <row r="310">
      <c r="A310" s="151" t="inlineStr">
        <is>
          <t xml:space="preserve">[2,5,1],[2,5,2],[2,5,3],[2,6,4],[2,5,5], </t>
        </is>
      </c>
      <c r="B310" s="0">
        <f>CONCATENATE(C309,D309,E309,F309,G309,H309,I309,J309,K309,L309,M309,N309,O309,P309,Q309,R309,S309,T309,U309,V309,W309,X309,Y309,Z309,AA309,AB309,AC309,AD309,AE309,AF309,AG309,AH309,AI309,AJ309,AK309,AL309,AM309,AN309,AO309,AP309,AQ309,AR309,AS309,AT309,AU309,AV309,AW309,AX309,AY309,AZ309,BA309,BB309,BC309,BD309,BE309,BF309,BG309,BH309)</f>
        <v/>
      </c>
      <c r="C310" s="0" t="inlineStr">
        <is>
          <t>[2,</t>
        </is>
      </c>
      <c r="D310" s="0" t="n">
        <v>536</v>
      </c>
      <c r="E310" s="0" t="inlineStr">
        <is>
          <t>,1],[2,</t>
        </is>
      </c>
      <c r="F310" s="0" t="n">
        <v>536</v>
      </c>
      <c r="G310" s="0" t="inlineStr">
        <is>
          <t>,2],[2,</t>
        </is>
      </c>
      <c r="H310" s="0" t="n">
        <v>536</v>
      </c>
      <c r="I310" s="0" t="inlineStr">
        <is>
          <t>,3],[2,</t>
        </is>
      </c>
      <c r="J310" s="0" t="n">
        <v>536</v>
      </c>
      <c r="K310" s="0" t="inlineStr">
        <is>
          <t>,4],[2,</t>
        </is>
      </c>
      <c r="L310" s="0" t="n">
        <v>536</v>
      </c>
      <c r="M310" s="0" t="inlineStr">
        <is>
          <t>,5],</t>
        </is>
      </c>
    </row>
    <row r="311">
      <c r="A311" s="151" t="inlineStr">
        <is>
          <t xml:space="preserve">[2,5,6],[2,5,7],[2,5,8],[2,6,9],[2,5,10], </t>
        </is>
      </c>
      <c r="B311" s="0">
        <f>CONCATENATE(C310,D310,E310,F310,G310,H310,I310,J310,K310,L310,M310,N310,O310,P310,Q310,R310,S310,T310,U310,V310,W310,X310,Y310,Z310,AA310,AB310,AC310,AD310,AE310,AF310,AG310,AH310,AI310,AJ310,AK310,AL310,AM310,AN310,AO310,AP310,AQ310,AR310,AS310,AT310,AU310,AV310,AW310,AX310,AY310,AZ310,BA310,BB310,BC310,BD310,BE310,BF310,BG310,BH310)</f>
        <v/>
      </c>
      <c r="C311" s="0" t="inlineStr">
        <is>
          <t>[2,</t>
        </is>
      </c>
      <c r="D311" s="0" t="n">
        <v>536</v>
      </c>
      <c r="E311" s="0" t="inlineStr">
        <is>
          <t>,6],[2,</t>
        </is>
      </c>
      <c r="F311" s="0" t="n">
        <v>536</v>
      </c>
      <c r="G311" s="0" t="inlineStr">
        <is>
          <t>,7],[2,</t>
        </is>
      </c>
      <c r="H311" s="0" t="n">
        <v>536</v>
      </c>
      <c r="I311" s="0" t="inlineStr">
        <is>
          <t>,8],[2,</t>
        </is>
      </c>
      <c r="J311" s="0" t="n">
        <v>536</v>
      </c>
      <c r="K311" s="0" t="inlineStr">
        <is>
          <t>,9],[2,</t>
        </is>
      </c>
      <c r="L311" s="0" t="n">
        <v>536</v>
      </c>
      <c r="M311" s="0" t="inlineStr">
        <is>
          <t>,10],</t>
        </is>
      </c>
    </row>
    <row r="312">
      <c r="A312" s="151" t="inlineStr">
        <is>
          <t xml:space="preserve">[2,5,11],[2,5,12],[2,0,13],[2,6,14],[2,5,15], </t>
        </is>
      </c>
      <c r="B312" s="0">
        <f>CONCATENATE(C311,D311,E311,F311,G311,H311,I311,J311,K311,L311,M311,N311,O311,P311,Q311,R311,S311,T311,U311,V311,W311,X311,Y311,Z311,AA311,AB311,AC311,AD311,AE311,AF311,AG311,AH311,AI311,AJ311,AK311,AL311,AM311,AN311,AO311,AP311,AQ311,AR311,AS311,AT311,AU311,AV311,AW311,AX311,AY311,AZ311,BA311,BB311,BC311,BD311,BE311,BF311,BG311,BH311)</f>
        <v/>
      </c>
      <c r="C312" s="0" t="inlineStr">
        <is>
          <t>[2,</t>
        </is>
      </c>
      <c r="D312" s="0" t="n">
        <v>536</v>
      </c>
      <c r="E312" s="0" t="inlineStr">
        <is>
          <t>,11],[2,</t>
        </is>
      </c>
      <c r="F312" s="0" t="n">
        <v>536</v>
      </c>
      <c r="G312" s="0" t="inlineStr">
        <is>
          <t>,12],[2,</t>
        </is>
      </c>
      <c r="H312" s="0" t="n">
        <v>0</v>
      </c>
      <c r="I312" s="0" t="inlineStr">
        <is>
          <t>,13],[2,</t>
        </is>
      </c>
      <c r="J312" s="0" t="n">
        <v>536</v>
      </c>
      <c r="K312" s="0" t="inlineStr">
        <is>
          <t>,14],[2,</t>
        </is>
      </c>
      <c r="L312" s="0" t="n">
        <v>536</v>
      </c>
      <c r="M312" s="0" t="inlineStr">
        <is>
          <t>,15],</t>
        </is>
      </c>
    </row>
    <row r="313">
      <c r="A313" s="151" t="inlineStr">
        <is>
          <t xml:space="preserve">[2,5,16],[2,5,17],[2,5,18],[2,6,19],[2,5,20], </t>
        </is>
      </c>
      <c r="B313" s="0">
        <f>CONCATENATE(C312,D312,E312,F312,G312,H312,I312,J312,K312,L312,M312,N312,O312,P312,Q312,R312,S312,T312,U312,V312,W312,X312,Y312,Z312,AA312,AB312,AC312,AD312,AE312,AF312,AG312,AH312,AI312,AJ312,AK312,AL312,AM312,AN312,AO312,AP312,AQ312,AR312,AS312,AT312,AU312,AV312,AW312,AX312,AY312,AZ312,BA312,BB312,BC312,BD312,BE312,BF312,BG312,BH312)</f>
        <v/>
      </c>
      <c r="C313" s="0" t="inlineStr">
        <is>
          <t>[2,</t>
        </is>
      </c>
      <c r="D313" s="0" t="n">
        <v>536</v>
      </c>
      <c r="E313" s="0" t="inlineStr">
        <is>
          <t>,16],[2,</t>
        </is>
      </c>
      <c r="F313" s="0" t="n">
        <v>536</v>
      </c>
      <c r="G313" s="0" t="inlineStr">
        <is>
          <t>,17],[2,</t>
        </is>
      </c>
      <c r="H313" s="0" t="n">
        <v>536</v>
      </c>
      <c r="I313" s="0" t="inlineStr">
        <is>
          <t>,18],[2,</t>
        </is>
      </c>
      <c r="J313" s="0" t="n">
        <v>536</v>
      </c>
      <c r="K313" s="0" t="inlineStr">
        <is>
          <t>,19],[2,</t>
        </is>
      </c>
      <c r="L313" s="0" t="n">
        <v>536</v>
      </c>
      <c r="M313" s="0" t="inlineStr">
        <is>
          <t>,20],</t>
        </is>
      </c>
    </row>
    <row r="314">
      <c r="A314" s="151" t="inlineStr">
        <is>
          <t xml:space="preserve">[2,5,21],[2,5,22],[2,5,23],[2,6,24],[2,5,25], </t>
        </is>
      </c>
      <c r="B314" s="0">
        <f>CONCATENATE(C313,D313,E313,F313,G313,H313,I313,J313,K313,L313,M313,N313,O313,P313,Q313,R313,S313,T313,U313,V313,W313,X313,Y313,Z313,AA313,AB313,AC313,AD313,AE313,AF313,AG313,AH313,AI313,AJ313,AK313,AL313,AM313,AN313,AO313,AP313,AQ313,AR313,AS313,AT313,AU313,AV313,AW313,AX313,AY313,AZ313,BA313,BB313,BC313,BD313,BE313,BF313,BG313,BH313)</f>
        <v/>
      </c>
      <c r="C314" s="0" t="inlineStr">
        <is>
          <t>[2,</t>
        </is>
      </c>
      <c r="D314" s="0" t="n">
        <v>536</v>
      </c>
      <c r="E314" s="0" t="inlineStr">
        <is>
          <t>,21],[2,</t>
        </is>
      </c>
      <c r="F314" s="0" t="n">
        <v>536</v>
      </c>
      <c r="G314" s="0" t="inlineStr">
        <is>
          <t>,22],[2,</t>
        </is>
      </c>
      <c r="H314" s="0" t="n">
        <v>536</v>
      </c>
      <c r="I314" s="0" t="inlineStr">
        <is>
          <t>,23],[2,</t>
        </is>
      </c>
      <c r="J314" s="0" t="n">
        <v>536</v>
      </c>
      <c r="K314" s="0" t="inlineStr">
        <is>
          <t>,24],[2,</t>
        </is>
      </c>
      <c r="L314" s="0" t="n">
        <v>536</v>
      </c>
      <c r="M314" s="0" t="inlineStr">
        <is>
          <t>,25],</t>
        </is>
      </c>
    </row>
    <row r="315">
      <c r="B315" s="0">
        <f>CONCATENATE(C314,D314,E314,F314,G314,H314,I314,J314,K314,L314,M314,N314,O314,P314,Q314,R314,S314,T314,U314,V314,W314,X314,Y314,Z314,AA314,AB314,AC314,AD314,AE314,AF314,AG314,AH314,AI314,AJ314,AK314,AL314,AM314,AN314,AO314,AP314,AQ314,AR314,AS314,AT314,AU314,AV314,AW314,AX314,AY314,AZ314,BA314,BB314,BC314,BD314,BE314,BF314,BG314,BH314)</f>
        <v/>
      </c>
    </row>
    <row r="316">
      <c r="A316" s="151" t="inlineStr">
        <is>
          <t xml:space="preserve">[3,5,1],[3,5,2],[3,5,3],[3,6,4],[3,5,5], </t>
        </is>
      </c>
      <c r="B316" s="0">
        <f>CONCATENATE(C315,D315,E315,F315,G315,H315,I315,J315,K315,L315,M315,N315,O315,P315,Q315,R315,S315,T315,U315,V315,W315,X315,Y315,Z315,AA315,AB315,AC315,AD315,AE315,AF315,AG315,AH315,AI315,AJ315,AK315,AL315,AM315,AN315,AO315,AP315,AQ315,AR315,AS315,AT315,AU315,AV315,AW315,AX315,AY315,AZ315,BA315,BB315,BC315,BD315,BE315,BF315,BG315,BH315)</f>
        <v/>
      </c>
      <c r="C316" s="0" t="inlineStr">
        <is>
          <t>[3,</t>
        </is>
      </c>
      <c r="D316" s="0" t="n">
        <v>357</v>
      </c>
      <c r="E316" s="0" t="inlineStr">
        <is>
          <t>,1],[3,</t>
        </is>
      </c>
      <c r="F316" s="0" t="n">
        <v>357</v>
      </c>
      <c r="G316" s="0" t="inlineStr">
        <is>
          <t>,2],[3,</t>
        </is>
      </c>
      <c r="H316" s="0" t="n">
        <v>357</v>
      </c>
      <c r="I316" s="0" t="inlineStr">
        <is>
          <t>,3],[3,</t>
        </is>
      </c>
      <c r="J316" s="0" t="n">
        <v>357</v>
      </c>
      <c r="K316" s="0" t="inlineStr">
        <is>
          <t>,4],[3,</t>
        </is>
      </c>
      <c r="L316" s="0" t="n">
        <v>357</v>
      </c>
      <c r="M316" s="0" t="inlineStr">
        <is>
          <t>,5],</t>
        </is>
      </c>
    </row>
    <row r="317">
      <c r="A317" s="151" t="inlineStr">
        <is>
          <t xml:space="preserve">[3,5,6],[3,5,7],[3,5,8],[3,6,9],[3,5,10], </t>
        </is>
      </c>
      <c r="B317" s="0">
        <f>CONCATENATE(C316,D316,E316,F316,G316,H316,I316,J316,K316,L316,M316,N316,O316,P316,Q316,R316,S316,T316,U316,V316,W316,X316,Y316,Z316,AA316,AB316,AC316,AD316,AE316,AF316,AG316,AH316,AI316,AJ316,AK316,AL316,AM316,AN316,AO316,AP316,AQ316,AR316,AS316,AT316,AU316,AV316,AW316,AX316,AY316,AZ316,BA316,BB316,BC316,BD316,BE316,BF316,BG316,BH316)</f>
        <v/>
      </c>
      <c r="C317" s="0" t="inlineStr">
        <is>
          <t>[3,</t>
        </is>
      </c>
      <c r="D317" s="0" t="n">
        <v>357</v>
      </c>
      <c r="E317" s="0" t="inlineStr">
        <is>
          <t>,6],[3,</t>
        </is>
      </c>
      <c r="F317" s="0" t="n">
        <v>357</v>
      </c>
      <c r="G317" s="0" t="inlineStr">
        <is>
          <t>,7],[3,</t>
        </is>
      </c>
      <c r="H317" s="0" t="n">
        <v>357</v>
      </c>
      <c r="I317" s="0" t="inlineStr">
        <is>
          <t>,8],[3,</t>
        </is>
      </c>
      <c r="J317" s="0" t="n">
        <v>357</v>
      </c>
      <c r="K317" s="0" t="inlineStr">
        <is>
          <t>,9],[3,</t>
        </is>
      </c>
      <c r="L317" s="0" t="n">
        <v>357</v>
      </c>
      <c r="M317" s="0" t="inlineStr">
        <is>
          <t>,10],</t>
        </is>
      </c>
    </row>
    <row r="318">
      <c r="A318" s="151" t="inlineStr">
        <is>
          <t xml:space="preserve">[3,5,11],[3,5,12],[3,0,13],[3,6,14],[3,5,15], </t>
        </is>
      </c>
      <c r="B318" s="0">
        <f>CONCATENATE(C317,D317,E317,F317,G317,H317,I317,J317,K317,L317,M317,N317,O317,P317,Q317,R317,S317,T317,U317,V317,W317,X317,Y317,Z317,AA317,AB317,AC317,AD317,AE317,AF317,AG317,AH317,AI317,AJ317,AK317,AL317,AM317,AN317,AO317,AP317,AQ317,AR317,AS317,AT317,AU317,AV317,AW317,AX317,AY317,AZ317,BA317,BB317,BC317,BD317,BE317,BF317,BG317,BH317)</f>
        <v/>
      </c>
      <c r="C318" s="0" t="inlineStr">
        <is>
          <t>[3,</t>
        </is>
      </c>
      <c r="D318" s="0" t="n">
        <v>357</v>
      </c>
      <c r="E318" s="0" t="inlineStr">
        <is>
          <t>,11],[3,</t>
        </is>
      </c>
      <c r="F318" s="0" t="n">
        <v>357</v>
      </c>
      <c r="G318" s="0" t="inlineStr">
        <is>
          <t>,12],[3,</t>
        </is>
      </c>
      <c r="H318" s="0" t="n">
        <v>0</v>
      </c>
      <c r="I318" s="0" t="inlineStr">
        <is>
          <t>,13],[3,</t>
        </is>
      </c>
      <c r="J318" s="0" t="n">
        <v>357</v>
      </c>
      <c r="K318" s="0" t="inlineStr">
        <is>
          <t>,14],[3,</t>
        </is>
      </c>
      <c r="L318" s="0" t="n">
        <v>357</v>
      </c>
      <c r="M318" s="0" t="inlineStr">
        <is>
          <t>,15],</t>
        </is>
      </c>
    </row>
    <row r="319">
      <c r="A319" s="151" t="inlineStr">
        <is>
          <t xml:space="preserve">[3,5,16],[3,5,17],[3,5,18],[3,6,19],[3,5,20], </t>
        </is>
      </c>
      <c r="B319" s="0">
        <f>CONCATENATE(C318,D318,E318,F318,G318,H318,I318,J318,K318,L318,M318,N318,O318,P318,Q318,R318,S318,T318,U318,V318,W318,X318,Y318,Z318,AA318,AB318,AC318,AD318,AE318,AF318,AG318,AH318,AI318,AJ318,AK318,AL318,AM318,AN318,AO318,AP318,AQ318,AR318,AS318,AT318,AU318,AV318,AW318,AX318,AY318,AZ318,BA318,BB318,BC318,BD318,BE318,BF318,BG318,BH318)</f>
        <v/>
      </c>
      <c r="C319" s="0" t="inlineStr">
        <is>
          <t>[3,</t>
        </is>
      </c>
      <c r="D319" s="0" t="n">
        <v>357</v>
      </c>
      <c r="E319" s="0" t="inlineStr">
        <is>
          <t>,16],[3,</t>
        </is>
      </c>
      <c r="F319" s="0" t="n">
        <v>357</v>
      </c>
      <c r="G319" s="0" t="inlineStr">
        <is>
          <t>,17],[3,</t>
        </is>
      </c>
      <c r="H319" s="0" t="n">
        <v>357</v>
      </c>
      <c r="I319" s="0" t="inlineStr">
        <is>
          <t>,18],[3,</t>
        </is>
      </c>
      <c r="J319" s="0" t="n">
        <v>357</v>
      </c>
      <c r="K319" s="0" t="inlineStr">
        <is>
          <t>,19],[3,</t>
        </is>
      </c>
      <c r="L319" s="0" t="n">
        <v>357</v>
      </c>
      <c r="M319" s="0" t="inlineStr">
        <is>
          <t>,20],</t>
        </is>
      </c>
    </row>
    <row r="320">
      <c r="A320" s="151" t="inlineStr">
        <is>
          <t xml:space="preserve">[3,5,21],[3,5,22],[3,5,23],[3,6,24],[3,5,25], </t>
        </is>
      </c>
      <c r="B320" s="0">
        <f>CONCATENATE(C319,D319,E319,F319,G319,H319,I319,J319,K319,L319,M319,N319,O319,P319,Q319,R319,S319,T319,U319,V319,W319,X319,Y319,Z319,AA319,AB319,AC319,AD319,AE319,AF319,AG319,AH319,AI319,AJ319,AK319,AL319,AM319,AN319,AO319,AP319,AQ319,AR319,AS319,AT319,AU319,AV319,AW319,AX319,AY319,AZ319,BA319,BB319,BC319,BD319,BE319,BF319,BG319,BH319)</f>
        <v/>
      </c>
      <c r="C320" s="0" t="inlineStr">
        <is>
          <t>[3,</t>
        </is>
      </c>
      <c r="D320" s="0" t="n">
        <v>357</v>
      </c>
      <c r="E320" s="0" t="inlineStr">
        <is>
          <t>,21],[3,</t>
        </is>
      </c>
      <c r="F320" s="0" t="n">
        <v>357</v>
      </c>
      <c r="G320" s="0" t="inlineStr">
        <is>
          <t>,22],[3,</t>
        </is>
      </c>
      <c r="H320" s="0" t="n">
        <v>357</v>
      </c>
      <c r="I320" s="0" t="inlineStr">
        <is>
          <t>,23],[3,</t>
        </is>
      </c>
      <c r="J320" s="0" t="n">
        <v>357</v>
      </c>
      <c r="K320" s="0" t="inlineStr">
        <is>
          <t>,24],[3,</t>
        </is>
      </c>
      <c r="L320" s="0" t="n">
        <v>357</v>
      </c>
      <c r="M320" s="0" t="inlineStr">
        <is>
          <t>,25],</t>
        </is>
      </c>
    </row>
    <row r="321">
      <c r="B321" s="0">
        <f>CONCATENATE(C320,D320,E320,F320,G320,H320,I320,J320,K320,L320,M320,N320,O320,P320,Q320,R320,S320,T320,U320,V320,W320,X320,Y320,Z320,AA320,AB320,AC320,AD320,AE320,AF320,AG320,AH320,AI320,AJ320,AK320,AL320,AM320,AN320,AO320,AP320,AQ320,AR320,AS320,AT320,AU320,AV320,AW320,AX320,AY320,AZ320,BA320,BB320,BC320,BD320,BE320,BF320,BG320,BH320)</f>
        <v/>
      </c>
    </row>
    <row r="322">
      <c r="A322" s="151" t="inlineStr">
        <is>
          <t xml:space="preserve">[4,5,1],[4,5,2],[4,5,3],[4,6,4],[4,5,5], </t>
        </is>
      </c>
      <c r="B322" s="0">
        <f>CONCATENATE(C321,D321,E321,F321,G321,H321,I321,J321,K321,L321,M321,N321,O321,P321,Q321,R321,S321,T321,U321,V321,W321,X321,Y321,Z321,AA321,AB321,AC321,AD321,AE321,AF321,AG321,AH321,AI321,AJ321,AK321,AL321,AM321,AN321,AO321,AP321,AQ321,AR321,AS321,AT321,AU321,AV321,AW321,AX321,AY321,AZ321,BA321,BB321,BC321,BD321,BE321,BF321,BG321,BH321)</f>
        <v/>
      </c>
      <c r="C322" s="0" t="inlineStr">
        <is>
          <t>[4,</t>
        </is>
      </c>
      <c r="D322" s="0" t="n">
        <v>214</v>
      </c>
      <c r="E322" s="0" t="inlineStr">
        <is>
          <t>,1],[4,</t>
        </is>
      </c>
      <c r="F322" s="0" t="n">
        <v>214</v>
      </c>
      <c r="G322" s="0" t="inlineStr">
        <is>
          <t>,2],[4,</t>
        </is>
      </c>
      <c r="H322" s="0" t="n">
        <v>214</v>
      </c>
      <c r="I322" s="0" t="inlineStr">
        <is>
          <t>,3],[4,</t>
        </is>
      </c>
      <c r="J322" s="0" t="n">
        <v>214</v>
      </c>
      <c r="K322" s="0" t="inlineStr">
        <is>
          <t>,4],[4,</t>
        </is>
      </c>
      <c r="L322" s="0" t="n">
        <v>214</v>
      </c>
      <c r="M322" s="0" t="inlineStr">
        <is>
          <t>,5],</t>
        </is>
      </c>
    </row>
    <row r="323">
      <c r="A323" s="151" t="inlineStr">
        <is>
          <t xml:space="preserve">[4,5,6],[4,5,7],[4,5,8],[4,6,9],[4,5,10], </t>
        </is>
      </c>
      <c r="B323" s="0">
        <f>CONCATENATE(C322,D322,E322,F322,G322,H322,I322,J322,K322,L322,M322,N322,O322,P322,Q322,R322,S322,T322,U322,V322,W322,X322,Y322,Z322,AA322,AB322,AC322,AD322,AE322,AF322,AG322,AH322,AI322,AJ322,AK322,AL322,AM322,AN322,AO322,AP322,AQ322,AR322,AS322,AT322,AU322,AV322,AW322,AX322,AY322,AZ322,BA322,BB322,BC322,BD322,BE322,BF322,BG322,BH322)</f>
        <v/>
      </c>
      <c r="C323" s="0" t="inlineStr">
        <is>
          <t>[4,</t>
        </is>
      </c>
      <c r="D323" s="0" t="n">
        <v>214</v>
      </c>
      <c r="E323" s="0" t="inlineStr">
        <is>
          <t>,6],[4,</t>
        </is>
      </c>
      <c r="F323" s="0" t="n">
        <v>214</v>
      </c>
      <c r="G323" s="0" t="inlineStr">
        <is>
          <t>,7],[4,</t>
        </is>
      </c>
      <c r="H323" s="0" t="n">
        <v>214</v>
      </c>
      <c r="I323" s="0" t="inlineStr">
        <is>
          <t>,8],[4,</t>
        </is>
      </c>
      <c r="J323" s="0" t="n">
        <v>214</v>
      </c>
      <c r="K323" s="0" t="inlineStr">
        <is>
          <t>,9],[4,</t>
        </is>
      </c>
      <c r="L323" s="0" t="n">
        <v>214</v>
      </c>
      <c r="M323" s="0" t="inlineStr">
        <is>
          <t>,10],</t>
        </is>
      </c>
    </row>
    <row r="324">
      <c r="A324" s="151" t="inlineStr">
        <is>
          <t xml:space="preserve">[4,5,11],[4,5,12],[4,0,13],[4,6,14],[4,5,15], </t>
        </is>
      </c>
      <c r="B324" s="0">
        <f>CONCATENATE(C323,D323,E323,F323,G323,H323,I323,J323,K323,L323,M323,N323,O323,P323,Q323,R323,S323,T323,U323,V323,W323,X323,Y323,Z323,AA323,AB323,AC323,AD323,AE323,AF323,AG323,AH323,AI323,AJ323,AK323,AL323,AM323,AN323,AO323,AP323,AQ323,AR323,AS323,AT323,AU323,AV323,AW323,AX323,AY323,AZ323,BA323,BB323,BC323,BD323,BE323,BF323,BG323,BH323)</f>
        <v/>
      </c>
      <c r="C324" s="0" t="inlineStr">
        <is>
          <t>[4,</t>
        </is>
      </c>
      <c r="D324" s="0" t="n">
        <v>214</v>
      </c>
      <c r="E324" s="0" t="inlineStr">
        <is>
          <t>,11],[4,</t>
        </is>
      </c>
      <c r="F324" s="0" t="n">
        <v>214</v>
      </c>
      <c r="G324" s="0" t="inlineStr">
        <is>
          <t>,12],[4,</t>
        </is>
      </c>
      <c r="H324" s="0" t="n">
        <v>0</v>
      </c>
      <c r="I324" s="0" t="inlineStr">
        <is>
          <t>,13],[4,</t>
        </is>
      </c>
      <c r="J324" s="0" t="n">
        <v>214</v>
      </c>
      <c r="K324" s="0" t="inlineStr">
        <is>
          <t>,14],[4,</t>
        </is>
      </c>
      <c r="L324" s="0" t="n">
        <v>214</v>
      </c>
      <c r="M324" s="0" t="inlineStr">
        <is>
          <t>,15],</t>
        </is>
      </c>
    </row>
    <row r="325">
      <c r="A325" s="151" t="inlineStr">
        <is>
          <t xml:space="preserve">[4,5,16],[4,5,17],[4,5,18],[4,6,19],[4,5,20], </t>
        </is>
      </c>
      <c r="B325" s="0">
        <f>CONCATENATE(C324,D324,E324,F324,G324,H324,I324,J324,K324,L324,M324,N324,O324,P324,Q324,R324,S324,T324,U324,V324,W324,X324,Y324,Z324,AA324,AB324,AC324,AD324,AE324,AF324,AG324,AH324,AI324,AJ324,AK324,AL324,AM324,AN324,AO324,AP324,AQ324,AR324,AS324,AT324,AU324,AV324,AW324,AX324,AY324,AZ324,BA324,BB324,BC324,BD324,BE324,BF324,BG324,BH324)</f>
        <v/>
      </c>
      <c r="C325" s="0" t="inlineStr">
        <is>
          <t>[4,</t>
        </is>
      </c>
      <c r="D325" s="0" t="n">
        <v>214</v>
      </c>
      <c r="E325" s="0" t="inlineStr">
        <is>
          <t>,16],[4,</t>
        </is>
      </c>
      <c r="F325" s="0" t="n">
        <v>214</v>
      </c>
      <c r="G325" s="0" t="inlineStr">
        <is>
          <t>,17],[4,</t>
        </is>
      </c>
      <c r="H325" s="0" t="n">
        <v>214</v>
      </c>
      <c r="I325" s="0" t="inlineStr">
        <is>
          <t>,18],[4,</t>
        </is>
      </c>
      <c r="J325" s="0" t="n">
        <v>214</v>
      </c>
      <c r="K325" s="0" t="inlineStr">
        <is>
          <t>,19],[4,</t>
        </is>
      </c>
      <c r="L325" s="0" t="n">
        <v>214</v>
      </c>
      <c r="M325" s="0" t="inlineStr">
        <is>
          <t>,20],</t>
        </is>
      </c>
    </row>
    <row r="326">
      <c r="A326" s="151" t="inlineStr">
        <is>
          <t xml:space="preserve">[4,5,21],[4,5,22],[4,5,23],[4,6,24],[4,5,25], </t>
        </is>
      </c>
      <c r="B326" s="0">
        <f>CONCATENATE(C325,D325,E325,F325,G325,H325,I325,J325,K325,L325,M325,N325,O325,P325,Q325,R325,S325,T325,U325,V325,W325,X325,Y325,Z325,AA325,AB325,AC325,AD325,AE325,AF325,AG325,AH325,AI325,AJ325,AK325,AL325,AM325,AN325,AO325,AP325,AQ325,AR325,AS325,AT325,AU325,AV325,AW325,AX325,AY325,AZ325,BA325,BB325,BC325,BD325,BE325,BF325,BG325,BH325)</f>
        <v/>
      </c>
      <c r="C326" s="0" t="inlineStr">
        <is>
          <t>[4,</t>
        </is>
      </c>
      <c r="D326" s="0" t="n">
        <v>214</v>
      </c>
      <c r="E326" s="0" t="inlineStr">
        <is>
          <t>,21],[4,</t>
        </is>
      </c>
      <c r="F326" s="0" t="n">
        <v>214</v>
      </c>
      <c r="G326" s="0" t="inlineStr">
        <is>
          <t>,22],[4,</t>
        </is>
      </c>
      <c r="H326" s="0" t="n">
        <v>214</v>
      </c>
      <c r="I326" s="0" t="inlineStr">
        <is>
          <t>,23],[4,</t>
        </is>
      </c>
      <c r="J326" s="0" t="n">
        <v>214</v>
      </c>
      <c r="K326" s="0" t="inlineStr">
        <is>
          <t>,24],[4,</t>
        </is>
      </c>
      <c r="L326" s="0" t="n">
        <v>214</v>
      </c>
      <c r="M326" s="0" t="inlineStr">
        <is>
          <t>,25],</t>
        </is>
      </c>
    </row>
    <row r="327">
      <c r="B327" s="0">
        <f>CONCATENATE(C326,D326,E326,F326,G326,H326,I326,J326,K326,L326,M326,N326,O326,P326,Q326,R326,S326,T326,U326,V326,W326,X326,Y326,Z326,AA326,AB326,AC326,AD326,AE326,AF326,AG326,AH326,AI326,AJ326,AK326,AL326,AM326,AN326,AO326,AP326,AQ326,AR326,AS326,AT326,AU326,AV326,AW326,AX326,AY326,AZ326,BA326,BB326,BC326,BD326,BE326,BF326,BG326,BH326)</f>
        <v/>
      </c>
    </row>
    <row r="328">
      <c r="A328" s="151" t="inlineStr">
        <is>
          <t xml:space="preserve">[5,5,1],[5,5,2],[5,5,3],[5,6,4],[5,5,5], </t>
        </is>
      </c>
      <c r="B328" s="0">
        <f>CONCATENATE(C327,D327,E327,F327,G327,H327,I327,J327,K327,L327,M327,N327,O327,P327,Q327,R327,S327,T327,U327,V327,W327,X327,Y327,Z327,AA327,AB327,AC327,AD327,AE327,AF327,AG327,AH327,AI327,AJ327,AK327,AL327,AM327,AN327,AO327,AP327,AQ327,AR327,AS327,AT327,AU327,AV327,AW327,AX327,AY327,AZ327,BA327,BB327,BC327,BD327,BE327,BF327,BG327,BH327)</f>
        <v/>
      </c>
      <c r="C328" s="0" t="inlineStr">
        <is>
          <t>[5,</t>
        </is>
      </c>
      <c r="D328" s="0" t="n">
        <v>15</v>
      </c>
      <c r="E328" s="0" t="inlineStr">
        <is>
          <t>,1],[5,</t>
        </is>
      </c>
      <c r="F328" s="0" t="n">
        <v>15</v>
      </c>
      <c r="G328" s="0" t="inlineStr">
        <is>
          <t>,2],[5,</t>
        </is>
      </c>
      <c r="H328" s="0" t="n">
        <v>15</v>
      </c>
      <c r="I328" s="0" t="inlineStr">
        <is>
          <t>,3],[5,</t>
        </is>
      </c>
      <c r="J328" s="0" t="n">
        <v>15</v>
      </c>
      <c r="K328" s="0" t="inlineStr">
        <is>
          <t>,4],[5,</t>
        </is>
      </c>
      <c r="L328" s="0" t="n">
        <v>15</v>
      </c>
      <c r="M328" s="0" t="inlineStr">
        <is>
          <t>,5],</t>
        </is>
      </c>
    </row>
    <row r="329">
      <c r="A329" s="151" t="inlineStr">
        <is>
          <t xml:space="preserve">[5,5,6],[5,5,7],[5,5,8],[5,6,9],[5,5,10], </t>
        </is>
      </c>
      <c r="B329" s="0">
        <f>CONCATENATE(C328,D328,E328,F328,G328,H328,I328,J328,K328,L328,M328,N328,O328,P328,Q328,R328,S328,T328,U328,V328,W328,X328,Y328,Z328,AA328,AB328,AC328,AD328,AE328,AF328,AG328,AH328,AI328,AJ328,AK328,AL328,AM328,AN328,AO328,AP328,AQ328,AR328,AS328,AT328,AU328,AV328,AW328,AX328,AY328,AZ328,BA328,BB328,BC328,BD328,BE328,BF328,BG328,BH328)</f>
        <v/>
      </c>
      <c r="C329" s="0" t="inlineStr">
        <is>
          <t>[5,</t>
        </is>
      </c>
      <c r="D329" s="0" t="n">
        <v>15</v>
      </c>
      <c r="E329" s="0" t="inlineStr">
        <is>
          <t>,6],[5,</t>
        </is>
      </c>
      <c r="F329" s="0" t="n">
        <v>15</v>
      </c>
      <c r="G329" s="0" t="inlineStr">
        <is>
          <t>,7],[5,</t>
        </is>
      </c>
      <c r="H329" s="0" t="n">
        <v>15</v>
      </c>
      <c r="I329" s="0" t="inlineStr">
        <is>
          <t>,8],[5,</t>
        </is>
      </c>
      <c r="J329" s="0" t="n">
        <v>15</v>
      </c>
      <c r="K329" s="0" t="inlineStr">
        <is>
          <t>,9],[5,</t>
        </is>
      </c>
      <c r="L329" s="0" t="n">
        <v>15</v>
      </c>
      <c r="M329" s="0" t="inlineStr">
        <is>
          <t>,10],</t>
        </is>
      </c>
    </row>
    <row r="330">
      <c r="A330" s="151" t="inlineStr">
        <is>
          <t xml:space="preserve">[5,5,11],[5,5,12],[5,0,13],[5,6,14],[5,5,15], </t>
        </is>
      </c>
      <c r="B330" s="0">
        <f>CONCATENATE(C329,D329,E329,F329,G329,H329,I329,J329,K329,L329,M329,N329,O329,P329,Q329,R329,S329,T329,U329,V329,W329,X329,Y329,Z329,AA329,AB329,AC329,AD329,AE329,AF329,AG329,AH329,AI329,AJ329,AK329,AL329,AM329,AN329,AO329,AP329,AQ329,AR329,AS329,AT329,AU329,AV329,AW329,AX329,AY329,AZ329,BA329,BB329,BC329,BD329,BE329,BF329,BG329,BH329)</f>
        <v/>
      </c>
      <c r="C330" s="0" t="inlineStr">
        <is>
          <t>[5,</t>
        </is>
      </c>
      <c r="D330" s="0" t="n">
        <v>15</v>
      </c>
      <c r="E330" s="0" t="inlineStr">
        <is>
          <t>,11],[5,</t>
        </is>
      </c>
      <c r="F330" s="0" t="n">
        <v>15</v>
      </c>
      <c r="G330" s="0" t="inlineStr">
        <is>
          <t>,12],[5,</t>
        </is>
      </c>
      <c r="H330" s="0" t="n">
        <v>0</v>
      </c>
      <c r="I330" s="0" t="inlineStr">
        <is>
          <t>,13],[5,</t>
        </is>
      </c>
      <c r="J330" s="0" t="n">
        <v>15</v>
      </c>
      <c r="K330" s="0" t="inlineStr">
        <is>
          <t>,14],[5,</t>
        </is>
      </c>
      <c r="L330" s="0" t="n">
        <v>15</v>
      </c>
      <c r="M330" s="0" t="inlineStr">
        <is>
          <t>,15],</t>
        </is>
      </c>
    </row>
    <row r="331">
      <c r="A331" s="151" t="inlineStr">
        <is>
          <t xml:space="preserve">[5,5,16],[5,5,17],[5,5,18],[5,6,19],[5,5,20], </t>
        </is>
      </c>
      <c r="B331" s="0">
        <f>CONCATENATE(C330,D330,E330,F330,G330,H330,I330,J330,K330,L330,M330,N330,O330,P330,Q330,R330,S330,T330,U330,V330,W330,X330,Y330,Z330,AA330,AB330,AC330,AD330,AE330,AF330,AG330,AH330,AI330,AJ330,AK330,AL330,AM330,AN330,AO330,AP330,AQ330,AR330,AS330,AT330,AU330,AV330,AW330,AX330,AY330,AZ330,BA330,BB330,BC330,BD330,BE330,BF330,BG330,BH330)</f>
        <v/>
      </c>
      <c r="C331" s="0" t="inlineStr">
        <is>
          <t>[5,</t>
        </is>
      </c>
      <c r="D331" s="0" t="n">
        <v>15</v>
      </c>
      <c r="E331" s="0" t="inlineStr">
        <is>
          <t>,16],[5,</t>
        </is>
      </c>
      <c r="F331" s="0" t="n">
        <v>15</v>
      </c>
      <c r="G331" s="0" t="inlineStr">
        <is>
          <t>,17],[5,</t>
        </is>
      </c>
      <c r="H331" s="0" t="n">
        <v>15</v>
      </c>
      <c r="I331" s="0" t="inlineStr">
        <is>
          <t>,18],[5,</t>
        </is>
      </c>
      <c r="J331" s="0" t="n">
        <v>15</v>
      </c>
      <c r="K331" s="0" t="inlineStr">
        <is>
          <t>,19],[5,</t>
        </is>
      </c>
      <c r="L331" s="0" t="n">
        <v>15</v>
      </c>
      <c r="M331" s="0" t="inlineStr">
        <is>
          <t>,20],</t>
        </is>
      </c>
    </row>
    <row r="332">
      <c r="A332" s="151" t="inlineStr">
        <is>
          <t xml:space="preserve">[5,5,21],[5,5,22],[5,5,23],[5,6,24],[5,5,25], </t>
        </is>
      </c>
      <c r="B332" s="0">
        <f>CONCATENATE(C331,D331,E331,F331,G331,H331,I331,J331,K331,L331,M331,N331,O331,P331,Q331,R331,S331,T331,U331,V331,W331,X331,Y331,Z331,AA331,AB331,AC331,AD331,AE331,AF331,AG331,AH331,AI331,AJ331,AK331,AL331,AM331,AN331,AO331,AP331,AQ331,AR331,AS331,AT331,AU331,AV331,AW331,AX331,AY331,AZ331,BA331,BB331,BC331,BD331,BE331,BF331,BG331,BH331)</f>
        <v/>
      </c>
      <c r="C332" s="0" t="inlineStr">
        <is>
          <t>[5,</t>
        </is>
      </c>
      <c r="D332" s="0" t="n">
        <v>15</v>
      </c>
      <c r="E332" s="0" t="inlineStr">
        <is>
          <t>,21],[5,</t>
        </is>
      </c>
      <c r="F332" s="0" t="n">
        <v>15</v>
      </c>
      <c r="G332" s="0" t="inlineStr">
        <is>
          <t>,22],[5,</t>
        </is>
      </c>
      <c r="H332" s="0" t="n">
        <v>15</v>
      </c>
      <c r="I332" s="0" t="inlineStr">
        <is>
          <t>,23],[5,</t>
        </is>
      </c>
      <c r="J332" s="0" t="n">
        <v>15</v>
      </c>
      <c r="K332" s="0" t="inlineStr">
        <is>
          <t>,24],[5,</t>
        </is>
      </c>
      <c r="L332" s="0" t="n">
        <v>15</v>
      </c>
      <c r="M332" s="0" t="inlineStr">
        <is>
          <t>,25],</t>
        </is>
      </c>
    </row>
    <row r="333">
      <c r="B333" s="0">
        <f>CONCATENATE(C332,D332,E332,F332,G332,H332,I332,J332,K332,L332,M332,N332,O332,P332,Q332,R332,S332,T332,U332,V332,W332,X332,Y332,Z332,AA332,AB332,AC332,AD332,AE332,AF332,AG332,AH332,AI332,AJ332,AK332,AL332,AM332,AN332,AO332,AP332,AQ332,AR332,AS332,AT332,AU332,AV332,AW332,AX332,AY332,AZ332,BA332,BB332,BC332,BD332,BE332,BF332,BG332,BH332)</f>
        <v/>
      </c>
    </row>
    <row r="334">
      <c r="A334" s="151" t="inlineStr">
        <is>
          <t xml:space="preserve">[6,5,1],[6,5,2],[6,5,3],[6,6,4],[6,5,5], </t>
        </is>
      </c>
      <c r="B334" s="0">
        <f>CONCATENATE(C333,D333,E333,F333,G333,H333,I333,J333,K333,L333,M333,N333,O333,P333,Q333,R333,S333,T333,U333,V333,W333,X333,Y333,Z333,AA333,AB333,AC333,AD333,AE333,AF333,AG333,AH333,AI333,AJ333,AK333,AL333,AM333,AN333,AO333,AP333,AQ333,AR333,AS333,AT333,AU333,AV333,AW333,AX333,AY333,AZ333,BA333,BB333,BC333,BD333,BE333,BF333,BG333,BH333)</f>
        <v/>
      </c>
      <c r="C334" s="0" t="inlineStr">
        <is>
          <t>[6,</t>
        </is>
      </c>
      <c r="D334" s="0" t="n">
        <v>13</v>
      </c>
      <c r="E334" s="0" t="inlineStr">
        <is>
          <t>,1],[6,</t>
        </is>
      </c>
      <c r="F334" s="0" t="n">
        <v>13</v>
      </c>
      <c r="G334" s="0" t="inlineStr">
        <is>
          <t>,2],[6,</t>
        </is>
      </c>
      <c r="H334" s="0" t="n">
        <v>13</v>
      </c>
      <c r="I334" s="0" t="inlineStr">
        <is>
          <t>,3],[6,</t>
        </is>
      </c>
      <c r="J334" s="0" t="n">
        <v>13</v>
      </c>
      <c r="K334" s="0" t="inlineStr">
        <is>
          <t>,4],[6,</t>
        </is>
      </c>
      <c r="L334" s="0" t="n">
        <v>13</v>
      </c>
      <c r="M334" s="0" t="inlineStr">
        <is>
          <t>,5],</t>
        </is>
      </c>
    </row>
    <row r="335">
      <c r="A335" s="151" t="inlineStr">
        <is>
          <t xml:space="preserve">[6,5,6],[6,5,7],[6,5,8],[6,6,9],[6,5,10], </t>
        </is>
      </c>
      <c r="B335" s="0">
        <f>CONCATENATE(C334,D334,E334,F334,G334,H334,I334,J334,K334,L334,M334,N334,O334,P334,Q334,R334,S334,T334,U334,V334,W334,X334,Y334,Z334,AA334,AB334,AC334,AD334,AE334,AF334,AG334,AH334,AI334,AJ334,AK334,AL334,AM334,AN334,AO334,AP334,AQ334,AR334,AS334,AT334,AU334,AV334,AW334,AX334,AY334,AZ334,BA334,BB334,BC334,BD334,BE334,BF334,BG334,BH334)</f>
        <v/>
      </c>
      <c r="C335" s="0" t="inlineStr">
        <is>
          <t>[6,</t>
        </is>
      </c>
      <c r="D335" s="0" t="n">
        <v>13</v>
      </c>
      <c r="E335" s="0" t="inlineStr">
        <is>
          <t>,6],[6,</t>
        </is>
      </c>
      <c r="F335" s="0" t="n">
        <v>13</v>
      </c>
      <c r="G335" s="0" t="inlineStr">
        <is>
          <t>,7],[6,</t>
        </is>
      </c>
      <c r="H335" s="0" t="n">
        <v>13</v>
      </c>
      <c r="I335" s="0" t="inlineStr">
        <is>
          <t>,8],[6,</t>
        </is>
      </c>
      <c r="J335" s="0" t="n">
        <v>13</v>
      </c>
      <c r="K335" s="0" t="inlineStr">
        <is>
          <t>,9],[6,</t>
        </is>
      </c>
      <c r="L335" s="0" t="n">
        <v>13</v>
      </c>
      <c r="M335" s="0" t="inlineStr">
        <is>
          <t>,10],</t>
        </is>
      </c>
    </row>
    <row r="336">
      <c r="A336" s="151" t="inlineStr">
        <is>
          <t xml:space="preserve">[6,5,11],[6,5,12],[6,0,13],[6,6,14],[6,5,15], </t>
        </is>
      </c>
      <c r="B336" s="0">
        <f>CONCATENATE(C335,D335,E335,F335,G335,H335,I335,J335,K335,L335,M335,N335,O335,P335,Q335,R335,S335,T335,U335,V335,W335,X335,Y335,Z335,AA335,AB335,AC335,AD335,AE335,AF335,AG335,AH335,AI335,AJ335,AK335,AL335,AM335,AN335,AO335,AP335,AQ335,AR335,AS335,AT335,AU335,AV335,AW335,AX335,AY335,AZ335,BA335,BB335,BC335,BD335,BE335,BF335,BG335,BH335)</f>
        <v/>
      </c>
      <c r="C336" s="0" t="inlineStr">
        <is>
          <t>[6,</t>
        </is>
      </c>
      <c r="D336" s="0" t="n">
        <v>13</v>
      </c>
      <c r="E336" s="0" t="inlineStr">
        <is>
          <t>,11],[6,</t>
        </is>
      </c>
      <c r="F336" s="0" t="n">
        <v>13</v>
      </c>
      <c r="G336" s="0" t="inlineStr">
        <is>
          <t>,12],[6,</t>
        </is>
      </c>
      <c r="H336" s="0" t="n">
        <v>0</v>
      </c>
      <c r="I336" s="0" t="inlineStr">
        <is>
          <t>,13],[6,</t>
        </is>
      </c>
      <c r="J336" s="0" t="n">
        <v>13</v>
      </c>
      <c r="K336" s="0" t="inlineStr">
        <is>
          <t>,14],[6,</t>
        </is>
      </c>
      <c r="L336" s="0" t="n">
        <v>13</v>
      </c>
      <c r="M336" s="0" t="inlineStr">
        <is>
          <t>,15],</t>
        </is>
      </c>
    </row>
    <row r="337">
      <c r="A337" s="151" t="inlineStr">
        <is>
          <t xml:space="preserve">[6,5,16],[6,5,17],[6,5,18],[6,6,19],[6,5,20], </t>
        </is>
      </c>
      <c r="B337" s="0">
        <f>CONCATENATE(C336,D336,E336,F336,G336,H336,I336,J336,K336,L336,M336,N336,O336,P336,Q336,R336,S336,T336,U336,V336,W336,X336,Y336,Z336,AA336,AB336,AC336,AD336,AE336,AF336,AG336,AH336,AI336,AJ336,AK336,AL336,AM336,AN336,AO336,AP336,AQ336,AR336,AS336,AT336,AU336,AV336,AW336,AX336,AY336,AZ336,BA336,BB336,BC336,BD336,BE336,BF336,BG336,BH336)</f>
        <v/>
      </c>
      <c r="C337" s="0" t="inlineStr">
        <is>
          <t>[6,</t>
        </is>
      </c>
      <c r="D337" s="0" t="n">
        <v>13</v>
      </c>
      <c r="E337" s="0" t="inlineStr">
        <is>
          <t>,16],[6,</t>
        </is>
      </c>
      <c r="F337" s="0" t="n">
        <v>13</v>
      </c>
      <c r="G337" s="0" t="inlineStr">
        <is>
          <t>,17],[6,</t>
        </is>
      </c>
      <c r="H337" s="0" t="n">
        <v>13</v>
      </c>
      <c r="I337" s="0" t="inlineStr">
        <is>
          <t>,18],[6,</t>
        </is>
      </c>
      <c r="J337" s="0" t="n">
        <v>13</v>
      </c>
      <c r="K337" s="0" t="inlineStr">
        <is>
          <t>,19],[6,</t>
        </is>
      </c>
      <c r="L337" s="0" t="n">
        <v>13</v>
      </c>
      <c r="M337" s="0" t="inlineStr">
        <is>
          <t>,20],</t>
        </is>
      </c>
    </row>
    <row r="338">
      <c r="A338" s="151" t="inlineStr">
        <is>
          <t xml:space="preserve">[6,5,21],[6,5,22],[6,5,23],[6,6,24],[6,5,25], </t>
        </is>
      </c>
      <c r="B338" s="0">
        <f>CONCATENATE(C337,D337,E337,F337,G337,H337,I337,J337,K337,L337,M337,N337,O337,P337,Q337,R337,S337,T337,U337,V337,W337,X337,Y337,Z337,AA337,AB337,AC337,AD337,AE337,AF337,AG337,AH337,AI337,AJ337,AK337,AL337,AM337,AN337,AO337,AP337,AQ337,AR337,AS337,AT337,AU337,AV337,AW337,AX337,AY337,AZ337,BA337,BB337,BC337,BD337,BE337,BF337,BG337,BH337)</f>
        <v/>
      </c>
      <c r="C338" s="0" t="inlineStr">
        <is>
          <t>[6,</t>
        </is>
      </c>
      <c r="D338" s="0" t="n">
        <v>13</v>
      </c>
      <c r="E338" s="0" t="inlineStr">
        <is>
          <t>,21],[6,</t>
        </is>
      </c>
      <c r="F338" s="0" t="n">
        <v>13</v>
      </c>
      <c r="G338" s="0" t="inlineStr">
        <is>
          <t>,22],[6,</t>
        </is>
      </c>
      <c r="H338" s="0" t="n">
        <v>13</v>
      </c>
      <c r="I338" s="0" t="inlineStr">
        <is>
          <t>,23],[6,</t>
        </is>
      </c>
      <c r="J338" s="0" t="n">
        <v>13</v>
      </c>
      <c r="K338" s="0" t="inlineStr">
        <is>
          <t>,24],[6,</t>
        </is>
      </c>
      <c r="L338" s="0" t="n">
        <v>13</v>
      </c>
      <c r="M338" s="0" t="inlineStr">
        <is>
          <t>,25],</t>
        </is>
      </c>
    </row>
    <row r="339">
      <c r="B339" s="0">
        <f>CONCATENATE(C338,D338,E338,F338,G338,H338,I338,J338,K338,L338,M338,N338,O338,P338,Q338,R338,S338,T338,U338,V338,W338,X338,Y338,Z338,AA338,AB338,AC338,AD338,AE338,AF338,AG338,AH338,AI338,AJ338,AK338,AL338,AM338,AN338,AO338,AP338,AQ338,AR338,AS338,AT338,AU338,AV338,AW338,AX338,AY338,AZ338,BA338,BB338,BC338,BD338,BE338,BF338,BG338,BH338)</f>
        <v/>
      </c>
    </row>
    <row r="340">
      <c r="A340" s="151" t="inlineStr">
        <is>
          <t xml:space="preserve">[7,5,1],[7,5,2],[7,5,3],[7,6,4],[7,5,5], </t>
        </is>
      </c>
      <c r="B340" s="0">
        <f>CONCATENATE(C339,D339,E339,F339,G339,H339,I339,J339,K339,L339,M339,N339,O339,P339,Q339,R339,S339,T339,U339,V339,W339,X339,Y339,Z339,AA339,AB339,AC339,AD339,AE339,AF339,AG339,AH339,AI339,AJ339,AK339,AL339,AM339,AN339,AO339,AP339,AQ339,AR339,AS339,AT339,AU339,AV339,AW339,AX339,AY339,AZ339,BA339,BB339,BC339,BD339,BE339,BF339,BG339,BH339)</f>
        <v/>
      </c>
      <c r="C340" s="0" t="inlineStr">
        <is>
          <t>[7,</t>
        </is>
      </c>
      <c r="D340" s="0" t="n">
        <v>12</v>
      </c>
      <c r="E340" s="0" t="inlineStr">
        <is>
          <t>,1],[7,</t>
        </is>
      </c>
      <c r="F340" s="0" t="n">
        <v>12</v>
      </c>
      <c r="G340" s="0" t="inlineStr">
        <is>
          <t>,2],[7,</t>
        </is>
      </c>
      <c r="H340" s="0" t="n">
        <v>12</v>
      </c>
      <c r="I340" s="0" t="inlineStr">
        <is>
          <t>,3],[7,</t>
        </is>
      </c>
      <c r="J340" s="0" t="n">
        <v>12</v>
      </c>
      <c r="K340" s="0" t="inlineStr">
        <is>
          <t>,4],[7,</t>
        </is>
      </c>
      <c r="L340" s="0" t="n">
        <v>12</v>
      </c>
      <c r="M340" s="0" t="inlineStr">
        <is>
          <t>,5],</t>
        </is>
      </c>
    </row>
    <row r="341">
      <c r="A341" s="151" t="inlineStr">
        <is>
          <t xml:space="preserve">[7,5,6],[7,5,7],[7,5,8],[7,6,9],[7,5,10], </t>
        </is>
      </c>
      <c r="B341" s="0">
        <f>CONCATENATE(C340,D340,E340,F340,G340,H340,I340,J340,K340,L340,M340,N340,O340,P340,Q340,R340,S340,T340,U340,V340,W340,X340,Y340,Z340,AA340,AB340,AC340,AD340,AE340,AF340,AG340,AH340,AI340,AJ340,AK340,AL340,AM340,AN340,AO340,AP340,AQ340,AR340,AS340,AT340,AU340,AV340,AW340,AX340,AY340,AZ340,BA340,BB340,BC340,BD340,BE340,BF340,BG340,BH340)</f>
        <v/>
      </c>
      <c r="C341" s="0" t="inlineStr">
        <is>
          <t>[7,</t>
        </is>
      </c>
      <c r="D341" s="0" t="n">
        <v>12</v>
      </c>
      <c r="E341" s="0" t="inlineStr">
        <is>
          <t>,6],[7,</t>
        </is>
      </c>
      <c r="F341" s="0" t="n">
        <v>12</v>
      </c>
      <c r="G341" s="0" t="inlineStr">
        <is>
          <t>,7],[7,</t>
        </is>
      </c>
      <c r="H341" s="0" t="n">
        <v>12</v>
      </c>
      <c r="I341" s="0" t="inlineStr">
        <is>
          <t>,8],[7,</t>
        </is>
      </c>
      <c r="J341" s="0" t="n">
        <v>12</v>
      </c>
      <c r="K341" s="0" t="inlineStr">
        <is>
          <t>,9],[7,</t>
        </is>
      </c>
      <c r="L341" s="0" t="n">
        <v>12</v>
      </c>
      <c r="M341" s="0" t="inlineStr">
        <is>
          <t>,10],</t>
        </is>
      </c>
    </row>
    <row r="342">
      <c r="A342" s="151" t="inlineStr">
        <is>
          <t xml:space="preserve">[7,5,11],[7,5,12],[7,0,13],[7,6,14],[7,5,15], </t>
        </is>
      </c>
      <c r="B342" s="0">
        <f>CONCATENATE(C341,D341,E341,F341,G341,H341,I341,J341,K341,L341,M341,N341,O341,P341,Q341,R341,S341,T341,U341,V341,W341,X341,Y341,Z341,AA341,AB341,AC341,AD341,AE341,AF341,AG341,AH341,AI341,AJ341,AK341,AL341,AM341,AN341,AO341,AP341,AQ341,AR341,AS341,AT341,AU341,AV341,AW341,AX341,AY341,AZ341,BA341,BB341,BC341,BD341,BE341,BF341,BG341,BH341)</f>
        <v/>
      </c>
      <c r="C342" s="0" t="inlineStr">
        <is>
          <t>[7,</t>
        </is>
      </c>
      <c r="D342" s="0" t="n">
        <v>12</v>
      </c>
      <c r="E342" s="0" t="inlineStr">
        <is>
          <t>,11],[7,</t>
        </is>
      </c>
      <c r="F342" s="0" t="n">
        <v>12</v>
      </c>
      <c r="G342" s="0" t="inlineStr">
        <is>
          <t>,12],[7,</t>
        </is>
      </c>
      <c r="H342" s="0" t="n">
        <v>0</v>
      </c>
      <c r="I342" s="0" t="inlineStr">
        <is>
          <t>,13],[7,</t>
        </is>
      </c>
      <c r="J342" s="0" t="n">
        <v>12</v>
      </c>
      <c r="K342" s="0" t="inlineStr">
        <is>
          <t>,14],[7,</t>
        </is>
      </c>
      <c r="L342" s="0" t="n">
        <v>12</v>
      </c>
      <c r="M342" s="0" t="inlineStr">
        <is>
          <t>,15],</t>
        </is>
      </c>
    </row>
    <row r="343">
      <c r="A343" s="151" t="inlineStr">
        <is>
          <t xml:space="preserve">[7,5,16],[7,5,17],[7,5,18],[7,6,19],[7,5,20], </t>
        </is>
      </c>
      <c r="B343" s="0">
        <f>CONCATENATE(C342,D342,E342,F342,G342,H342,I342,J342,K342,L342,M342,N342,O342,P342,Q342,R342,S342,T342,U342,V342,W342,X342,Y342,Z342,AA342,AB342,AC342,AD342,AE342,AF342,AG342,AH342,AI342,AJ342,AK342,AL342,AM342,AN342,AO342,AP342,AQ342,AR342,AS342,AT342,AU342,AV342,AW342,AX342,AY342,AZ342,BA342,BB342,BC342,BD342,BE342,BF342,BG342,BH342)</f>
        <v/>
      </c>
      <c r="C343" s="0" t="inlineStr">
        <is>
          <t>[7,</t>
        </is>
      </c>
      <c r="D343" s="0" t="n">
        <v>12</v>
      </c>
      <c r="E343" s="0" t="inlineStr">
        <is>
          <t>,16],[7,</t>
        </is>
      </c>
      <c r="F343" s="0" t="n">
        <v>12</v>
      </c>
      <c r="G343" s="0" t="inlineStr">
        <is>
          <t>,17],[7,</t>
        </is>
      </c>
      <c r="H343" s="0" t="n">
        <v>12</v>
      </c>
      <c r="I343" s="0" t="inlineStr">
        <is>
          <t>,18],[7,</t>
        </is>
      </c>
      <c r="J343" s="0" t="n">
        <v>12</v>
      </c>
      <c r="K343" s="0" t="inlineStr">
        <is>
          <t>,19],[7,</t>
        </is>
      </c>
      <c r="L343" s="0" t="n">
        <v>12</v>
      </c>
      <c r="M343" s="0" t="inlineStr">
        <is>
          <t>,20],</t>
        </is>
      </c>
    </row>
    <row r="344">
      <c r="A344" s="151" t="inlineStr">
        <is>
          <t xml:space="preserve">[7,5,21],[7,5,22],[7,5,23],[7,6,24],[7,5,25], </t>
        </is>
      </c>
      <c r="B344" s="0">
        <f>CONCATENATE(C343,D343,E343,F343,G343,H343,I343,J343,K343,L343,M343,N343,O343,P343,Q343,R343,S343,T343,U343,V343,W343,X343,Y343,Z343,AA343,AB343,AC343,AD343,AE343,AF343,AG343,AH343,AI343,AJ343,AK343,AL343,AM343,AN343,AO343,AP343,AQ343,AR343,AS343,AT343,AU343,AV343,AW343,AX343,AY343,AZ343,BA343,BB343,BC343,BD343,BE343,BF343,BG343,BH343)</f>
        <v/>
      </c>
      <c r="C344" s="0" t="inlineStr">
        <is>
          <t>[7,</t>
        </is>
      </c>
      <c r="D344" s="0" t="n">
        <v>12</v>
      </c>
      <c r="E344" s="0" t="inlineStr">
        <is>
          <t>,21],[7,</t>
        </is>
      </c>
      <c r="F344" s="0" t="n">
        <v>12</v>
      </c>
      <c r="G344" s="0" t="inlineStr">
        <is>
          <t>,22],[7,</t>
        </is>
      </c>
      <c r="H344" s="0" t="n">
        <v>12</v>
      </c>
      <c r="I344" s="0" t="inlineStr">
        <is>
          <t>,23],[7,</t>
        </is>
      </c>
      <c r="J344" s="0" t="n">
        <v>12</v>
      </c>
      <c r="K344" s="0" t="inlineStr">
        <is>
          <t>,24],[7,</t>
        </is>
      </c>
      <c r="L344" s="0" t="n">
        <v>12</v>
      </c>
      <c r="M344" s="0" t="inlineStr">
        <is>
          <t>,25],</t>
        </is>
      </c>
    </row>
    <row r="345">
      <c r="B345" s="0">
        <f>CONCATENATE(C344,D344,E344,F344,G344,H344,I344,J344,K344,L344,M344,N344,O344,P344,Q344,R344,S344,T344,U344,V344,W344,X344,Y344,Z344,AA344,AB344,AC344,AD344,AE344,AF344,AG344,AH344,AI344,AJ344,AK344,AL344,AM344,AN344,AO344,AP344,AQ344,AR344,AS344,AT344,AU344,AV344,AW344,AX344,AY344,AZ344,BA344,BB344,BC344,BD344,BE344,BF344,BG344,BH344)</f>
        <v/>
      </c>
    </row>
    <row r="346">
      <c r="A346" s="151" t="inlineStr">
        <is>
          <t xml:space="preserve">[8,5,1],[8,5,2],[8,5,3],[8,6,4],[8,5,5], </t>
        </is>
      </c>
      <c r="B346" s="0">
        <f>CONCATENATE(C345,D345,E345,F345,G345,H345,I345,J345,K345,L345,M345,N345,O345,P345,Q345,R345,S345,T345,U345,V345,W345,X345,Y345,Z345,AA345,AB345,AC345,AD345,AE345,AF345,AG345,AH345,AI345,AJ345,AK345,AL345,AM345,AN345,AO345,AP345,AQ345,AR345,AS345,AT345,AU345,AV345,AW345,AX345,AY345,AZ345,BA345,BB345,BC345,BD345,BE345,BF345,BG345,BH345)</f>
        <v/>
      </c>
      <c r="C346" s="0" t="inlineStr">
        <is>
          <t>[8,</t>
        </is>
      </c>
      <c r="D346" s="0" t="n">
        <v>9</v>
      </c>
      <c r="E346" s="0" t="inlineStr">
        <is>
          <t>,1],[8,</t>
        </is>
      </c>
      <c r="F346" s="0" t="n">
        <v>9</v>
      </c>
      <c r="G346" s="0" t="inlineStr">
        <is>
          <t>,2],[8,</t>
        </is>
      </c>
      <c r="H346" s="0" t="n">
        <v>9</v>
      </c>
      <c r="I346" s="0" t="inlineStr">
        <is>
          <t>,3],[8,</t>
        </is>
      </c>
      <c r="J346" s="0" t="n">
        <v>9</v>
      </c>
      <c r="K346" s="0" t="inlineStr">
        <is>
          <t>,4],[8,</t>
        </is>
      </c>
      <c r="L346" s="0" t="n">
        <v>9</v>
      </c>
      <c r="M346" s="0" t="inlineStr">
        <is>
          <t>,5],</t>
        </is>
      </c>
    </row>
    <row r="347">
      <c r="A347" s="151" t="inlineStr">
        <is>
          <t xml:space="preserve">[8,5,6],[8,5,7],[8,5,8],[8,6,9],[8,5,10], </t>
        </is>
      </c>
      <c r="B347" s="0">
        <f>CONCATENATE(C346,D346,E346,F346,G346,H346,I346,J346,K346,L346,M346,N346,O346,P346,Q346,R346,S346,T346,U346,V346,W346,X346,Y346,Z346,AA346,AB346,AC346,AD346,AE346,AF346,AG346,AH346,AI346,AJ346,AK346,AL346,AM346,AN346,AO346,AP346,AQ346,AR346,AS346,AT346,AU346,AV346,AW346,AX346,AY346,AZ346,BA346,BB346,BC346,BD346,BE346,BF346,BG346,BH346)</f>
        <v/>
      </c>
      <c r="C347" s="0" t="inlineStr">
        <is>
          <t>[8,</t>
        </is>
      </c>
      <c r="D347" s="0" t="n">
        <v>9</v>
      </c>
      <c r="E347" s="0" t="inlineStr">
        <is>
          <t>,6],[8,</t>
        </is>
      </c>
      <c r="F347" s="0" t="n">
        <v>9</v>
      </c>
      <c r="G347" s="0" t="inlineStr">
        <is>
          <t>,7],[8,</t>
        </is>
      </c>
      <c r="H347" s="0" t="n">
        <v>9</v>
      </c>
      <c r="I347" s="0" t="inlineStr">
        <is>
          <t>,8],[8,</t>
        </is>
      </c>
      <c r="J347" s="0" t="n">
        <v>9</v>
      </c>
      <c r="K347" s="0" t="inlineStr">
        <is>
          <t>,9],[8,</t>
        </is>
      </c>
      <c r="L347" s="0" t="n">
        <v>9</v>
      </c>
      <c r="M347" s="0" t="inlineStr">
        <is>
          <t>,10],</t>
        </is>
      </c>
    </row>
    <row r="348">
      <c r="A348" s="151" t="inlineStr">
        <is>
          <t xml:space="preserve">[8,5,11],[8,5,12],[8,0,13],[8,6,14],[8,5,15], </t>
        </is>
      </c>
      <c r="B348" s="0">
        <f>CONCATENATE(C347,D347,E347,F347,G347,H347,I347,J347,K347,L347,M347,N347,O347,P347,Q347,R347,S347,T347,U347,V347,W347,X347,Y347,Z347,AA347,AB347,AC347,AD347,AE347,AF347,AG347,AH347,AI347,AJ347,AK347,AL347,AM347,AN347,AO347,AP347,AQ347,AR347,AS347,AT347,AU347,AV347,AW347,AX347,AY347,AZ347,BA347,BB347,BC347,BD347,BE347,BF347,BG347,BH347)</f>
        <v/>
      </c>
      <c r="C348" s="0" t="inlineStr">
        <is>
          <t>[8,</t>
        </is>
      </c>
      <c r="D348" s="0" t="n">
        <v>9</v>
      </c>
      <c r="E348" s="0" t="inlineStr">
        <is>
          <t>,11],[8,</t>
        </is>
      </c>
      <c r="F348" s="0" t="n">
        <v>9</v>
      </c>
      <c r="G348" s="0" t="inlineStr">
        <is>
          <t>,12],[8,</t>
        </is>
      </c>
      <c r="H348" s="0" t="n">
        <v>0</v>
      </c>
      <c r="I348" s="0" t="inlineStr">
        <is>
          <t>,13],[8,</t>
        </is>
      </c>
      <c r="J348" s="0" t="n">
        <v>9</v>
      </c>
      <c r="K348" s="0" t="inlineStr">
        <is>
          <t>,14],[8,</t>
        </is>
      </c>
      <c r="L348" s="0" t="n">
        <v>9</v>
      </c>
      <c r="M348" s="0" t="inlineStr">
        <is>
          <t>,15],</t>
        </is>
      </c>
    </row>
    <row r="349">
      <c r="A349" s="151" t="inlineStr">
        <is>
          <t xml:space="preserve">[8,5,16],[8,5,17],[8,5,18],[8,6,19],[8,5,20], </t>
        </is>
      </c>
      <c r="B349" s="0">
        <f>CONCATENATE(C348,D348,E348,F348,G348,H348,I348,J348,K348,L348,M348,N348,O348,P348,Q348,R348,S348,T348,U348,V348,W348,X348,Y348,Z348,AA348,AB348,AC348,AD348,AE348,AF348,AG348,AH348,AI348,AJ348,AK348,AL348,AM348,AN348,AO348,AP348,AQ348,AR348,AS348,AT348,AU348,AV348,AW348,AX348,AY348,AZ348,BA348,BB348,BC348,BD348,BE348,BF348,BG348,BH348)</f>
        <v/>
      </c>
      <c r="C349" s="0" t="inlineStr">
        <is>
          <t>[8,</t>
        </is>
      </c>
      <c r="D349" s="0" t="n">
        <v>9</v>
      </c>
      <c r="E349" s="0" t="inlineStr">
        <is>
          <t>,16],[8,</t>
        </is>
      </c>
      <c r="F349" s="0" t="n">
        <v>9</v>
      </c>
      <c r="G349" s="0" t="inlineStr">
        <is>
          <t>,17],[8,</t>
        </is>
      </c>
      <c r="H349" s="0" t="n">
        <v>9</v>
      </c>
      <c r="I349" s="0" t="inlineStr">
        <is>
          <t>,18],[8,</t>
        </is>
      </c>
      <c r="J349" s="0" t="n">
        <v>9</v>
      </c>
      <c r="K349" s="0" t="inlineStr">
        <is>
          <t>,19],[8,</t>
        </is>
      </c>
      <c r="L349" s="0" t="n">
        <v>9</v>
      </c>
      <c r="M349" s="0" t="inlineStr">
        <is>
          <t>,20],</t>
        </is>
      </c>
    </row>
    <row r="350">
      <c r="A350" s="151" t="inlineStr">
        <is>
          <t xml:space="preserve">[8,5,21],[8,5,22],[8,5,23],[8,6,24],[8,5,25] </t>
        </is>
      </c>
      <c r="B350" s="0">
        <f>CONCATENATE(C349,D349,E349,F349,G349,H349,I349,J349,K349,L349,M349,N349,O349,P349,Q349,R349,S349,T349,U349,V349,W349,X349,Y349,Z349,AA349,AB349,AC349,AD349,AE349,AF349,AG349,AH349,AI349,AJ349,AK349,AL349,AM349,AN349,AO349,AP349,AQ349,AR349,AS349,AT349,AU349,AV349,AW349,AX349,AY349,AZ349,BA349,BB349,BC349,BD349,BE349,BF349,BG349,BH349)</f>
        <v/>
      </c>
      <c r="C350" s="0" t="inlineStr">
        <is>
          <t>[8,</t>
        </is>
      </c>
      <c r="D350" s="0" t="n">
        <v>9</v>
      </c>
      <c r="E350" s="0" t="inlineStr">
        <is>
          <t>,21],[8,</t>
        </is>
      </c>
      <c r="F350" s="0" t="n">
        <v>9</v>
      </c>
      <c r="G350" s="0" t="inlineStr">
        <is>
          <t>,22],[8,</t>
        </is>
      </c>
      <c r="H350" s="0" t="n">
        <v>9</v>
      </c>
      <c r="I350" s="0" t="inlineStr">
        <is>
          <t>,23],[8,</t>
        </is>
      </c>
      <c r="J350" s="0" t="n">
        <v>9</v>
      </c>
      <c r="K350" s="0" t="inlineStr">
        <is>
          <t>,24],[8,</t>
        </is>
      </c>
      <c r="L350" s="0" t="n">
        <v>9</v>
      </c>
      <c r="M350" s="0" t="inlineStr">
        <is>
          <t>,25],</t>
        </is>
      </c>
    </row>
    <row r="351">
      <c r="A351" s="151" t="inlineStr">
        <is>
          <t xml:space="preserve">], </t>
        </is>
      </c>
      <c r="B351" s="0">
        <f>CONCATENATE(C350,D350,E350,F350,G350,H350,I350,J350,K350,L350,M350,N350,O350,P350,Q350,R350,S350,T350,U350,V350,W350,X350,Y350,Z350,AA350,AB350,AC350,AD350,AE350,AF350,AG350,AH350,AI350,AJ350,AK350,AL350,AM350,AN350,AO350,AP350,AQ350,AR350,AS350,AT350,AU350,AV350,AW350,AX350,AY350,AZ350,BA350,BB350,BC350,BD350,BE350,BF350,BG350,BH350)</f>
        <v/>
      </c>
      <c r="C351" s="0" t="inlineStr">
        <is>
          <t xml:space="preserve">], </t>
        </is>
      </c>
    </row>
    <row r="352">
      <c r="A352" s="151" t="inlineStr">
        <is>
          <t xml:space="preserve">[ </t>
        </is>
      </c>
      <c r="B352" s="0">
        <f>CONCATENATE(C351,D351,E351,F351,G351,H351,I351,J351,K351,L351,M351,N351,O351,P351,Q351,R351,S351,T351,U351,V351,W351,X351,Y351,Z351,AA351,AB351,AC351,AD351,AE351,AF351,AG351,AH351,AI351,AJ351,AK351,AL351,AM351,AN351,AO351,AP351,AQ351,AR351,AS351,AT351,AU351,AV351,AW351,AX351,AY351,AZ351,BA351,BB351,BC351,BD351,BE351,BF351,BG351,BH351)</f>
        <v/>
      </c>
      <c r="C352" s="0" t="inlineStr">
        <is>
          <t xml:space="preserve">[ </t>
        </is>
      </c>
    </row>
    <row r="353">
      <c r="A353" s="151" t="inlineStr">
        <is>
          <t xml:space="preserve">[1,5,1],[1,5,2],[1,5,3],[1,6,4],[1,5,5], </t>
        </is>
      </c>
      <c r="B353" s="0">
        <f>CONCATENATE(C352,D352,E352,F352,G352,H352,I352,J352,K352,L352,M352,N352,O352,P352,Q352,R352,S352,T352,U352,V352,W352,X352,Y352,Z352,AA352,AB352,AC352,AD352,AE352,AF352,AG352,AH352,AI352,AJ352,AK352,AL352,AM352,AN352,AO352,AP352,AQ352,AR352,AS352,AT352,AU352,AV352,AW352,AX352,AY352,AZ352,BA352,BB352,BC352,BD352,BE352,BF352,BG352,BH352)</f>
        <v/>
      </c>
      <c r="C353" s="0" t="inlineStr">
        <is>
          <t>[1,</t>
        </is>
      </c>
      <c r="D353" s="0" t="n">
        <v>76</v>
      </c>
      <c r="E353" s="0" t="inlineStr">
        <is>
          <t>,1],[1,</t>
        </is>
      </c>
      <c r="F353" s="0" t="n">
        <v>76</v>
      </c>
      <c r="G353" s="0" t="inlineStr">
        <is>
          <t>,2],[1,</t>
        </is>
      </c>
      <c r="H353" s="0" t="n">
        <v>76</v>
      </c>
      <c r="I353" s="0" t="inlineStr">
        <is>
          <t>,3],[1,</t>
        </is>
      </c>
      <c r="J353" s="0" t="n">
        <v>76</v>
      </c>
      <c r="K353" s="0" t="inlineStr">
        <is>
          <t>,4],[1,</t>
        </is>
      </c>
      <c r="L353" s="0" t="n">
        <v>76</v>
      </c>
      <c r="M353" s="0" t="inlineStr">
        <is>
          <t>,5],</t>
        </is>
      </c>
    </row>
    <row r="354">
      <c r="A354" s="151" t="inlineStr">
        <is>
          <t xml:space="preserve">[1,5,6],[1,5,7],[1,5,8],[1,6,9],[1,5,10], </t>
        </is>
      </c>
      <c r="B354" s="0">
        <f>CONCATENATE(C353,D353,E353,F353,G353,H353,I353,J353,K353,L353,M353,N353,O353,P353,Q353,R353,S353,T353,U353,V353,W353,X353,Y353,Z353,AA353,AB353,AC353,AD353,AE353,AF353,AG353,AH353,AI353,AJ353,AK353,AL353,AM353,AN353,AO353,AP353,AQ353,AR353,AS353,AT353,AU353,AV353,AW353,AX353,AY353,AZ353,BA353,BB353,BC353,BD353,BE353,BF353,BG353,BH353)</f>
        <v/>
      </c>
      <c r="C354" s="0" t="inlineStr">
        <is>
          <t>[1,</t>
        </is>
      </c>
      <c r="D354" s="0" t="n">
        <v>76</v>
      </c>
      <c r="E354" s="0" t="inlineStr">
        <is>
          <t>,6],[1,</t>
        </is>
      </c>
      <c r="F354" s="0" t="n">
        <v>76</v>
      </c>
      <c r="G354" s="0" t="inlineStr">
        <is>
          <t>,7],[1,</t>
        </is>
      </c>
      <c r="H354" s="0" t="n">
        <v>76</v>
      </c>
      <c r="I354" s="0" t="inlineStr">
        <is>
          <t>,8],[1,</t>
        </is>
      </c>
      <c r="J354" s="0" t="n">
        <v>76</v>
      </c>
      <c r="K354" s="0" t="inlineStr">
        <is>
          <t>,9],[1,</t>
        </is>
      </c>
      <c r="L354" s="0" t="n">
        <v>76</v>
      </c>
      <c r="M354" s="0" t="inlineStr">
        <is>
          <t>,10],</t>
        </is>
      </c>
    </row>
    <row r="355">
      <c r="A355" s="151" t="inlineStr">
        <is>
          <t xml:space="preserve">[1,5,11],[1,5,12],[1,0,13],[1,6,14],[1,5,15], </t>
        </is>
      </c>
      <c r="B355" s="0">
        <f>CONCATENATE(C354,D354,E354,F354,G354,H354,I354,J354,K354,L354,M354,N354,O354,P354,Q354,R354,S354,T354,U354,V354,W354,X354,Y354,Z354,AA354,AB354,AC354,AD354,AE354,AF354,AG354,AH354,AI354,AJ354,AK354,AL354,AM354,AN354,AO354,AP354,AQ354,AR354,AS354,AT354,AU354,AV354,AW354,AX354,AY354,AZ354,BA354,BB354,BC354,BD354,BE354,BF354,BG354,BH354)</f>
        <v/>
      </c>
      <c r="C355" s="0" t="inlineStr">
        <is>
          <t>[1,</t>
        </is>
      </c>
      <c r="D355" s="0" t="n">
        <v>76</v>
      </c>
      <c r="E355" s="0" t="inlineStr">
        <is>
          <t>,11],[1,</t>
        </is>
      </c>
      <c r="F355" s="0" t="n">
        <v>76</v>
      </c>
      <c r="G355" s="0" t="inlineStr">
        <is>
          <t>,12],[1,</t>
        </is>
      </c>
      <c r="H355" s="0" t="n">
        <v>0</v>
      </c>
      <c r="I355" s="0" t="inlineStr">
        <is>
          <t>,13],[1,</t>
        </is>
      </c>
      <c r="J355" s="0" t="n">
        <v>76</v>
      </c>
      <c r="K355" s="0" t="inlineStr">
        <is>
          <t>,14],[1,</t>
        </is>
      </c>
      <c r="L355" s="0" t="n">
        <v>76</v>
      </c>
      <c r="M355" s="0" t="inlineStr">
        <is>
          <t>,15],</t>
        </is>
      </c>
    </row>
    <row r="356">
      <c r="A356" s="151" t="inlineStr">
        <is>
          <t xml:space="preserve">[1,5,16],[1,5,17],[1,5,18],[1,6,19],[1,5,20], </t>
        </is>
      </c>
      <c r="B356" s="0">
        <f>CONCATENATE(C355,D355,E355,F355,G355,H355,I355,J355,K355,L355,M355,N355,O355,P355,Q355,R355,S355,T355,U355,V355,W355,X355,Y355,Z355,AA355,AB355,AC355,AD355,AE355,AF355,AG355,AH355,AI355,AJ355,AK355,AL355,AM355,AN355,AO355,AP355,AQ355,AR355,AS355,AT355,AU355,AV355,AW355,AX355,AY355,AZ355,BA355,BB355,BC355,BD355,BE355,BF355,BG355,BH355)</f>
        <v/>
      </c>
      <c r="C356" s="0" t="inlineStr">
        <is>
          <t>[1,</t>
        </is>
      </c>
      <c r="D356" s="0" t="n">
        <v>76</v>
      </c>
      <c r="E356" s="0" t="inlineStr">
        <is>
          <t>,16],[1,</t>
        </is>
      </c>
      <c r="F356" s="0" t="n">
        <v>76</v>
      </c>
      <c r="G356" s="0" t="inlineStr">
        <is>
          <t>,17],[1,</t>
        </is>
      </c>
      <c r="H356" s="0" t="n">
        <v>76</v>
      </c>
      <c r="I356" s="0" t="inlineStr">
        <is>
          <t>,18],[1,</t>
        </is>
      </c>
      <c r="J356" s="0" t="n">
        <v>76</v>
      </c>
      <c r="K356" s="0" t="inlineStr">
        <is>
          <t>,19],[1,</t>
        </is>
      </c>
      <c r="L356" s="0" t="n">
        <v>76</v>
      </c>
      <c r="M356" s="0" t="inlineStr">
        <is>
          <t>,20],</t>
        </is>
      </c>
    </row>
    <row r="357">
      <c r="A357" s="151" t="inlineStr">
        <is>
          <t xml:space="preserve">[1,5,21],[1,5,22],[1,5,23],[1,6,24],[1,5,25], </t>
        </is>
      </c>
      <c r="B357" s="0">
        <f>CONCATENATE(C356,D356,E356,F356,G356,H356,I356,J356,K356,L356,M356,N356,O356,P356,Q356,R356,S356,T356,U356,V356,W356,X356,Y356,Z356,AA356,AB356,AC356,AD356,AE356,AF356,AG356,AH356,AI356,AJ356,AK356,AL356,AM356,AN356,AO356,AP356,AQ356,AR356,AS356,AT356,AU356,AV356,AW356,AX356,AY356,AZ356,BA356,BB356,BC356,BD356,BE356,BF356,BG356,BH356)</f>
        <v/>
      </c>
      <c r="C357" s="0" t="inlineStr">
        <is>
          <t>[1,</t>
        </is>
      </c>
      <c r="D357" s="0" t="n">
        <v>76</v>
      </c>
      <c r="E357" s="0" t="inlineStr">
        <is>
          <t>,21],[1,</t>
        </is>
      </c>
      <c r="F357" s="0" t="n">
        <v>76</v>
      </c>
      <c r="G357" s="0" t="inlineStr">
        <is>
          <t>,22],[1,</t>
        </is>
      </c>
      <c r="H357" s="0" t="n">
        <v>76</v>
      </c>
      <c r="I357" s="0" t="inlineStr">
        <is>
          <t>,23],[1,</t>
        </is>
      </c>
      <c r="J357" s="0" t="n">
        <v>76</v>
      </c>
      <c r="K357" s="0" t="inlineStr">
        <is>
          <t>,24],[1,</t>
        </is>
      </c>
      <c r="L357" s="0" t="n">
        <v>76</v>
      </c>
      <c r="M357" s="0" t="inlineStr">
        <is>
          <t>,25],</t>
        </is>
      </c>
    </row>
    <row r="358">
      <c r="B358" s="0">
        <f>CONCATENATE(C357,D357,E357,F357,G357,H357,I357,J357,K357,L357,M357,N357,O357,P357,Q357,R357,S357,T357,U357,V357,W357,X357,Y357,Z357,AA357,AB357,AC357,AD357,AE357,AF357,AG357,AH357,AI357,AJ357,AK357,AL357,AM357,AN357,AO357,AP357,AQ357,AR357,AS357,AT357,AU357,AV357,AW357,AX357,AY357,AZ357,BA357,BB357,BC357,BD357,BE357,BF357,BG357,BH357)</f>
        <v/>
      </c>
    </row>
    <row r="359">
      <c r="A359" s="151" t="inlineStr">
        <is>
          <t xml:space="preserve">[2,5,1],[2,5,2],[2,5,3],[2,6,4],[2,5,5], </t>
        </is>
      </c>
      <c r="B359" s="0">
        <f>CONCATENATE(C358,D358,E358,F358,G358,H358,I358,J358,K358,L358,M358,N358,O358,P358,Q358,R358,S358,T358,U358,V358,W358,X358,Y358,Z358,AA358,AB358,AC358,AD358,AE358,AF358,AG358,AH358,AI358,AJ358,AK358,AL358,AM358,AN358,AO358,AP358,AQ358,AR358,AS358,AT358,AU358,AV358,AW358,AX358,AY358,AZ358,BA358,BB358,BC358,BD358,BE358,BF358,BG358,BH358)</f>
        <v/>
      </c>
      <c r="C359" s="0" t="inlineStr">
        <is>
          <t>[2,</t>
        </is>
      </c>
      <c r="D359" s="0" t="n">
        <v>39</v>
      </c>
      <c r="E359" s="0" t="inlineStr">
        <is>
          <t>,1],[2,</t>
        </is>
      </c>
      <c r="F359" s="0" t="n">
        <v>39</v>
      </c>
      <c r="G359" s="0" t="inlineStr">
        <is>
          <t>,2],[2,</t>
        </is>
      </c>
      <c r="H359" s="0" t="n">
        <v>39</v>
      </c>
      <c r="I359" s="0" t="inlineStr">
        <is>
          <t>,3],[2,</t>
        </is>
      </c>
      <c r="J359" s="0" t="n">
        <v>39</v>
      </c>
      <c r="K359" s="0" t="inlineStr">
        <is>
          <t>,4],[2,</t>
        </is>
      </c>
      <c r="L359" s="0" t="n">
        <v>39</v>
      </c>
      <c r="M359" s="0" t="inlineStr">
        <is>
          <t>,5],</t>
        </is>
      </c>
    </row>
    <row r="360">
      <c r="A360" s="151" t="inlineStr">
        <is>
          <t xml:space="preserve">[2,5,6],[2,5,7],[2,5,8],[2,6,9],[2,5,10], </t>
        </is>
      </c>
      <c r="B360" s="0">
        <f>CONCATENATE(C359,D359,E359,F359,G359,H359,I359,J359,K359,L359,M359,N359,O359,P359,Q359,R359,S359,T359,U359,V359,W359,X359,Y359,Z359,AA359,AB359,AC359,AD359,AE359,AF359,AG359,AH359,AI359,AJ359,AK359,AL359,AM359,AN359,AO359,AP359,AQ359,AR359,AS359,AT359,AU359,AV359,AW359,AX359,AY359,AZ359,BA359,BB359,BC359,BD359,BE359,BF359,BG359,BH359)</f>
        <v/>
      </c>
      <c r="C360" s="0" t="inlineStr">
        <is>
          <t>[2,</t>
        </is>
      </c>
      <c r="D360" s="0" t="n">
        <v>39</v>
      </c>
      <c r="E360" s="0" t="inlineStr">
        <is>
          <t>,6],[2,</t>
        </is>
      </c>
      <c r="F360" s="0" t="n">
        <v>39</v>
      </c>
      <c r="G360" s="0" t="inlineStr">
        <is>
          <t>,7],[2,</t>
        </is>
      </c>
      <c r="H360" s="0" t="n">
        <v>39</v>
      </c>
      <c r="I360" s="0" t="inlineStr">
        <is>
          <t>,8],[2,</t>
        </is>
      </c>
      <c r="J360" s="0" t="n">
        <v>39</v>
      </c>
      <c r="K360" s="0" t="inlineStr">
        <is>
          <t>,9],[2,</t>
        </is>
      </c>
      <c r="L360" s="0" t="n">
        <v>39</v>
      </c>
      <c r="M360" s="0" t="inlineStr">
        <is>
          <t>,10],</t>
        </is>
      </c>
    </row>
    <row r="361">
      <c r="A361" s="151" t="inlineStr">
        <is>
          <t xml:space="preserve">[2,5,11],[2,5,12],[2,0,13],[2,6,14],[2,5,15], </t>
        </is>
      </c>
      <c r="B361" s="0">
        <f>CONCATENATE(C360,D360,E360,F360,G360,H360,I360,J360,K360,L360,M360,N360,O360,P360,Q360,R360,S360,T360,U360,V360,W360,X360,Y360,Z360,AA360,AB360,AC360,AD360,AE360,AF360,AG360,AH360,AI360,AJ360,AK360,AL360,AM360,AN360,AO360,AP360,AQ360,AR360,AS360,AT360,AU360,AV360,AW360,AX360,AY360,AZ360,BA360,BB360,BC360,BD360,BE360,BF360,BG360,BH360)</f>
        <v/>
      </c>
      <c r="C361" s="0" t="inlineStr">
        <is>
          <t>[2,</t>
        </is>
      </c>
      <c r="D361" s="0" t="n">
        <v>39</v>
      </c>
      <c r="E361" s="0" t="inlineStr">
        <is>
          <t>,11],[2,</t>
        </is>
      </c>
      <c r="F361" s="0" t="n">
        <v>39</v>
      </c>
      <c r="G361" s="0" t="inlineStr">
        <is>
          <t>,12],[2,</t>
        </is>
      </c>
      <c r="H361" s="0" t="n">
        <v>0</v>
      </c>
      <c r="I361" s="0" t="inlineStr">
        <is>
          <t>,13],[2,</t>
        </is>
      </c>
      <c r="J361" s="0" t="n">
        <v>39</v>
      </c>
      <c r="K361" s="0" t="inlineStr">
        <is>
          <t>,14],[2,</t>
        </is>
      </c>
      <c r="L361" s="0" t="n">
        <v>39</v>
      </c>
      <c r="M361" s="0" t="inlineStr">
        <is>
          <t>,15],</t>
        </is>
      </c>
    </row>
    <row r="362">
      <c r="A362" s="151" t="inlineStr">
        <is>
          <t xml:space="preserve">[2,5,16],[2,5,17],[2,5,18],[2,6,19],[2,5,20], </t>
        </is>
      </c>
      <c r="B362" s="0">
        <f>CONCATENATE(C361,D361,E361,F361,G361,H361,I361,J361,K361,L361,M361,N361,O361,P361,Q361,R361,S361,T361,U361,V361,W361,X361,Y361,Z361,AA361,AB361,AC361,AD361,AE361,AF361,AG361,AH361,AI361,AJ361,AK361,AL361,AM361,AN361,AO361,AP361,AQ361,AR361,AS361,AT361,AU361,AV361,AW361,AX361,AY361,AZ361,BA361,BB361,BC361,BD361,BE361,BF361,BG361,BH361)</f>
        <v/>
      </c>
      <c r="C362" s="0" t="inlineStr">
        <is>
          <t>[2,</t>
        </is>
      </c>
      <c r="D362" s="0" t="n">
        <v>39</v>
      </c>
      <c r="E362" s="0" t="inlineStr">
        <is>
          <t>,16],[2,</t>
        </is>
      </c>
      <c r="F362" s="0" t="n">
        <v>39</v>
      </c>
      <c r="G362" s="0" t="inlineStr">
        <is>
          <t>,17],[2,</t>
        </is>
      </c>
      <c r="H362" s="0" t="n">
        <v>39</v>
      </c>
      <c r="I362" s="0" t="inlineStr">
        <is>
          <t>,18],[2,</t>
        </is>
      </c>
      <c r="J362" s="0" t="n">
        <v>39</v>
      </c>
      <c r="K362" s="0" t="inlineStr">
        <is>
          <t>,19],[2,</t>
        </is>
      </c>
      <c r="L362" s="0" t="n">
        <v>39</v>
      </c>
      <c r="M362" s="0" t="inlineStr">
        <is>
          <t>,20],</t>
        </is>
      </c>
    </row>
    <row r="363">
      <c r="A363" s="151" t="inlineStr">
        <is>
          <t xml:space="preserve">[2,5,21],[2,5,22],[2,5,23],[2,6,24],[2,5,25], </t>
        </is>
      </c>
      <c r="B363" s="0">
        <f>CONCATENATE(C362,D362,E362,F362,G362,H362,I362,J362,K362,L362,M362,N362,O362,P362,Q362,R362,S362,T362,U362,V362,W362,X362,Y362,Z362,AA362,AB362,AC362,AD362,AE362,AF362,AG362,AH362,AI362,AJ362,AK362,AL362,AM362,AN362,AO362,AP362,AQ362,AR362,AS362,AT362,AU362,AV362,AW362,AX362,AY362,AZ362,BA362,BB362,BC362,BD362,BE362,BF362,BG362,BH362)</f>
        <v/>
      </c>
      <c r="C363" s="0" t="inlineStr">
        <is>
          <t>[2,</t>
        </is>
      </c>
      <c r="D363" s="0" t="n">
        <v>39</v>
      </c>
      <c r="E363" s="0" t="inlineStr">
        <is>
          <t>,21],[2,</t>
        </is>
      </c>
      <c r="F363" s="0" t="n">
        <v>39</v>
      </c>
      <c r="G363" s="0" t="inlineStr">
        <is>
          <t>,22],[2,</t>
        </is>
      </c>
      <c r="H363" s="0" t="n">
        <v>39</v>
      </c>
      <c r="I363" s="0" t="inlineStr">
        <is>
          <t>,23],[2,</t>
        </is>
      </c>
      <c r="J363" s="0" t="n">
        <v>39</v>
      </c>
      <c r="K363" s="0" t="inlineStr">
        <is>
          <t>,24],[2,</t>
        </is>
      </c>
      <c r="L363" s="0" t="n">
        <v>39</v>
      </c>
      <c r="M363" s="0" t="inlineStr">
        <is>
          <t>,25],</t>
        </is>
      </c>
    </row>
    <row r="364">
      <c r="B364" s="0">
        <f>CONCATENATE(C363,D363,E363,F363,G363,H363,I363,J363,K363,L363,M363,N363,O363,P363,Q363,R363,S363,T363,U363,V363,W363,X363,Y363,Z363,AA363,AB363,AC363,AD363,AE363,AF363,AG363,AH363,AI363,AJ363,AK363,AL363,AM363,AN363,AO363,AP363,AQ363,AR363,AS363,AT363,AU363,AV363,AW363,AX363,AY363,AZ363,BA363,BB363,BC363,BD363,BE363,BF363,BG363,BH363)</f>
        <v/>
      </c>
    </row>
    <row r="365">
      <c r="A365" s="151" t="inlineStr">
        <is>
          <t xml:space="preserve">[3,5,1],[3,5,2],[3,5,3],[3,6,4],[3,5,5], </t>
        </is>
      </c>
      <c r="B365" s="0">
        <f>CONCATENATE(C364,D364,E364,F364,G364,H364,I364,J364,K364,L364,M364,N364,O364,P364,Q364,R364,S364,T364,U364,V364,W364,X364,Y364,Z364,AA364,AB364,AC364,AD364,AE364,AF364,AG364,AH364,AI364,AJ364,AK364,AL364,AM364,AN364,AO364,AP364,AQ364,AR364,AS364,AT364,AU364,AV364,AW364,AX364,AY364,AZ364,BA364,BB364,BC364,BD364,BE364,BF364,BG364,BH364)</f>
        <v/>
      </c>
      <c r="C365" s="0" t="inlineStr">
        <is>
          <t>[3,</t>
        </is>
      </c>
      <c r="D365" s="0" t="n">
        <v>26</v>
      </c>
      <c r="E365" s="0" t="inlineStr">
        <is>
          <t>,1],[3,</t>
        </is>
      </c>
      <c r="F365" s="0" t="n">
        <v>26</v>
      </c>
      <c r="G365" s="0" t="inlineStr">
        <is>
          <t>,2],[3,</t>
        </is>
      </c>
      <c r="H365" s="0" t="n">
        <v>26</v>
      </c>
      <c r="I365" s="0" t="inlineStr">
        <is>
          <t>,3],[3,</t>
        </is>
      </c>
      <c r="J365" s="0" t="n">
        <v>26</v>
      </c>
      <c r="K365" s="0" t="inlineStr">
        <is>
          <t>,4],[3,</t>
        </is>
      </c>
      <c r="L365" s="0" t="n">
        <v>26</v>
      </c>
      <c r="M365" s="0" t="inlineStr">
        <is>
          <t>,5],</t>
        </is>
      </c>
    </row>
    <row r="366">
      <c r="A366" s="151" t="inlineStr">
        <is>
          <t xml:space="preserve">[3,5,6],[3,5,7],[3,5,8],[3,6,9],[3,5,10], </t>
        </is>
      </c>
      <c r="B366" s="0">
        <f>CONCATENATE(C365,D365,E365,F365,G365,H365,I365,J365,K365,L365,M365,N365,O365,P365,Q365,R365,S365,T365,U365,V365,W365,X365,Y365,Z365,AA365,AB365,AC365,AD365,AE365,AF365,AG365,AH365,AI365,AJ365,AK365,AL365,AM365,AN365,AO365,AP365,AQ365,AR365,AS365,AT365,AU365,AV365,AW365,AX365,AY365,AZ365,BA365,BB365,BC365,BD365,BE365,BF365,BG365,BH365)</f>
        <v/>
      </c>
      <c r="C366" s="0" t="inlineStr">
        <is>
          <t>[3,</t>
        </is>
      </c>
      <c r="D366" s="0" t="n">
        <v>26</v>
      </c>
      <c r="E366" s="0" t="inlineStr">
        <is>
          <t>,6],[3,</t>
        </is>
      </c>
      <c r="F366" s="0" t="n">
        <v>26</v>
      </c>
      <c r="G366" s="0" t="inlineStr">
        <is>
          <t>,7],[3,</t>
        </is>
      </c>
      <c r="H366" s="0" t="n">
        <v>26</v>
      </c>
      <c r="I366" s="0" t="inlineStr">
        <is>
          <t>,8],[3,</t>
        </is>
      </c>
      <c r="J366" s="0" t="n">
        <v>26</v>
      </c>
      <c r="K366" s="0" t="inlineStr">
        <is>
          <t>,9],[3,</t>
        </is>
      </c>
      <c r="L366" s="0" t="n">
        <v>26</v>
      </c>
      <c r="M366" s="0" t="inlineStr">
        <is>
          <t>,10],</t>
        </is>
      </c>
    </row>
    <row r="367">
      <c r="A367" s="151" t="inlineStr">
        <is>
          <t xml:space="preserve">[3,5,11],[3,5,12],[3,0,13],[3,6,14],[3,5,15], </t>
        </is>
      </c>
      <c r="B367" s="0">
        <f>CONCATENATE(C366,D366,E366,F366,G366,H366,I366,J366,K366,L366,M366,N366,O366,P366,Q366,R366,S366,T366,U366,V366,W366,X366,Y366,Z366,AA366,AB366,AC366,AD366,AE366,AF366,AG366,AH366,AI366,AJ366,AK366,AL366,AM366,AN366,AO366,AP366,AQ366,AR366,AS366,AT366,AU366,AV366,AW366,AX366,AY366,AZ366,BA366,BB366,BC366,BD366,BE366,BF366,BG366,BH366)</f>
        <v/>
      </c>
      <c r="C367" s="0" t="inlineStr">
        <is>
          <t>[3,</t>
        </is>
      </c>
      <c r="D367" s="0" t="n">
        <v>26</v>
      </c>
      <c r="E367" s="0" t="inlineStr">
        <is>
          <t>,11],[3,</t>
        </is>
      </c>
      <c r="F367" s="0" t="n">
        <v>26</v>
      </c>
      <c r="G367" s="0" t="inlineStr">
        <is>
          <t>,12],[3,</t>
        </is>
      </c>
      <c r="H367" s="0" t="n">
        <v>26</v>
      </c>
      <c r="I367" s="0" t="inlineStr">
        <is>
          <t>,13],[3,</t>
        </is>
      </c>
      <c r="J367" s="0" t="n">
        <v>26</v>
      </c>
      <c r="K367" s="0" t="inlineStr">
        <is>
          <t>,14],[3,</t>
        </is>
      </c>
      <c r="L367" s="0" t="n">
        <v>26</v>
      </c>
      <c r="M367" s="0" t="inlineStr">
        <is>
          <t>,15],</t>
        </is>
      </c>
    </row>
    <row r="368">
      <c r="A368" s="151" t="inlineStr">
        <is>
          <t xml:space="preserve">[3,5,16],[3,5,17],[3,5,18],[3,6,19],[3,5,20], </t>
        </is>
      </c>
      <c r="B368" s="0">
        <f>CONCATENATE(C367,D367,E367,F367,G367,H367,I367,J367,K367,L367,M367,N367,O367,P367,Q367,R367,S367,T367,U367,V367,W367,X367,Y367,Z367,AA367,AB367,AC367,AD367,AE367,AF367,AG367,AH367,AI367,AJ367,AK367,AL367,AM367,AN367,AO367,AP367,AQ367,AR367,AS367,AT367,AU367,AV367,AW367,AX367,AY367,AZ367,BA367,BB367,BC367,BD367,BE367,BF367,BG367,BH367)</f>
        <v/>
      </c>
      <c r="C368" s="0" t="inlineStr">
        <is>
          <t>[3,</t>
        </is>
      </c>
      <c r="D368" s="0" t="n">
        <v>26</v>
      </c>
      <c r="E368" s="0" t="inlineStr">
        <is>
          <t>,16],[3,</t>
        </is>
      </c>
      <c r="F368" s="0" t="n">
        <v>26</v>
      </c>
      <c r="G368" s="0" t="inlineStr">
        <is>
          <t>,17],[3,</t>
        </is>
      </c>
      <c r="H368" s="0" t="n">
        <v>26</v>
      </c>
      <c r="I368" s="0" t="inlineStr">
        <is>
          <t>,18],[3,</t>
        </is>
      </c>
      <c r="J368" s="0" t="n">
        <v>26</v>
      </c>
      <c r="K368" s="0" t="inlineStr">
        <is>
          <t>,19],[3,</t>
        </is>
      </c>
      <c r="L368" s="0" t="n">
        <v>26</v>
      </c>
      <c r="M368" s="0" t="inlineStr">
        <is>
          <t>,20],</t>
        </is>
      </c>
    </row>
    <row r="369">
      <c r="A369" s="151" t="inlineStr">
        <is>
          <t xml:space="preserve">[3,5,21],[3,5,22],[3,5,23],[3,6,24],[3,5,25], </t>
        </is>
      </c>
      <c r="B369" s="0">
        <f>CONCATENATE(C368,D368,E368,F368,G368,H368,I368,J368,K368,L368,M368,N368,O368,P368,Q368,R368,S368,T368,U368,V368,W368,X368,Y368,Z368,AA368,AB368,AC368,AD368,AE368,AF368,AG368,AH368,AI368,AJ368,AK368,AL368,AM368,AN368,AO368,AP368,AQ368,AR368,AS368,AT368,AU368,AV368,AW368,AX368,AY368,AZ368,BA368,BB368,BC368,BD368,BE368,BF368,BG368,BH368)</f>
        <v/>
      </c>
      <c r="C369" s="0" t="inlineStr">
        <is>
          <t>[3,</t>
        </is>
      </c>
      <c r="D369" s="0" t="n">
        <v>26</v>
      </c>
      <c r="E369" s="0" t="inlineStr">
        <is>
          <t>,21],[3,</t>
        </is>
      </c>
      <c r="F369" s="0" t="n">
        <v>26</v>
      </c>
      <c r="G369" s="0" t="inlineStr">
        <is>
          <t>,22],[3,</t>
        </is>
      </c>
      <c r="H369" s="0" t="n">
        <v>26</v>
      </c>
      <c r="I369" s="0" t="inlineStr">
        <is>
          <t>,23],[3,</t>
        </is>
      </c>
      <c r="J369" s="0" t="n">
        <v>26</v>
      </c>
      <c r="K369" s="0" t="inlineStr">
        <is>
          <t>,24],[3,</t>
        </is>
      </c>
      <c r="L369" s="0" t="n">
        <v>26</v>
      </c>
      <c r="M369" s="0" t="inlineStr">
        <is>
          <t>,25],</t>
        </is>
      </c>
    </row>
    <row r="370">
      <c r="B370" s="0">
        <f>CONCATENATE(C369,D369,E369,F369,G369,H369,I369,J369,K369,L369,M369,N369,O369,P369,Q369,R369,S369,T369,U369,V369,W369,X369,Y369,Z369,AA369,AB369,AC369,AD369,AE369,AF369,AG369,AH369,AI369,AJ369,AK369,AL369,AM369,AN369,AO369,AP369,AQ369,AR369,AS369,AT369,AU369,AV369,AW369,AX369,AY369,AZ369,BA369,BB369,BC369,BD369,BE369,BF369,BG369,BH369)</f>
        <v/>
      </c>
    </row>
    <row r="371">
      <c r="A371" s="151" t="inlineStr">
        <is>
          <t xml:space="preserve">[4,5,1],[4,5,2],[4,5,3],[4,6,4],[4,5,5], </t>
        </is>
      </c>
      <c r="B371" s="0">
        <f>CONCATENATE(C370,D370,E370,F370,G370,H370,I370,J370,K370,L370,M370,N370,O370,P370,Q370,R370,S370,T370,U370,V370,W370,X370,Y370,Z370,AA370,AB370,AC370,AD370,AE370,AF370,AG370,AH370,AI370,AJ370,AK370,AL370,AM370,AN370,AO370,AP370,AQ370,AR370,AS370,AT370,AU370,AV370,AW370,AX370,AY370,AZ370,BA370,BB370,BC370,BD370,BE370,BF370,BG370,BH370)</f>
        <v/>
      </c>
      <c r="C371" s="0" t="inlineStr">
        <is>
          <t>[4,</t>
        </is>
      </c>
      <c r="D371" s="0" t="n">
        <v>428</v>
      </c>
      <c r="E371" s="0" t="inlineStr">
        <is>
          <t>,1],[4,</t>
        </is>
      </c>
      <c r="F371" s="0" t="n">
        <v>428</v>
      </c>
      <c r="G371" s="0" t="inlineStr">
        <is>
          <t>,2],[4,</t>
        </is>
      </c>
      <c r="H371" s="0" t="n">
        <v>428</v>
      </c>
      <c r="I371" s="0" t="inlineStr">
        <is>
          <t>,3],[4,</t>
        </is>
      </c>
      <c r="J371" s="0" t="n">
        <v>428</v>
      </c>
      <c r="K371" s="0" t="inlineStr">
        <is>
          <t>,4],[4,</t>
        </is>
      </c>
      <c r="L371" s="0" t="n">
        <v>428</v>
      </c>
      <c r="M371" s="0" t="inlineStr">
        <is>
          <t>,5],</t>
        </is>
      </c>
    </row>
    <row r="372">
      <c r="A372" s="151" t="inlineStr">
        <is>
          <t xml:space="preserve">[4,5,6],[4,5,7],[4,5,8],[4,6,9],[4,5,10], </t>
        </is>
      </c>
      <c r="B372" s="0">
        <f>CONCATENATE(C371,D371,E371,F371,G371,H371,I371,J371,K371,L371,M371,N371,O371,P371,Q371,R371,S371,T371,U371,V371,W371,X371,Y371,Z371,AA371,AB371,AC371,AD371,AE371,AF371,AG371,AH371,AI371,AJ371,AK371,AL371,AM371,AN371,AO371,AP371,AQ371,AR371,AS371,AT371,AU371,AV371,AW371,AX371,AY371,AZ371,BA371,BB371,BC371,BD371,BE371,BF371,BG371,BH371)</f>
        <v/>
      </c>
      <c r="C372" s="0" t="inlineStr">
        <is>
          <t>[4,</t>
        </is>
      </c>
      <c r="D372" s="0" t="n">
        <v>428</v>
      </c>
      <c r="E372" s="0" t="inlineStr">
        <is>
          <t>,6],[4,</t>
        </is>
      </c>
      <c r="F372" s="0" t="n">
        <v>428</v>
      </c>
      <c r="G372" s="0" t="inlineStr">
        <is>
          <t>,7],[4,</t>
        </is>
      </c>
      <c r="H372" s="0" t="n">
        <v>428</v>
      </c>
      <c r="I372" s="0" t="inlineStr">
        <is>
          <t>,8],[4,</t>
        </is>
      </c>
      <c r="J372" s="0" t="n">
        <v>428</v>
      </c>
      <c r="K372" s="0" t="inlineStr">
        <is>
          <t>,9],[4,</t>
        </is>
      </c>
      <c r="L372" s="0" t="n">
        <v>428</v>
      </c>
      <c r="M372" s="0" t="inlineStr">
        <is>
          <t>,10],</t>
        </is>
      </c>
    </row>
    <row r="373">
      <c r="A373" s="151" t="inlineStr">
        <is>
          <t xml:space="preserve">[4,5,11],[4,5,12],[4,0,13],[4,6,14],[4,5,15], </t>
        </is>
      </c>
      <c r="B373" s="0">
        <f>CONCATENATE(C372,D372,E372,F372,G372,H372,I372,J372,K372,L372,M372,N372,O372,P372,Q372,R372,S372,T372,U372,V372,W372,X372,Y372,Z372,AA372,AB372,AC372,AD372,AE372,AF372,AG372,AH372,AI372,AJ372,AK372,AL372,AM372,AN372,AO372,AP372,AQ372,AR372,AS372,AT372,AU372,AV372,AW372,AX372,AY372,AZ372,BA372,BB372,BC372,BD372,BE372,BF372,BG372,BH372)</f>
        <v/>
      </c>
      <c r="C373" s="0" t="inlineStr">
        <is>
          <t>[4,</t>
        </is>
      </c>
      <c r="D373" s="0" t="n">
        <v>428</v>
      </c>
      <c r="E373" s="0" t="inlineStr">
        <is>
          <t>,11],[4,</t>
        </is>
      </c>
      <c r="F373" s="0" t="n">
        <v>428</v>
      </c>
      <c r="G373" s="0" t="inlineStr">
        <is>
          <t>,12],[4,</t>
        </is>
      </c>
      <c r="H373" s="0" t="n">
        <v>0</v>
      </c>
      <c r="I373" s="0" t="inlineStr">
        <is>
          <t>,13],[4,</t>
        </is>
      </c>
      <c r="J373" s="0" t="n">
        <v>428</v>
      </c>
      <c r="K373" s="0" t="inlineStr">
        <is>
          <t>,14],[4,</t>
        </is>
      </c>
      <c r="L373" s="0" t="n">
        <v>428</v>
      </c>
      <c r="M373" s="0" t="inlineStr">
        <is>
          <t>,15],</t>
        </is>
      </c>
    </row>
    <row r="374">
      <c r="A374" s="151" t="inlineStr">
        <is>
          <t xml:space="preserve">[4,5,16],[4,5,17],[4,5,18],[4,6,19],[4,5,20], </t>
        </is>
      </c>
      <c r="B374" s="0">
        <f>CONCATENATE(C373,D373,E373,F373,G373,H373,I373,J373,K373,L373,M373,N373,O373,P373,Q373,R373,S373,T373,U373,V373,W373,X373,Y373,Z373,AA373,AB373,AC373,AD373,AE373,AF373,AG373,AH373,AI373,AJ373,AK373,AL373,AM373,AN373,AO373,AP373,AQ373,AR373,AS373,AT373,AU373,AV373,AW373,AX373,AY373,AZ373,BA373,BB373,BC373,BD373,BE373,BF373,BG373,BH373)</f>
        <v/>
      </c>
      <c r="C374" s="0" t="inlineStr">
        <is>
          <t>[4,</t>
        </is>
      </c>
      <c r="D374" s="0" t="n">
        <v>428</v>
      </c>
      <c r="E374" s="0" t="inlineStr">
        <is>
          <t>,16],[4,</t>
        </is>
      </c>
      <c r="F374" s="0" t="n">
        <v>428</v>
      </c>
      <c r="G374" s="0" t="inlineStr">
        <is>
          <t>,17],[4,</t>
        </is>
      </c>
      <c r="H374" s="0" t="n">
        <v>428</v>
      </c>
      <c r="I374" s="0" t="inlineStr">
        <is>
          <t>,18],[4,</t>
        </is>
      </c>
      <c r="J374" s="0" t="n">
        <v>428</v>
      </c>
      <c r="K374" s="0" t="inlineStr">
        <is>
          <t>,19],[4,</t>
        </is>
      </c>
      <c r="L374" s="0" t="n">
        <v>428</v>
      </c>
      <c r="M374" s="0" t="inlineStr">
        <is>
          <t>,20],</t>
        </is>
      </c>
    </row>
    <row r="375">
      <c r="A375" s="151" t="inlineStr">
        <is>
          <t xml:space="preserve">[4,5,21],[4,5,22],[4,5,23],[4,6,24],[4,5,25], </t>
        </is>
      </c>
      <c r="B375" s="0">
        <f>CONCATENATE(C374,D374,E374,F374,G374,H374,I374,J374,K374,L374,M374,N374,O374,P374,Q374,R374,S374,T374,U374,V374,W374,X374,Y374,Z374,AA374,AB374,AC374,AD374,AE374,AF374,AG374,AH374,AI374,AJ374,AK374,AL374,AM374,AN374,AO374,AP374,AQ374,AR374,AS374,AT374,AU374,AV374,AW374,AX374,AY374,AZ374,BA374,BB374,BC374,BD374,BE374,BF374,BG374,BH374)</f>
        <v/>
      </c>
      <c r="C375" s="0" t="inlineStr">
        <is>
          <t>[4,</t>
        </is>
      </c>
      <c r="D375" s="0" t="n">
        <v>428</v>
      </c>
      <c r="E375" s="0" t="inlineStr">
        <is>
          <t>,21],[4,</t>
        </is>
      </c>
      <c r="F375" s="0" t="n">
        <v>428</v>
      </c>
      <c r="G375" s="0" t="inlineStr">
        <is>
          <t>,22],[4,</t>
        </is>
      </c>
      <c r="H375" s="0" t="n">
        <v>428</v>
      </c>
      <c r="I375" s="0" t="inlineStr">
        <is>
          <t>,23],[4,</t>
        </is>
      </c>
      <c r="J375" s="0" t="n">
        <v>428</v>
      </c>
      <c r="K375" s="0" t="inlineStr">
        <is>
          <t>,24],[4,</t>
        </is>
      </c>
      <c r="L375" s="0" t="n">
        <v>428</v>
      </c>
      <c r="M375" s="0" t="inlineStr">
        <is>
          <t>,25],</t>
        </is>
      </c>
    </row>
    <row r="376">
      <c r="B376" s="0">
        <f>CONCATENATE(C375,D375,E375,F375,G375,H375,I375,J375,K375,L375,M375,N375,O375,P375,Q375,R375,S375,T375,U375,V375,W375,X375,Y375,Z375,AA375,AB375,AC375,AD375,AE375,AF375,AG375,AH375,AI375,AJ375,AK375,AL375,AM375,AN375,AO375,AP375,AQ375,AR375,AS375,AT375,AU375,AV375,AW375,AX375,AY375,AZ375,BA375,BB375,BC375,BD375,BE375,BF375,BG375,BH375)</f>
        <v/>
      </c>
    </row>
    <row r="377">
      <c r="A377" s="151" t="inlineStr">
        <is>
          <t xml:space="preserve">[5,5,1],[5,5,2],[5,5,3],[5,6,4],[5,5,5], </t>
        </is>
      </c>
      <c r="B377" s="0">
        <f>CONCATENATE(C376,D376,E376,F376,G376,H376,I376,J376,K376,L376,M376,N376,O376,P376,Q376,R376,S376,T376,U376,V376,W376,X376,Y376,Z376,AA376,AB376,AC376,AD376,AE376,AF376,AG376,AH376,AI376,AJ376,AK376,AL376,AM376,AN376,AO376,AP376,AQ376,AR376,AS376,AT376,AU376,AV376,AW376,AX376,AY376,AZ376,BA376,BB376,BC376,BD376,BE376,BF376,BG376,BH376)</f>
        <v/>
      </c>
      <c r="C377" s="0" t="inlineStr">
        <is>
          <t>[5,</t>
        </is>
      </c>
      <c r="D377" s="0" t="n">
        <v>357</v>
      </c>
      <c r="E377" s="0" t="inlineStr">
        <is>
          <t>,1],[5,</t>
        </is>
      </c>
      <c r="F377" s="0" t="n">
        <v>357</v>
      </c>
      <c r="G377" s="0" t="inlineStr">
        <is>
          <t>,2],[5,</t>
        </is>
      </c>
      <c r="H377" s="0" t="n">
        <v>357</v>
      </c>
      <c r="I377" s="0" t="inlineStr">
        <is>
          <t>,3],[5,</t>
        </is>
      </c>
      <c r="J377" s="0" t="n">
        <v>357</v>
      </c>
      <c r="K377" s="0" t="inlineStr">
        <is>
          <t>,4],[5,</t>
        </is>
      </c>
      <c r="L377" s="0" t="n">
        <v>357</v>
      </c>
      <c r="M377" s="0" t="inlineStr">
        <is>
          <t>,5],</t>
        </is>
      </c>
    </row>
    <row r="378">
      <c r="A378" s="151" t="inlineStr">
        <is>
          <t xml:space="preserve">[5,5,6],[5,5,7],[5,5,8],[5,6,9],[5,5,10], </t>
        </is>
      </c>
      <c r="B378" s="0">
        <f>CONCATENATE(C377,D377,E377,F377,G377,H377,I377,J377,K377,L377,M377,N377,O377,P377,Q377,R377,S377,T377,U377,V377,W377,X377,Y377,Z377,AA377,AB377,AC377,AD377,AE377,AF377,AG377,AH377,AI377,AJ377,AK377,AL377,AM377,AN377,AO377,AP377,AQ377,AR377,AS377,AT377,AU377,AV377,AW377,AX377,AY377,AZ377,BA377,BB377,BC377,BD377,BE377,BF377,BG377,BH377)</f>
        <v/>
      </c>
      <c r="C378" s="0" t="inlineStr">
        <is>
          <t>[5,</t>
        </is>
      </c>
      <c r="D378" s="0" t="n">
        <v>357</v>
      </c>
      <c r="E378" s="0" t="inlineStr">
        <is>
          <t>,6],[5,</t>
        </is>
      </c>
      <c r="F378" s="0" t="n">
        <v>357</v>
      </c>
      <c r="G378" s="0" t="inlineStr">
        <is>
          <t>,7],[5,</t>
        </is>
      </c>
      <c r="H378" s="0" t="n">
        <v>357</v>
      </c>
      <c r="I378" s="0" t="inlineStr">
        <is>
          <t>,8],[5,</t>
        </is>
      </c>
      <c r="J378" s="0" t="n">
        <v>357</v>
      </c>
      <c r="K378" s="0" t="inlineStr">
        <is>
          <t>,9],[5,</t>
        </is>
      </c>
      <c r="L378" s="0" t="n">
        <v>357</v>
      </c>
      <c r="M378" s="0" t="inlineStr">
        <is>
          <t>,10],</t>
        </is>
      </c>
    </row>
    <row r="379">
      <c r="A379" s="151" t="inlineStr">
        <is>
          <t xml:space="preserve">[5,5,11],[5,5,12],[5,0,13],[5,6,14],[5,5,15], </t>
        </is>
      </c>
      <c r="B379" s="0">
        <f>CONCATENATE(C378,D378,E378,F378,G378,H378,I378,J378,K378,L378,M378,N378,O378,P378,Q378,R378,S378,T378,U378,V378,W378,X378,Y378,Z378,AA378,AB378,AC378,AD378,AE378,AF378,AG378,AH378,AI378,AJ378,AK378,AL378,AM378,AN378,AO378,AP378,AQ378,AR378,AS378,AT378,AU378,AV378,AW378,AX378,AY378,AZ378,BA378,BB378,BC378,BD378,BE378,BF378,BG378,BH378)</f>
        <v/>
      </c>
      <c r="C379" s="0" t="inlineStr">
        <is>
          <t>[5,</t>
        </is>
      </c>
      <c r="D379" s="0" t="n">
        <v>357</v>
      </c>
      <c r="E379" s="0" t="inlineStr">
        <is>
          <t>,11],[5,</t>
        </is>
      </c>
      <c r="F379" s="0" t="n">
        <v>357</v>
      </c>
      <c r="G379" s="0" t="inlineStr">
        <is>
          <t>,12],[5,</t>
        </is>
      </c>
      <c r="H379" s="0" t="n">
        <v>0</v>
      </c>
      <c r="I379" s="0" t="inlineStr">
        <is>
          <t>,13],[5,</t>
        </is>
      </c>
      <c r="J379" s="0" t="n">
        <v>357</v>
      </c>
      <c r="K379" s="0" t="inlineStr">
        <is>
          <t>,14],[5,</t>
        </is>
      </c>
      <c r="L379" s="0" t="n">
        <v>357</v>
      </c>
      <c r="M379" s="0" t="inlineStr">
        <is>
          <t>,15],</t>
        </is>
      </c>
    </row>
    <row r="380">
      <c r="A380" s="151" t="inlineStr">
        <is>
          <t xml:space="preserve">[5,5,16],[5,5,17],[5,5,18],[5,6,19],[5,5,20], </t>
        </is>
      </c>
      <c r="B380" s="0">
        <f>CONCATENATE(C379,D379,E379,F379,G379,H379,I379,J379,K379,L379,M379,N379,O379,P379,Q379,R379,S379,T379,U379,V379,W379,X379,Y379,Z379,AA379,AB379,AC379,AD379,AE379,AF379,AG379,AH379,AI379,AJ379,AK379,AL379,AM379,AN379,AO379,AP379,AQ379,AR379,AS379,AT379,AU379,AV379,AW379,AX379,AY379,AZ379,BA379,BB379,BC379,BD379,BE379,BF379,BG379,BH379)</f>
        <v/>
      </c>
      <c r="C380" s="0" t="inlineStr">
        <is>
          <t>[5,</t>
        </is>
      </c>
      <c r="D380" s="0" t="n">
        <v>357</v>
      </c>
      <c r="E380" s="0" t="inlineStr">
        <is>
          <t>,16],[5,</t>
        </is>
      </c>
      <c r="F380" s="0" t="n">
        <v>357</v>
      </c>
      <c r="G380" s="0" t="inlineStr">
        <is>
          <t>,17],[5,</t>
        </is>
      </c>
      <c r="H380" s="0" t="n">
        <v>357</v>
      </c>
      <c r="I380" s="0" t="inlineStr">
        <is>
          <t>,18],[5,</t>
        </is>
      </c>
      <c r="J380" s="0" t="n">
        <v>357</v>
      </c>
      <c r="K380" s="0" t="inlineStr">
        <is>
          <t>,19],[5,</t>
        </is>
      </c>
      <c r="L380" s="0" t="n">
        <v>357</v>
      </c>
      <c r="M380" s="0" t="inlineStr">
        <is>
          <t>,20],</t>
        </is>
      </c>
    </row>
    <row r="381">
      <c r="A381" s="151" t="inlineStr">
        <is>
          <t xml:space="preserve">[5,5,21],[5,5,22],[5,5,23],[5,6,24],[5,5,25], </t>
        </is>
      </c>
      <c r="B381" s="0">
        <f>CONCATENATE(C380,D380,E380,F380,G380,H380,I380,J380,K380,L380,M380,N380,O380,P380,Q380,R380,S380,T380,U380,V380,W380,X380,Y380,Z380,AA380,AB380,AC380,AD380,AE380,AF380,AG380,AH380,AI380,AJ380,AK380,AL380,AM380,AN380,AO380,AP380,AQ380,AR380,AS380,AT380,AU380,AV380,AW380,AX380,AY380,AZ380,BA380,BB380,BC380,BD380,BE380,BF380,BG380,BH380)</f>
        <v/>
      </c>
      <c r="C381" s="0" t="inlineStr">
        <is>
          <t>[5,</t>
        </is>
      </c>
      <c r="D381" s="0" t="n">
        <v>357</v>
      </c>
      <c r="E381" s="0" t="inlineStr">
        <is>
          <t>,21],[5,</t>
        </is>
      </c>
      <c r="F381" s="0" t="n">
        <v>357</v>
      </c>
      <c r="G381" s="0" t="inlineStr">
        <is>
          <t>,22],[5,</t>
        </is>
      </c>
      <c r="H381" s="0" t="n">
        <v>357</v>
      </c>
      <c r="I381" s="0" t="inlineStr">
        <is>
          <t>,23],[5,</t>
        </is>
      </c>
      <c r="J381" s="0" t="n">
        <v>357</v>
      </c>
      <c r="K381" s="0" t="inlineStr">
        <is>
          <t>,24],[5,</t>
        </is>
      </c>
      <c r="L381" s="0" t="n">
        <v>357</v>
      </c>
      <c r="M381" s="0" t="inlineStr">
        <is>
          <t>,25],</t>
        </is>
      </c>
    </row>
    <row r="382">
      <c r="B382" s="0">
        <f>CONCATENATE(C381,D381,E381,F381,G381,H381,I381,J381,K381,L381,M381,N381,O381,P381,Q381,R381,S381,T381,U381,V381,W381,X381,Y381,Z381,AA381,AB381,AC381,AD381,AE381,AF381,AG381,AH381,AI381,AJ381,AK381,AL381,AM381,AN381,AO381,AP381,AQ381,AR381,AS381,AT381,AU381,AV381,AW381,AX381,AY381,AZ381,BA381,BB381,BC381,BD381,BE381,BF381,BG381,BH381)</f>
        <v/>
      </c>
    </row>
    <row r="383">
      <c r="A383" s="151" t="inlineStr">
        <is>
          <t xml:space="preserve">[6,5,1],[6,5,2],[6,5,3],[6,6,4],[6,5,5], </t>
        </is>
      </c>
      <c r="B383" s="0">
        <f>CONCATENATE(C382,D382,E382,F382,G382,H382,I382,J382,K382,L382,M382,N382,O382,P382,Q382,R382,S382,T382,U382,V382,W382,X382,Y382,Z382,AA382,AB382,AC382,AD382,AE382,AF382,AG382,AH382,AI382,AJ382,AK382,AL382,AM382,AN382,AO382,AP382,AQ382,AR382,AS382,AT382,AU382,AV382,AW382,AX382,AY382,AZ382,BA382,BB382,BC382,BD382,BE382,BF382,BG382,BH382)</f>
        <v/>
      </c>
      <c r="C383" s="0" t="inlineStr">
        <is>
          <t>[6,</t>
        </is>
      </c>
      <c r="D383" s="0" t="n">
        <v>306</v>
      </c>
      <c r="E383" s="0" t="inlineStr">
        <is>
          <t>,1],[6,</t>
        </is>
      </c>
      <c r="F383" s="0" t="n">
        <v>306</v>
      </c>
      <c r="G383" s="0" t="inlineStr">
        <is>
          <t>,2],[6,</t>
        </is>
      </c>
      <c r="H383" s="0" t="n">
        <v>306</v>
      </c>
      <c r="I383" s="0" t="inlineStr">
        <is>
          <t>,3],[6,</t>
        </is>
      </c>
      <c r="J383" s="0" t="n">
        <v>306</v>
      </c>
      <c r="K383" s="0" t="inlineStr">
        <is>
          <t>,4],[6,</t>
        </is>
      </c>
      <c r="L383" s="0" t="n">
        <v>306</v>
      </c>
      <c r="M383" s="0" t="inlineStr">
        <is>
          <t>,5],</t>
        </is>
      </c>
    </row>
    <row r="384">
      <c r="A384" s="151" t="inlineStr">
        <is>
          <t xml:space="preserve">[6,5,6],[6,5,7],[6,5,8],[6,6,9],[6,5,10], </t>
        </is>
      </c>
      <c r="B384" s="0">
        <f>CONCATENATE(C383,D383,E383,F383,G383,H383,I383,J383,K383,L383,M383,N383,O383,P383,Q383,R383,S383,T383,U383,V383,W383,X383,Y383,Z383,AA383,AB383,AC383,AD383,AE383,AF383,AG383,AH383,AI383,AJ383,AK383,AL383,AM383,AN383,AO383,AP383,AQ383,AR383,AS383,AT383,AU383,AV383,AW383,AX383,AY383,AZ383,BA383,BB383,BC383,BD383,BE383,BF383,BG383,BH383)</f>
        <v/>
      </c>
      <c r="C384" s="0" t="inlineStr">
        <is>
          <t>[6,</t>
        </is>
      </c>
      <c r="D384" s="0" t="n">
        <v>306</v>
      </c>
      <c r="E384" s="0" t="inlineStr">
        <is>
          <t>,6],[6,</t>
        </is>
      </c>
      <c r="F384" s="0" t="n">
        <v>306</v>
      </c>
      <c r="G384" s="0" t="inlineStr">
        <is>
          <t>,7],[6,</t>
        </is>
      </c>
      <c r="H384" s="0" t="n">
        <v>306</v>
      </c>
      <c r="I384" s="0" t="inlineStr">
        <is>
          <t>,8],[6,</t>
        </is>
      </c>
      <c r="J384" s="0" t="n">
        <v>306</v>
      </c>
      <c r="K384" s="0" t="inlineStr">
        <is>
          <t>,9],[6,</t>
        </is>
      </c>
      <c r="L384" s="0" t="n">
        <v>306</v>
      </c>
      <c r="M384" s="0" t="inlineStr">
        <is>
          <t>,10],</t>
        </is>
      </c>
    </row>
    <row r="385">
      <c r="A385" s="151" t="inlineStr">
        <is>
          <t xml:space="preserve">[6,5,11],[6,5,12],[6,0,13],[6,6,14],[6,5,15], </t>
        </is>
      </c>
      <c r="B385" s="0">
        <f>CONCATENATE(C384,D384,E384,F384,G384,H384,I384,J384,K384,L384,M384,N384,O384,P384,Q384,R384,S384,T384,U384,V384,W384,X384,Y384,Z384,AA384,AB384,AC384,AD384,AE384,AF384,AG384,AH384,AI384,AJ384,AK384,AL384,AM384,AN384,AO384,AP384,AQ384,AR384,AS384,AT384,AU384,AV384,AW384,AX384,AY384,AZ384,BA384,BB384,BC384,BD384,BE384,BF384,BG384,BH384)</f>
        <v/>
      </c>
      <c r="C385" s="0" t="inlineStr">
        <is>
          <t>[6,</t>
        </is>
      </c>
      <c r="D385" s="0" t="n">
        <v>306</v>
      </c>
      <c r="E385" s="0" t="inlineStr">
        <is>
          <t>,11],[6,</t>
        </is>
      </c>
      <c r="F385" s="0" t="n">
        <v>306</v>
      </c>
      <c r="G385" s="0" t="inlineStr">
        <is>
          <t>,12],[6,</t>
        </is>
      </c>
      <c r="H385" s="0" t="n">
        <v>0</v>
      </c>
      <c r="I385" s="0" t="inlineStr">
        <is>
          <t>,13],[6,</t>
        </is>
      </c>
      <c r="J385" s="0" t="n">
        <v>306</v>
      </c>
      <c r="K385" s="0" t="inlineStr">
        <is>
          <t>,14],[6,</t>
        </is>
      </c>
      <c r="L385" s="0" t="n">
        <v>306</v>
      </c>
      <c r="M385" s="0" t="inlineStr">
        <is>
          <t>,15],</t>
        </is>
      </c>
    </row>
    <row r="386">
      <c r="A386" s="151" t="inlineStr">
        <is>
          <t xml:space="preserve">[6,5,16],[6,5,17],[6,5,18],[6,6,19],[6,5,20], </t>
        </is>
      </c>
      <c r="B386" s="0">
        <f>CONCATENATE(C385,D385,E385,F385,G385,H385,I385,J385,K385,L385,M385,N385,O385,P385,Q385,R385,S385,T385,U385,V385,W385,X385,Y385,Z385,AA385,AB385,AC385,AD385,AE385,AF385,AG385,AH385,AI385,AJ385,AK385,AL385,AM385,AN385,AO385,AP385,AQ385,AR385,AS385,AT385,AU385,AV385,AW385,AX385,AY385,AZ385,BA385,BB385,BC385,BD385,BE385,BF385,BG385,BH385)</f>
        <v/>
      </c>
      <c r="C386" s="0" t="inlineStr">
        <is>
          <t>[6,</t>
        </is>
      </c>
      <c r="D386" s="0" t="n">
        <v>306</v>
      </c>
      <c r="E386" s="0" t="inlineStr">
        <is>
          <t>,16],[6,</t>
        </is>
      </c>
      <c r="F386" s="0" t="n">
        <v>306</v>
      </c>
      <c r="G386" s="0" t="inlineStr">
        <is>
          <t>,17],[6,</t>
        </is>
      </c>
      <c r="H386" s="0" t="n">
        <v>306</v>
      </c>
      <c r="I386" s="0" t="inlineStr">
        <is>
          <t>,18],[6,</t>
        </is>
      </c>
      <c r="J386" s="0" t="n">
        <v>306</v>
      </c>
      <c r="K386" s="0" t="inlineStr">
        <is>
          <t>,19],[6,</t>
        </is>
      </c>
      <c r="L386" s="0" t="n">
        <v>306</v>
      </c>
      <c r="M386" s="0" t="inlineStr">
        <is>
          <t>,20],</t>
        </is>
      </c>
    </row>
    <row r="387">
      <c r="A387" s="151" t="inlineStr">
        <is>
          <t xml:space="preserve">[6,5,21],[6,5,22],[6,5,23],[6,6,24],[6,5,25], </t>
        </is>
      </c>
      <c r="B387" s="0">
        <f>CONCATENATE(C386,D386,E386,F386,G386,H386,I386,J386,K386,L386,M386,N386,O386,P386,Q386,R386,S386,T386,U386,V386,W386,X386,Y386,Z386,AA386,AB386,AC386,AD386,AE386,AF386,AG386,AH386,AI386,AJ386,AK386,AL386,AM386,AN386,AO386,AP386,AQ386,AR386,AS386,AT386,AU386,AV386,AW386,AX386,AY386,AZ386,BA386,BB386,BC386,BD386,BE386,BF386,BG386,BH386)</f>
        <v/>
      </c>
      <c r="C387" s="0" t="inlineStr">
        <is>
          <t>[6,</t>
        </is>
      </c>
      <c r="D387" s="0" t="n">
        <v>306</v>
      </c>
      <c r="E387" s="0" t="inlineStr">
        <is>
          <t>,21],[6,</t>
        </is>
      </c>
      <c r="F387" s="0" t="n">
        <v>306</v>
      </c>
      <c r="G387" s="0" t="inlineStr">
        <is>
          <t>,22],[6,</t>
        </is>
      </c>
      <c r="H387" s="0" t="n">
        <v>306</v>
      </c>
      <c r="I387" s="0" t="inlineStr">
        <is>
          <t>,23],[6,</t>
        </is>
      </c>
      <c r="J387" s="0" t="n">
        <v>306</v>
      </c>
      <c r="K387" s="0" t="inlineStr">
        <is>
          <t>,24],[6,</t>
        </is>
      </c>
      <c r="L387" s="0" t="n">
        <v>306</v>
      </c>
      <c r="M387" s="0" t="inlineStr">
        <is>
          <t>,25],</t>
        </is>
      </c>
    </row>
    <row r="388">
      <c r="B388" s="0">
        <f>CONCATENATE(C387,D387,E387,F387,G387,H387,I387,J387,K387,L387,M387,N387,O387,P387,Q387,R387,S387,T387,U387,V387,W387,X387,Y387,Z387,AA387,AB387,AC387,AD387,AE387,AF387,AG387,AH387,AI387,AJ387,AK387,AL387,AM387,AN387,AO387,AP387,AQ387,AR387,AS387,AT387,AU387,AV387,AW387,AX387,AY387,AZ387,BA387,BB387,BC387,BD387,BE387,BF387,BG387,BH387)</f>
        <v/>
      </c>
    </row>
    <row r="389">
      <c r="A389" s="151" t="inlineStr">
        <is>
          <t xml:space="preserve">[7,5,1],[7,5,2],[7,5,3],[7,6,4],[7,5,5], </t>
        </is>
      </c>
      <c r="B389" s="0">
        <f>CONCATENATE(C388,D388,E388,F388,G388,H388,I388,J388,K388,L388,M388,N388,O388,P388,Q388,R388,S388,T388,U388,V388,W388,X388,Y388,Z388,AA388,AB388,AC388,AD388,AE388,AF388,AG388,AH388,AI388,AJ388,AK388,AL388,AM388,AN388,AO388,AP388,AQ388,AR388,AS388,AT388,AU388,AV388,AW388,AX388,AY388,AZ388,BA388,BB388,BC388,BD388,BE388,BF388,BG388,BH388)</f>
        <v/>
      </c>
      <c r="C389" s="0" t="inlineStr">
        <is>
          <t>[7,</t>
        </is>
      </c>
      <c r="D389" s="0" t="n">
        <v>10</v>
      </c>
      <c r="E389" s="0" t="inlineStr">
        <is>
          <t>,1],[7,</t>
        </is>
      </c>
      <c r="F389" s="0" t="n">
        <v>10</v>
      </c>
      <c r="G389" s="0" t="inlineStr">
        <is>
          <t>,2],[7,</t>
        </is>
      </c>
      <c r="H389" s="0" t="n">
        <v>10</v>
      </c>
      <c r="I389" s="0" t="inlineStr">
        <is>
          <t>,3],[7,</t>
        </is>
      </c>
      <c r="J389" s="0" t="n">
        <v>10</v>
      </c>
      <c r="K389" s="0" t="inlineStr">
        <is>
          <t>,4],[7,</t>
        </is>
      </c>
      <c r="L389" s="0" t="n">
        <v>10</v>
      </c>
      <c r="M389" s="0" t="inlineStr">
        <is>
          <t>,5],</t>
        </is>
      </c>
    </row>
    <row r="390">
      <c r="A390" s="151" t="inlineStr">
        <is>
          <t xml:space="preserve">[7,5,6],[7,5,7],[7,5,8],[7,6,9],[7,5,10], </t>
        </is>
      </c>
      <c r="B390" s="0">
        <f>CONCATENATE(C389,D389,E389,F389,G389,H389,I389,J389,K389,L389,M389,N389,O389,P389,Q389,R389,S389,T389,U389,V389,W389,X389,Y389,Z389,AA389,AB389,AC389,AD389,AE389,AF389,AG389,AH389,AI389,AJ389,AK389,AL389,AM389,AN389,AO389,AP389,AQ389,AR389,AS389,AT389,AU389,AV389,AW389,AX389,AY389,AZ389,BA389,BB389,BC389,BD389,BE389,BF389,BG389,BH389)</f>
        <v/>
      </c>
      <c r="C390" s="0" t="inlineStr">
        <is>
          <t>[7,</t>
        </is>
      </c>
      <c r="D390" s="0" t="n">
        <v>10</v>
      </c>
      <c r="E390" s="0" t="inlineStr">
        <is>
          <t>,6],[7,</t>
        </is>
      </c>
      <c r="F390" s="0" t="n">
        <v>10</v>
      </c>
      <c r="G390" s="0" t="inlineStr">
        <is>
          <t>,7],[7,</t>
        </is>
      </c>
      <c r="H390" s="0" t="n">
        <v>10</v>
      </c>
      <c r="I390" s="0" t="inlineStr">
        <is>
          <t>,8],[7,</t>
        </is>
      </c>
      <c r="J390" s="0" t="n">
        <v>10</v>
      </c>
      <c r="K390" s="0" t="inlineStr">
        <is>
          <t>,9],[7,</t>
        </is>
      </c>
      <c r="L390" s="0" t="n">
        <v>10</v>
      </c>
      <c r="M390" s="0" t="inlineStr">
        <is>
          <t>,10],</t>
        </is>
      </c>
    </row>
    <row r="391">
      <c r="A391" s="151" t="inlineStr">
        <is>
          <t xml:space="preserve">[7,5,11],[7,5,12],[7,0,13],[7,6,14],[7,5,15], </t>
        </is>
      </c>
      <c r="B391" s="0">
        <f>CONCATENATE(C390,D390,E390,F390,G390,H390,I390,J390,K390,L390,M390,N390,O390,P390,Q390,R390,S390,T390,U390,V390,W390,X390,Y390,Z390,AA390,AB390,AC390,AD390,AE390,AF390,AG390,AH390,AI390,AJ390,AK390,AL390,AM390,AN390,AO390,AP390,AQ390,AR390,AS390,AT390,AU390,AV390,AW390,AX390,AY390,AZ390,BA390,BB390,BC390,BD390,BE390,BF390,BG390,BH390)</f>
        <v/>
      </c>
      <c r="C391" s="0" t="inlineStr">
        <is>
          <t>[7,</t>
        </is>
      </c>
      <c r="D391" s="0" t="n">
        <v>10</v>
      </c>
      <c r="E391" s="0" t="inlineStr">
        <is>
          <t>,11],[7,</t>
        </is>
      </c>
      <c r="F391" s="0" t="n">
        <v>10</v>
      </c>
      <c r="G391" s="0" t="inlineStr">
        <is>
          <t>,12],[7,</t>
        </is>
      </c>
      <c r="H391" s="0" t="n">
        <v>0</v>
      </c>
      <c r="I391" s="0" t="inlineStr">
        <is>
          <t>,13],[7,</t>
        </is>
      </c>
      <c r="J391" s="0" t="n">
        <v>10</v>
      </c>
      <c r="K391" s="0" t="inlineStr">
        <is>
          <t>,14],[7,</t>
        </is>
      </c>
      <c r="L391" s="0" t="n">
        <v>10</v>
      </c>
      <c r="M391" s="0" t="inlineStr">
        <is>
          <t>,15],</t>
        </is>
      </c>
    </row>
    <row r="392">
      <c r="A392" s="151" t="inlineStr">
        <is>
          <t xml:space="preserve">[7,5,16],[7,5,17],[7,5,18],[7,6,19],[7,5,20], </t>
        </is>
      </c>
      <c r="B392" s="0">
        <f>CONCATENATE(C391,D391,E391,F391,G391,H391,I391,J391,K391,L391,M391,N391,O391,P391,Q391,R391,S391,T391,U391,V391,W391,X391,Y391,Z391,AA391,AB391,AC391,AD391,AE391,AF391,AG391,AH391,AI391,AJ391,AK391,AL391,AM391,AN391,AO391,AP391,AQ391,AR391,AS391,AT391,AU391,AV391,AW391,AX391,AY391,AZ391,BA391,BB391,BC391,BD391,BE391,BF391,BG391,BH391)</f>
        <v/>
      </c>
      <c r="C392" s="0" t="inlineStr">
        <is>
          <t>[7,</t>
        </is>
      </c>
      <c r="D392" s="0" t="n">
        <v>10</v>
      </c>
      <c r="E392" s="0" t="inlineStr">
        <is>
          <t>,16],[7,</t>
        </is>
      </c>
      <c r="F392" s="0" t="n">
        <v>10</v>
      </c>
      <c r="G392" s="0" t="inlineStr">
        <is>
          <t>,17],[7,</t>
        </is>
      </c>
      <c r="H392" s="0" t="n">
        <v>10</v>
      </c>
      <c r="I392" s="0" t="inlineStr">
        <is>
          <t>,18],[7,</t>
        </is>
      </c>
      <c r="J392" s="0" t="n">
        <v>10</v>
      </c>
      <c r="K392" s="0" t="inlineStr">
        <is>
          <t>,19],[7,</t>
        </is>
      </c>
      <c r="L392" s="0" t="n">
        <v>10</v>
      </c>
      <c r="M392" s="0" t="inlineStr">
        <is>
          <t>,20],</t>
        </is>
      </c>
    </row>
    <row r="393">
      <c r="A393" s="151" t="inlineStr">
        <is>
          <t xml:space="preserve">[7,5,21],[7,5,22],[7,5,23],[7,6,24],[7,5,25], </t>
        </is>
      </c>
      <c r="B393" s="0">
        <f>CONCATENATE(C392,D392,E392,F392,G392,H392,I392,J392,K392,L392,M392,N392,O392,P392,Q392,R392,S392,T392,U392,V392,W392,X392,Y392,Z392,AA392,AB392,AC392,AD392,AE392,AF392,AG392,AH392,AI392,AJ392,AK392,AL392,AM392,AN392,AO392,AP392,AQ392,AR392,AS392,AT392,AU392,AV392,AW392,AX392,AY392,AZ392,BA392,BB392,BC392,BD392,BE392,BF392,BG392,BH392)</f>
        <v/>
      </c>
      <c r="C393" s="0" t="inlineStr">
        <is>
          <t>[7,</t>
        </is>
      </c>
      <c r="D393" s="0" t="n">
        <v>10</v>
      </c>
      <c r="E393" s="0" t="inlineStr">
        <is>
          <t>,21],[7,</t>
        </is>
      </c>
      <c r="F393" s="0" t="n">
        <v>10</v>
      </c>
      <c r="G393" s="0" t="inlineStr">
        <is>
          <t>,22],[7,</t>
        </is>
      </c>
      <c r="H393" s="0" t="n">
        <v>10</v>
      </c>
      <c r="I393" s="0" t="inlineStr">
        <is>
          <t>,23],[7,</t>
        </is>
      </c>
      <c r="J393" s="0" t="n">
        <v>10</v>
      </c>
      <c r="K393" s="0" t="inlineStr">
        <is>
          <t>,24],[7,</t>
        </is>
      </c>
      <c r="L393" s="0" t="n">
        <v>10</v>
      </c>
      <c r="M393" s="0" t="inlineStr">
        <is>
          <t>,25],</t>
        </is>
      </c>
    </row>
    <row r="394">
      <c r="B394" s="0">
        <f>CONCATENATE(C393,D393,E393,F393,G393,H393,I393,J393,K393,L393,M393,N393,O393,P393,Q393,R393,S393,T393,U393,V393,W393,X393,Y393,Z393,AA393,AB393,AC393,AD393,AE393,AF393,AG393,AH393,AI393,AJ393,AK393,AL393,AM393,AN393,AO393,AP393,AQ393,AR393,AS393,AT393,AU393,AV393,AW393,AX393,AY393,AZ393,BA393,BB393,BC393,BD393,BE393,BF393,BG393,BH393)</f>
        <v/>
      </c>
    </row>
    <row r="395">
      <c r="A395" s="151" t="inlineStr">
        <is>
          <t xml:space="preserve">[8,5,1],[8,5,2],[8,5,3],[8,6,4],[8,5,5], </t>
        </is>
      </c>
      <c r="B395" s="0">
        <f>CONCATENATE(C394,D394,E394,F394,G394,H394,I394,J394,K394,L394,M394,N394,O394,P394,Q394,R394,S394,T394,U394,V394,W394,X394,Y394,Z394,AA394,AB394,AC394,AD394,AE394,AF394,AG394,AH394,AI394,AJ394,AK394,AL394,AM394,AN394,AO394,AP394,AQ394,AR394,AS394,AT394,AU394,AV394,AW394,AX394,AY394,AZ394,BA394,BB394,BC394,BD394,BE394,BF394,BG394,BH394)</f>
        <v/>
      </c>
      <c r="C395" s="0" t="inlineStr">
        <is>
          <t>[8,</t>
        </is>
      </c>
      <c r="D395" s="0" t="n">
        <v>8</v>
      </c>
      <c r="E395" s="0" t="inlineStr">
        <is>
          <t>,1],[8,</t>
        </is>
      </c>
      <c r="F395" s="0" t="n">
        <v>8</v>
      </c>
      <c r="G395" s="0" t="inlineStr">
        <is>
          <t>,2],[8,</t>
        </is>
      </c>
      <c r="H395" s="0" t="n">
        <v>8</v>
      </c>
      <c r="I395" s="0" t="inlineStr">
        <is>
          <t>,3],[8,</t>
        </is>
      </c>
      <c r="J395" s="0" t="n">
        <v>8</v>
      </c>
      <c r="K395" s="0" t="inlineStr">
        <is>
          <t>,4],[8,</t>
        </is>
      </c>
      <c r="L395" s="0" t="n">
        <v>8</v>
      </c>
      <c r="M395" s="0" t="inlineStr">
        <is>
          <t>,5],</t>
        </is>
      </c>
    </row>
    <row r="396">
      <c r="A396" s="151" t="inlineStr">
        <is>
          <t xml:space="preserve">[8,5,6],[8,5,7],[8,5,8],[8,6,9],[8,5,10], </t>
        </is>
      </c>
      <c r="B396" s="0">
        <f>CONCATENATE(C395,D395,E395,F395,G395,H395,I395,J395,K395,L395,M395,N395,O395,P395,Q395,R395,S395,T395,U395,V395,W395,X395,Y395,Z395,AA395,AB395,AC395,AD395,AE395,AF395,AG395,AH395,AI395,AJ395,AK395,AL395,AM395,AN395,AO395,AP395,AQ395,AR395,AS395,AT395,AU395,AV395,AW395,AX395,AY395,AZ395,BA395,BB395,BC395,BD395,BE395,BF395,BG395,BH395)</f>
        <v/>
      </c>
      <c r="C396" s="0" t="inlineStr">
        <is>
          <t>[8,</t>
        </is>
      </c>
      <c r="D396" s="0" t="n">
        <v>8</v>
      </c>
      <c r="E396" s="0" t="inlineStr">
        <is>
          <t>,6],[8,</t>
        </is>
      </c>
      <c r="F396" s="0" t="n">
        <v>8</v>
      </c>
      <c r="G396" s="0" t="inlineStr">
        <is>
          <t>,7],[8,</t>
        </is>
      </c>
      <c r="H396" s="0" t="n">
        <v>8</v>
      </c>
      <c r="I396" s="0" t="inlineStr">
        <is>
          <t>,8],[8,</t>
        </is>
      </c>
      <c r="J396" s="0" t="n">
        <v>8</v>
      </c>
      <c r="K396" s="0" t="inlineStr">
        <is>
          <t>,9],[8,</t>
        </is>
      </c>
      <c r="L396" s="0" t="n">
        <v>8</v>
      </c>
      <c r="M396" s="0" t="inlineStr">
        <is>
          <t>,10],</t>
        </is>
      </c>
    </row>
    <row r="397">
      <c r="A397" s="151" t="inlineStr">
        <is>
          <t xml:space="preserve">[8,5,11],[8,5,12],[8,0,13],[8,6,14],[8,5,15], </t>
        </is>
      </c>
      <c r="B397" s="0">
        <f>CONCATENATE(C396,D396,E396,F396,G396,H396,I396,J396,K396,L396,M396,N396,O396,P396,Q396,R396,S396,T396,U396,V396,W396,X396,Y396,Z396,AA396,AB396,AC396,AD396,AE396,AF396,AG396,AH396,AI396,AJ396,AK396,AL396,AM396,AN396,AO396,AP396,AQ396,AR396,AS396,AT396,AU396,AV396,AW396,AX396,AY396,AZ396,BA396,BB396,BC396,BD396,BE396,BF396,BG396,BH396)</f>
        <v/>
      </c>
      <c r="C397" s="0" t="inlineStr">
        <is>
          <t>[8,</t>
        </is>
      </c>
      <c r="D397" s="0" t="n">
        <v>8</v>
      </c>
      <c r="E397" s="0" t="inlineStr">
        <is>
          <t>,11],[8,</t>
        </is>
      </c>
      <c r="F397" s="0" t="n">
        <v>8</v>
      </c>
      <c r="G397" s="0" t="inlineStr">
        <is>
          <t>,12],[8,</t>
        </is>
      </c>
      <c r="H397" s="0" t="n">
        <v>0</v>
      </c>
      <c r="I397" s="0" t="inlineStr">
        <is>
          <t>,13],[8,</t>
        </is>
      </c>
      <c r="J397" s="0" t="n">
        <v>8</v>
      </c>
      <c r="K397" s="0" t="inlineStr">
        <is>
          <t>,14],[8,</t>
        </is>
      </c>
      <c r="L397" s="0" t="n">
        <v>8</v>
      </c>
      <c r="M397" s="0" t="inlineStr">
        <is>
          <t>,15],</t>
        </is>
      </c>
    </row>
    <row r="398">
      <c r="A398" s="151" t="inlineStr">
        <is>
          <t xml:space="preserve">[8,5,16],[8,5,17],[8,5,18],[8,6,19],[8,5,20], </t>
        </is>
      </c>
      <c r="B398" s="0">
        <f>CONCATENATE(C397,D397,E397,F397,G397,H397,I397,J397,K397,L397,M397,N397,O397,P397,Q397,R397,S397,T397,U397,V397,W397,X397,Y397,Z397,AA397,AB397,AC397,AD397,AE397,AF397,AG397,AH397,AI397,AJ397,AK397,AL397,AM397,AN397,AO397,AP397,AQ397,AR397,AS397,AT397,AU397,AV397,AW397,AX397,AY397,AZ397,BA397,BB397,BC397,BD397,BE397,BF397,BG397,BH397)</f>
        <v/>
      </c>
      <c r="C398" s="0" t="inlineStr">
        <is>
          <t>[8,</t>
        </is>
      </c>
      <c r="D398" s="0" t="n">
        <v>8</v>
      </c>
      <c r="E398" s="0" t="inlineStr">
        <is>
          <t>,16],[8,</t>
        </is>
      </c>
      <c r="F398" s="0" t="n">
        <v>8</v>
      </c>
      <c r="G398" s="0" t="inlineStr">
        <is>
          <t>,17],[8,</t>
        </is>
      </c>
      <c r="H398" s="0" t="n">
        <v>8</v>
      </c>
      <c r="I398" s="0" t="inlineStr">
        <is>
          <t>,18],[8,</t>
        </is>
      </c>
      <c r="J398" s="0" t="n">
        <v>8</v>
      </c>
      <c r="K398" s="0" t="inlineStr">
        <is>
          <t>,19],[8,</t>
        </is>
      </c>
      <c r="L398" s="0" t="n">
        <v>8</v>
      </c>
      <c r="M398" s="0" t="inlineStr">
        <is>
          <t>,20],</t>
        </is>
      </c>
    </row>
    <row r="399">
      <c r="A399" s="151" t="inlineStr">
        <is>
          <t xml:space="preserve">[8,5,21],[8,5,22],[8,5,23],[8,6,24],[8,5,25] </t>
        </is>
      </c>
      <c r="B399" s="0">
        <f>CONCATENATE(C398,D398,E398,F398,G398,H398,I398,J398,K398,L398,M398,N398,O398,P398,Q398,R398,S398,T398,U398,V398,W398,X398,Y398,Z398,AA398,AB398,AC398,AD398,AE398,AF398,AG398,AH398,AI398,AJ398,AK398,AL398,AM398,AN398,AO398,AP398,AQ398,AR398,AS398,AT398,AU398,AV398,AW398,AX398,AY398,AZ398,BA398,BB398,BC398,BD398,BE398,BF398,BG398,BH398)</f>
        <v/>
      </c>
      <c r="C399" s="0" t="inlineStr">
        <is>
          <t>[8,</t>
        </is>
      </c>
      <c r="D399" s="0" t="n">
        <v>8</v>
      </c>
      <c r="E399" s="0" t="inlineStr">
        <is>
          <t>,21],[8,</t>
        </is>
      </c>
      <c r="F399" s="0" t="n">
        <v>8</v>
      </c>
      <c r="G399" s="0" t="inlineStr">
        <is>
          <t>,22],[8,</t>
        </is>
      </c>
      <c r="H399" s="0" t="n">
        <v>8</v>
      </c>
      <c r="I399" s="0" t="inlineStr">
        <is>
          <t>,23],[8,</t>
        </is>
      </c>
      <c r="J399" s="0" t="n">
        <v>8</v>
      </c>
      <c r="K399" s="0" t="inlineStr">
        <is>
          <t>,24],[8,</t>
        </is>
      </c>
      <c r="L399" s="0" t="n">
        <v>8</v>
      </c>
      <c r="M399" s="0" t="inlineStr">
        <is>
          <t>,25],</t>
        </is>
      </c>
    </row>
    <row r="400">
      <c r="A400" s="151" t="inlineStr">
        <is>
          <t xml:space="preserve">], </t>
        </is>
      </c>
      <c r="B400" s="0">
        <f>CONCATENATE(C399,D399,E399,F399,G399,H399,I399,J399,K399,L399,M399,N399,O399,P399,Q399,R399,S399,T399,U399,V399,W399,X399,Y399,Z399,AA399,AB399,AC399,AD399,AE399,AF399,AG399,AH399,AI399,AJ399,AK399,AL399,AM399,AN399,AO399,AP399,AQ399,AR399,AS399,AT399,AU399,AV399,AW399,AX399,AY399,AZ399,BA399,BB399,BC399,BD399,BE399,BF399,BG399,BH399)</f>
        <v/>
      </c>
      <c r="C400" s="0" t="inlineStr">
        <is>
          <t xml:space="preserve">], </t>
        </is>
      </c>
    </row>
    <row r="401">
      <c r="A401" s="151" t="inlineStr">
        <is>
          <t xml:space="preserve">[ </t>
        </is>
      </c>
      <c r="B401" s="0">
        <f>CONCATENATE(C400,D400,E400,F400,G400,H400,I400,J400,K400,L400,M400,N400,O400,P400,Q400,R400,S400,T400,U400,V400,W400,X400,Y400,Z400,AA400,AB400,AC400,AD400,AE400,AF400,AG400,AH400,AI400,AJ400,AK400,AL400,AM400,AN400,AO400,AP400,AQ400,AR400,AS400,AT400,AU400,AV400,AW400,AX400,AY400,AZ400,BA400,BB400,BC400,BD400,BE400,BF400,BG400,BH400)</f>
        <v/>
      </c>
      <c r="C401" s="0" t="inlineStr">
        <is>
          <t xml:space="preserve">[ </t>
        </is>
      </c>
    </row>
    <row r="402">
      <c r="A402" s="151" t="inlineStr">
        <is>
          <t xml:space="preserve">[1,5,1],[1,5,2],[1,5,3],[1,6,4],[1,5,5], </t>
        </is>
      </c>
      <c r="B402" s="0">
        <f>CONCATENATE(C401,D401,E401,F401,G401,H401,I401,J401,K401,L401,M401,N401,O401,P401,Q401,R401,S401,T401,U401,V401,W401,X401,Y401,Z401,AA401,AB401,AC401,AD401,AE401,AF401,AG401,AH401,AI401,AJ401,AK401,AL401,AM401,AN401,AO401,AP401,AQ401,AR401,AS401,AT401,AU401,AV401,AW401,AX401,AY401,AZ401,BA401,BB401,BC401,BD401,BE401,BF401,BG401,BH401)</f>
        <v/>
      </c>
      <c r="C402" s="0" t="inlineStr">
        <is>
          <t>[1,</t>
        </is>
      </c>
      <c r="D402" s="0" t="n">
        <v>81</v>
      </c>
      <c r="E402" s="0" t="inlineStr">
        <is>
          <t>,1],[1,</t>
        </is>
      </c>
      <c r="F402" s="0" t="n">
        <v>81</v>
      </c>
      <c r="G402" s="0" t="inlineStr">
        <is>
          <t>,2],[1,</t>
        </is>
      </c>
      <c r="H402" s="0" t="n">
        <v>81</v>
      </c>
      <c r="I402" s="0" t="inlineStr">
        <is>
          <t>,3],[1,</t>
        </is>
      </c>
      <c r="J402" s="0" t="n">
        <v>81</v>
      </c>
      <c r="K402" s="0" t="inlineStr">
        <is>
          <t>,4],[1,</t>
        </is>
      </c>
      <c r="L402" s="0" t="n">
        <v>81</v>
      </c>
      <c r="M402" s="0" t="inlineStr">
        <is>
          <t>,5],</t>
        </is>
      </c>
    </row>
    <row r="403">
      <c r="A403" s="151" t="inlineStr">
        <is>
          <t xml:space="preserve">[1,5,6],[1,5,7],[1,5,8],[1,6,9],[1,5,10], </t>
        </is>
      </c>
      <c r="B403" s="0">
        <f>CONCATENATE(C402,D402,E402,F402,G402,H402,I402,J402,K402,L402,M402,N402,O402,P402,Q402,R402,S402,T402,U402,V402,W402,X402,Y402,Z402,AA402,AB402,AC402,AD402,AE402,AF402,AG402,AH402,AI402,AJ402,AK402,AL402,AM402,AN402,AO402,AP402,AQ402,AR402,AS402,AT402,AU402,AV402,AW402,AX402,AY402,AZ402,BA402,BB402,BC402,BD402,BE402,BF402,BG402,BH402)</f>
        <v/>
      </c>
      <c r="C403" s="0" t="inlineStr">
        <is>
          <t>[1,</t>
        </is>
      </c>
      <c r="D403" s="0" t="n">
        <v>81</v>
      </c>
      <c r="E403" s="0" t="inlineStr">
        <is>
          <t>,6],[1,</t>
        </is>
      </c>
      <c r="F403" s="0" t="n">
        <v>81</v>
      </c>
      <c r="G403" s="0" t="inlineStr">
        <is>
          <t>,7],[1,</t>
        </is>
      </c>
      <c r="H403" s="0" t="n">
        <v>81</v>
      </c>
      <c r="I403" s="0" t="inlineStr">
        <is>
          <t>,8],[1,</t>
        </is>
      </c>
      <c r="J403" s="0" t="n">
        <v>81</v>
      </c>
      <c r="K403" s="0" t="inlineStr">
        <is>
          <t>,9],[1,</t>
        </is>
      </c>
      <c r="L403" s="0" t="n">
        <v>81</v>
      </c>
      <c r="M403" s="0" t="inlineStr">
        <is>
          <t>,10],</t>
        </is>
      </c>
    </row>
    <row r="404">
      <c r="A404" s="151" t="inlineStr">
        <is>
          <t xml:space="preserve">[1,5,11],[1,5,12],[1,0,13],[1,6,14],[1,5,15], </t>
        </is>
      </c>
      <c r="B404" s="0">
        <f>CONCATENATE(C403,D403,E403,F403,G403,H403,I403,J403,K403,L403,M403,N403,O403,P403,Q403,R403,S403,T403,U403,V403,W403,X403,Y403,Z403,AA403,AB403,AC403,AD403,AE403,AF403,AG403,AH403,AI403,AJ403,AK403,AL403,AM403,AN403,AO403,AP403,AQ403,AR403,AS403,AT403,AU403,AV403,AW403,AX403,AY403,AZ403,BA403,BB403,BC403,BD403,BE403,BF403,BG403,BH403)</f>
        <v/>
      </c>
      <c r="C404" s="0" t="inlineStr">
        <is>
          <t>[1,</t>
        </is>
      </c>
      <c r="D404" s="0" t="n">
        <v>81</v>
      </c>
      <c r="E404" s="0" t="inlineStr">
        <is>
          <t>,11],[1,</t>
        </is>
      </c>
      <c r="F404" s="0" t="n">
        <v>81</v>
      </c>
      <c r="G404" s="0" t="inlineStr">
        <is>
          <t>,12],[1,</t>
        </is>
      </c>
      <c r="H404" s="0" t="n">
        <v>0</v>
      </c>
      <c r="I404" s="0" t="inlineStr">
        <is>
          <t>,13],[1,</t>
        </is>
      </c>
      <c r="J404" s="0" t="n">
        <v>81</v>
      </c>
      <c r="K404" s="0" t="inlineStr">
        <is>
          <t>,14],[1,</t>
        </is>
      </c>
      <c r="L404" s="0" t="n">
        <v>81</v>
      </c>
      <c r="M404" s="0" t="inlineStr">
        <is>
          <t>,15],</t>
        </is>
      </c>
    </row>
    <row r="405">
      <c r="A405" s="151" t="inlineStr">
        <is>
          <t xml:space="preserve">[1,5,16],[1,5,17],[1,5,18],[1,6,19],[1,5,20], </t>
        </is>
      </c>
      <c r="B405" s="0">
        <f>CONCATENATE(C404,D404,E404,F404,G404,H404,I404,J404,K404,L404,M404,N404,O404,P404,Q404,R404,S404,T404,U404,V404,W404,X404,Y404,Z404,AA404,AB404,AC404,AD404,AE404,AF404,AG404,AH404,AI404,AJ404,AK404,AL404,AM404,AN404,AO404,AP404,AQ404,AR404,AS404,AT404,AU404,AV404,AW404,AX404,AY404,AZ404,BA404,BB404,BC404,BD404,BE404,BF404,BG404,BH404)</f>
        <v/>
      </c>
      <c r="C405" s="0" t="inlineStr">
        <is>
          <t>[1,</t>
        </is>
      </c>
      <c r="D405" s="0" t="n">
        <v>81</v>
      </c>
      <c r="E405" s="0" t="inlineStr">
        <is>
          <t>,16],[1,</t>
        </is>
      </c>
      <c r="F405" s="0" t="n">
        <v>81</v>
      </c>
      <c r="G405" s="0" t="inlineStr">
        <is>
          <t>,17],[1,</t>
        </is>
      </c>
      <c r="H405" s="0" t="n">
        <v>81</v>
      </c>
      <c r="I405" s="0" t="inlineStr">
        <is>
          <t>,18],[1,</t>
        </is>
      </c>
      <c r="J405" s="0" t="n">
        <v>81</v>
      </c>
      <c r="K405" s="0" t="inlineStr">
        <is>
          <t>,19],[1,</t>
        </is>
      </c>
      <c r="L405" s="0" t="n">
        <v>81</v>
      </c>
      <c r="M405" s="0" t="inlineStr">
        <is>
          <t>,20],</t>
        </is>
      </c>
    </row>
    <row r="406">
      <c r="A406" s="151" t="inlineStr">
        <is>
          <t xml:space="preserve">[1,5,21],[1,5,22],[1,5,23],[1,6,24],[1,5,25], </t>
        </is>
      </c>
      <c r="B406" s="0">
        <f>CONCATENATE(C405,D405,E405,F405,G405,H405,I405,J405,K405,L405,M405,N405,O405,P405,Q405,R405,S405,T405,U405,V405,W405,X405,Y405,Z405,AA405,AB405,AC405,AD405,AE405,AF405,AG405,AH405,AI405,AJ405,AK405,AL405,AM405,AN405,AO405,AP405,AQ405,AR405,AS405,AT405,AU405,AV405,AW405,AX405,AY405,AZ405,BA405,BB405,BC405,BD405,BE405,BF405,BG405,BH405)</f>
        <v/>
      </c>
      <c r="C406" s="0" t="inlineStr">
        <is>
          <t>[1,</t>
        </is>
      </c>
      <c r="D406" s="0" t="n">
        <v>81</v>
      </c>
      <c r="E406" s="0" t="inlineStr">
        <is>
          <t>,21],[1,</t>
        </is>
      </c>
      <c r="F406" s="0" t="n">
        <v>81</v>
      </c>
      <c r="G406" s="0" t="inlineStr">
        <is>
          <t>,22],[1,</t>
        </is>
      </c>
      <c r="H406" s="0" t="n">
        <v>81</v>
      </c>
      <c r="I406" s="0" t="inlineStr">
        <is>
          <t>,23],[1,</t>
        </is>
      </c>
      <c r="J406" s="0" t="n">
        <v>81</v>
      </c>
      <c r="K406" s="0" t="inlineStr">
        <is>
          <t>,24],[1,</t>
        </is>
      </c>
      <c r="L406" s="0" t="n">
        <v>81</v>
      </c>
      <c r="M406" s="0" t="inlineStr">
        <is>
          <t>,25],</t>
        </is>
      </c>
    </row>
    <row r="407">
      <c r="B407" s="0">
        <f>CONCATENATE(C406,D406,E406,F406,G406,H406,I406,J406,K406,L406,M406,N406,O406,P406,Q406,R406,S406,T406,U406,V406,W406,X406,Y406,Z406,AA406,AB406,AC406,AD406,AE406,AF406,AG406,AH406,AI406,AJ406,AK406,AL406,AM406,AN406,AO406,AP406,AQ406,AR406,AS406,AT406,AU406,AV406,AW406,AX406,AY406,AZ406,BA406,BB406,BC406,BD406,BE406,BF406,BG406,BH406)</f>
        <v/>
      </c>
    </row>
    <row r="408">
      <c r="A408" s="151" t="inlineStr">
        <is>
          <t xml:space="preserve">[2,5,1],[2,5,2],[2,5,3],[2,6,4],[2,5,5], </t>
        </is>
      </c>
      <c r="B408" s="0">
        <f>CONCATENATE(C407,D407,E407,F407,G407,H407,I407,J407,K407,L407,M407,N407,O407,P407,Q407,R407,S407,T407,U407,V407,W407,X407,Y407,Z407,AA407,AB407,AC407,AD407,AE407,AF407,AG407,AH407,AI407,AJ407,AK407,AL407,AM407,AN407,AO407,AP407,AQ407,AR407,AS407,AT407,AU407,AV407,AW407,AX407,AY407,AZ407,BA407,BB407,BC407,BD407,BE407,BF407,BG407,BH407)</f>
        <v/>
      </c>
      <c r="C408" s="0" t="inlineStr">
        <is>
          <t>[2,</t>
        </is>
      </c>
      <c r="D408" s="0" t="n">
        <v>41</v>
      </c>
      <c r="E408" s="0" t="inlineStr">
        <is>
          <t>,1],[2,</t>
        </is>
      </c>
      <c r="F408" s="0" t="n">
        <v>41</v>
      </c>
      <c r="G408" s="0" t="inlineStr">
        <is>
          <t>,2],[2,</t>
        </is>
      </c>
      <c r="H408" s="0" t="n">
        <v>41</v>
      </c>
      <c r="I408" s="0" t="inlineStr">
        <is>
          <t>,3],[2,</t>
        </is>
      </c>
      <c r="J408" s="0" t="n">
        <v>41</v>
      </c>
      <c r="K408" s="0" t="inlineStr">
        <is>
          <t>,4],[2,</t>
        </is>
      </c>
      <c r="L408" s="0" t="n">
        <v>41</v>
      </c>
      <c r="M408" s="0" t="inlineStr">
        <is>
          <t>,5],</t>
        </is>
      </c>
    </row>
    <row r="409">
      <c r="A409" s="151" t="inlineStr">
        <is>
          <t xml:space="preserve">[2,5,6],[2,5,7],[2,5,8],[2,6,9],[2,5,10], </t>
        </is>
      </c>
      <c r="B409" s="0">
        <f>CONCATENATE(C408,D408,E408,F408,G408,H408,I408,J408,K408,L408,M408,N408,O408,P408,Q408,R408,S408,T408,U408,V408,W408,X408,Y408,Z408,AA408,AB408,AC408,AD408,AE408,AF408,AG408,AH408,AI408,AJ408,AK408,AL408,AM408,AN408,AO408,AP408,AQ408,AR408,AS408,AT408,AU408,AV408,AW408,AX408,AY408,AZ408,BA408,BB408,BC408,BD408,BE408,BF408,BG408,BH408)</f>
        <v/>
      </c>
      <c r="C409" s="0" t="inlineStr">
        <is>
          <t>[2,</t>
        </is>
      </c>
      <c r="D409" s="0" t="n">
        <v>41</v>
      </c>
      <c r="E409" s="0" t="inlineStr">
        <is>
          <t>,6],[2,</t>
        </is>
      </c>
      <c r="F409" s="0" t="n">
        <v>41</v>
      </c>
      <c r="G409" s="0" t="inlineStr">
        <is>
          <t>,7],[2,</t>
        </is>
      </c>
      <c r="H409" s="0" t="n">
        <v>41</v>
      </c>
      <c r="I409" s="0" t="inlineStr">
        <is>
          <t>,8],[2,</t>
        </is>
      </c>
      <c r="J409" s="0" t="n">
        <v>41</v>
      </c>
      <c r="K409" s="0" t="inlineStr">
        <is>
          <t>,9],[2,</t>
        </is>
      </c>
      <c r="L409" s="0" t="n">
        <v>41</v>
      </c>
      <c r="M409" s="0" t="inlineStr">
        <is>
          <t>,10],</t>
        </is>
      </c>
    </row>
    <row r="410">
      <c r="A410" s="151" t="inlineStr">
        <is>
          <t xml:space="preserve">[2,5,11],[2,5,12],[2,0,13],[2,6,14],[2,5,15], </t>
        </is>
      </c>
      <c r="B410" s="0">
        <f>CONCATENATE(C409,D409,E409,F409,G409,H409,I409,J409,K409,L409,M409,N409,O409,P409,Q409,R409,S409,T409,U409,V409,W409,X409,Y409,Z409,AA409,AB409,AC409,AD409,AE409,AF409,AG409,AH409,AI409,AJ409,AK409,AL409,AM409,AN409,AO409,AP409,AQ409,AR409,AS409,AT409,AU409,AV409,AW409,AX409,AY409,AZ409,BA409,BB409,BC409,BD409,BE409,BF409,BG409,BH409)</f>
        <v/>
      </c>
      <c r="C410" s="0" t="inlineStr">
        <is>
          <t>[2,</t>
        </is>
      </c>
      <c r="D410" s="0" t="n">
        <v>41</v>
      </c>
      <c r="E410" s="0" t="inlineStr">
        <is>
          <t>,11],[2,</t>
        </is>
      </c>
      <c r="F410" s="0" t="n">
        <v>41</v>
      </c>
      <c r="G410" s="0" t="inlineStr">
        <is>
          <t>,12],[2,</t>
        </is>
      </c>
      <c r="H410" s="0" t="n">
        <v>0</v>
      </c>
      <c r="I410" s="0" t="inlineStr">
        <is>
          <t>,13],[2,</t>
        </is>
      </c>
      <c r="J410" s="0" t="n">
        <v>41</v>
      </c>
      <c r="K410" s="0" t="inlineStr">
        <is>
          <t>,14],[2,</t>
        </is>
      </c>
      <c r="L410" s="0" t="n">
        <v>41</v>
      </c>
      <c r="M410" s="0" t="inlineStr">
        <is>
          <t>,15],</t>
        </is>
      </c>
    </row>
    <row r="411">
      <c r="A411" s="151" t="inlineStr">
        <is>
          <t xml:space="preserve">[2,5,16],[2,5,17],[2,5,18],[2,6,19],[2,5,20], </t>
        </is>
      </c>
      <c r="B411" s="0">
        <f>CONCATENATE(C410,D410,E410,F410,G410,H410,I410,J410,K410,L410,M410,N410,O410,P410,Q410,R410,S410,T410,U410,V410,W410,X410,Y410,Z410,AA410,AB410,AC410,AD410,AE410,AF410,AG410,AH410,AI410,AJ410,AK410,AL410,AM410,AN410,AO410,AP410,AQ410,AR410,AS410,AT410,AU410,AV410,AW410,AX410,AY410,AZ410,BA410,BB410,BC410,BD410,BE410,BF410,BG410,BH410)</f>
        <v/>
      </c>
      <c r="C411" s="0" t="inlineStr">
        <is>
          <t>[2,</t>
        </is>
      </c>
      <c r="D411" s="0" t="n">
        <v>41</v>
      </c>
      <c r="E411" s="0" t="inlineStr">
        <is>
          <t>,16],[2,</t>
        </is>
      </c>
      <c r="F411" s="0" t="n">
        <v>41</v>
      </c>
      <c r="G411" s="0" t="inlineStr">
        <is>
          <t>,17],[2,</t>
        </is>
      </c>
      <c r="H411" s="0" t="n">
        <v>41</v>
      </c>
      <c r="I411" s="0" t="inlineStr">
        <is>
          <t>,18],[2,</t>
        </is>
      </c>
      <c r="J411" s="0" t="n">
        <v>41</v>
      </c>
      <c r="K411" s="0" t="inlineStr">
        <is>
          <t>,19],[2,</t>
        </is>
      </c>
      <c r="L411" s="0" t="n">
        <v>41</v>
      </c>
      <c r="M411" s="0" t="inlineStr">
        <is>
          <t>,20],</t>
        </is>
      </c>
    </row>
    <row r="412">
      <c r="A412" s="151" t="inlineStr">
        <is>
          <t xml:space="preserve">[2,5,21],[2,5,22],[2,5,23],[2,6,24],[2,5,25], </t>
        </is>
      </c>
      <c r="B412" s="0">
        <f>CONCATENATE(C411,D411,E411,F411,G411,H411,I411,J411,K411,L411,M411,N411,O411,P411,Q411,R411,S411,T411,U411,V411,W411,X411,Y411,Z411,AA411,AB411,AC411,AD411,AE411,AF411,AG411,AH411,AI411,AJ411,AK411,AL411,AM411,AN411,AO411,AP411,AQ411,AR411,AS411,AT411,AU411,AV411,AW411,AX411,AY411,AZ411,BA411,BB411,BC411,BD411,BE411,BF411,BG411,BH411)</f>
        <v/>
      </c>
      <c r="C412" s="0" t="inlineStr">
        <is>
          <t>[2,</t>
        </is>
      </c>
      <c r="D412" s="0" t="n">
        <v>41</v>
      </c>
      <c r="E412" s="0" t="inlineStr">
        <is>
          <t>,21],[2,</t>
        </is>
      </c>
      <c r="F412" s="0" t="n">
        <v>41</v>
      </c>
      <c r="G412" s="0" t="inlineStr">
        <is>
          <t>,22],[2,</t>
        </is>
      </c>
      <c r="H412" s="0" t="n">
        <v>41</v>
      </c>
      <c r="I412" s="0" t="inlineStr">
        <is>
          <t>,23],[2,</t>
        </is>
      </c>
      <c r="J412" s="0" t="n">
        <v>41</v>
      </c>
      <c r="K412" s="0" t="inlineStr">
        <is>
          <t>,24],[2,</t>
        </is>
      </c>
      <c r="L412" s="0" t="n">
        <v>41</v>
      </c>
      <c r="M412" s="0" t="inlineStr">
        <is>
          <t>,25],</t>
        </is>
      </c>
    </row>
    <row r="413">
      <c r="B413" s="0">
        <f>CONCATENATE(C412,D412,E412,F412,G412,H412,I412,J412,K412,L412,M412,N412,O412,P412,Q412,R412,S412,T412,U412,V412,W412,X412,Y412,Z412,AA412,AB412,AC412,AD412,AE412,AF412,AG412,AH412,AI412,AJ412,AK412,AL412,AM412,AN412,AO412,AP412,AQ412,AR412,AS412,AT412,AU412,AV412,AW412,AX412,AY412,AZ412,BA412,BB412,BC412,BD412,BE412,BF412,BG412,BH412)</f>
        <v/>
      </c>
    </row>
    <row r="414">
      <c r="A414" s="151" t="inlineStr">
        <is>
          <t xml:space="preserve">[3,5,1],[3,5,2],[3,5,3],[3,6,4],[3,5,5], </t>
        </is>
      </c>
      <c r="B414" s="0">
        <f>CONCATENATE(C413,D413,E413,F413,G413,H413,I413,J413,K413,L413,M413,N413,O413,P413,Q413,R413,S413,T413,U413,V413,W413,X413,Y413,Z413,AA413,AB413,AC413,AD413,AE413,AF413,AG413,AH413,AI413,AJ413,AK413,AL413,AM413,AN413,AO413,AP413,AQ413,AR413,AS413,AT413,AU413,AV413,AW413,AX413,AY413,AZ413,BA413,BB413,BC413,BD413,BE413,BF413,BG413,BH413)</f>
        <v/>
      </c>
      <c r="C414" s="0" t="inlineStr">
        <is>
          <t>[3,</t>
        </is>
      </c>
      <c r="D414" s="0" t="n">
        <v>27</v>
      </c>
      <c r="E414" s="0" t="inlineStr">
        <is>
          <t>,1],[3,</t>
        </is>
      </c>
      <c r="F414" s="0" t="n">
        <v>27</v>
      </c>
      <c r="G414" s="0" t="inlineStr">
        <is>
          <t>,2],[3,</t>
        </is>
      </c>
      <c r="H414" s="0" t="n">
        <v>27</v>
      </c>
      <c r="I414" s="0" t="inlineStr">
        <is>
          <t>,3],[3,</t>
        </is>
      </c>
      <c r="J414" s="0" t="n">
        <v>27</v>
      </c>
      <c r="K414" s="0" t="inlineStr">
        <is>
          <t>,4],[3,</t>
        </is>
      </c>
      <c r="L414" s="0" t="n">
        <v>27</v>
      </c>
      <c r="M414" s="0" t="inlineStr">
        <is>
          <t>,5],</t>
        </is>
      </c>
    </row>
    <row r="415">
      <c r="A415" s="151" t="inlineStr">
        <is>
          <t xml:space="preserve">[3,5,6],[3,5,7],[3,5,8],[3,6,9],[3,5,10], </t>
        </is>
      </c>
      <c r="B415" s="0">
        <f>CONCATENATE(C414,D414,E414,F414,G414,H414,I414,J414,K414,L414,M414,N414,O414,P414,Q414,R414,S414,T414,U414,V414,W414,X414,Y414,Z414,AA414,AB414,AC414,AD414,AE414,AF414,AG414,AH414,AI414,AJ414,AK414,AL414,AM414,AN414,AO414,AP414,AQ414,AR414,AS414,AT414,AU414,AV414,AW414,AX414,AY414,AZ414,BA414,BB414,BC414,BD414,BE414,BF414,BG414,BH414)</f>
        <v/>
      </c>
      <c r="C415" s="0" t="inlineStr">
        <is>
          <t>[3,</t>
        </is>
      </c>
      <c r="D415" s="0" t="n">
        <v>27</v>
      </c>
      <c r="E415" s="0" t="inlineStr">
        <is>
          <t>,6],[3,</t>
        </is>
      </c>
      <c r="F415" s="0" t="n">
        <v>27</v>
      </c>
      <c r="G415" s="0" t="inlineStr">
        <is>
          <t>,7],[3,</t>
        </is>
      </c>
      <c r="H415" s="0" t="n">
        <v>27</v>
      </c>
      <c r="I415" s="0" t="inlineStr">
        <is>
          <t>,8],[3,</t>
        </is>
      </c>
      <c r="J415" s="0" t="n">
        <v>27</v>
      </c>
      <c r="K415" s="0" t="inlineStr">
        <is>
          <t>,9],[3,</t>
        </is>
      </c>
      <c r="L415" s="0" t="n">
        <v>27</v>
      </c>
      <c r="M415" s="0" t="inlineStr">
        <is>
          <t>,10],</t>
        </is>
      </c>
    </row>
    <row r="416">
      <c r="A416" s="151" t="inlineStr">
        <is>
          <t xml:space="preserve">[3,5,11],[3,5,12],[3,0,13],[3,6,14],[3,5,15], </t>
        </is>
      </c>
      <c r="B416" s="0">
        <f>CONCATENATE(C415,D415,E415,F415,G415,H415,I415,J415,K415,L415,M415,N415,O415,P415,Q415,R415,S415,T415,U415,V415,W415,X415,Y415,Z415,AA415,AB415,AC415,AD415,AE415,AF415,AG415,AH415,AI415,AJ415,AK415,AL415,AM415,AN415,AO415,AP415,AQ415,AR415,AS415,AT415,AU415,AV415,AW415,AX415,AY415,AZ415,BA415,BB415,BC415,BD415,BE415,BF415,BG415,BH415)</f>
        <v/>
      </c>
      <c r="C416" s="0" t="inlineStr">
        <is>
          <t>[3,</t>
        </is>
      </c>
      <c r="D416" s="0" t="n">
        <v>27</v>
      </c>
      <c r="E416" s="0" t="inlineStr">
        <is>
          <t>,11],[3,</t>
        </is>
      </c>
      <c r="F416" s="0" t="n">
        <v>27</v>
      </c>
      <c r="G416" s="0" t="inlineStr">
        <is>
          <t>,12],[3,</t>
        </is>
      </c>
      <c r="H416" s="0" t="n">
        <v>0</v>
      </c>
      <c r="I416" s="0" t="inlineStr">
        <is>
          <t>,13],[3,</t>
        </is>
      </c>
      <c r="J416" s="0" t="n">
        <v>27</v>
      </c>
      <c r="K416" s="0" t="inlineStr">
        <is>
          <t>,14],[3,</t>
        </is>
      </c>
      <c r="L416" s="0" t="n">
        <v>27</v>
      </c>
      <c r="M416" s="0" t="inlineStr">
        <is>
          <t>,15],</t>
        </is>
      </c>
    </row>
    <row r="417">
      <c r="A417" s="151" t="inlineStr">
        <is>
          <t xml:space="preserve">[3,5,16],[3,5,17],[3,5,18],[3,6,19],[3,5,20], </t>
        </is>
      </c>
      <c r="B417" s="0">
        <f>CONCATENATE(C416,D416,E416,F416,G416,H416,I416,J416,K416,L416,M416,N416,O416,P416,Q416,R416,S416,T416,U416,V416,W416,X416,Y416,Z416,AA416,AB416,AC416,AD416,AE416,AF416,AG416,AH416,AI416,AJ416,AK416,AL416,AM416,AN416,AO416,AP416,AQ416,AR416,AS416,AT416,AU416,AV416,AW416,AX416,AY416,AZ416,BA416,BB416,BC416,BD416,BE416,BF416,BG416,BH416)</f>
        <v/>
      </c>
      <c r="C417" s="0" t="inlineStr">
        <is>
          <t>[3,</t>
        </is>
      </c>
      <c r="D417" s="0" t="n">
        <v>27</v>
      </c>
      <c r="E417" s="0" t="inlineStr">
        <is>
          <t>,16],[3,</t>
        </is>
      </c>
      <c r="F417" s="0" t="n">
        <v>27</v>
      </c>
      <c r="G417" s="0" t="inlineStr">
        <is>
          <t>,17],[3,</t>
        </is>
      </c>
      <c r="H417" s="0" t="n">
        <v>27</v>
      </c>
      <c r="I417" s="0" t="inlineStr">
        <is>
          <t>,18],[3,</t>
        </is>
      </c>
      <c r="J417" s="0" t="n">
        <v>27</v>
      </c>
      <c r="K417" s="0" t="inlineStr">
        <is>
          <t>,19],[3,</t>
        </is>
      </c>
      <c r="L417" s="0" t="n">
        <v>27</v>
      </c>
      <c r="M417" s="0" t="inlineStr">
        <is>
          <t>,20],</t>
        </is>
      </c>
    </row>
    <row r="418">
      <c r="A418" s="151" t="inlineStr">
        <is>
          <t xml:space="preserve">[3,5,21],[3,5,22],[3,5,23],[3,6,24],[3,5,25], </t>
        </is>
      </c>
      <c r="B418" s="0">
        <f>CONCATENATE(C417,D417,E417,F417,G417,H417,I417,J417,K417,L417,M417,N417,O417,P417,Q417,R417,S417,T417,U417,V417,W417,X417,Y417,Z417,AA417,AB417,AC417,AD417,AE417,AF417,AG417,AH417,AI417,AJ417,AK417,AL417,AM417,AN417,AO417,AP417,AQ417,AR417,AS417,AT417,AU417,AV417,AW417,AX417,AY417,AZ417,BA417,BB417,BC417,BD417,BE417,BF417,BG417,BH417)</f>
        <v/>
      </c>
      <c r="C418" s="0" t="inlineStr">
        <is>
          <t>[3,</t>
        </is>
      </c>
      <c r="D418" s="0" t="n">
        <v>27</v>
      </c>
      <c r="E418" s="0" t="inlineStr">
        <is>
          <t>,21],[3,</t>
        </is>
      </c>
      <c r="F418" s="0" t="n">
        <v>27</v>
      </c>
      <c r="G418" s="0" t="inlineStr">
        <is>
          <t>,22],[3,</t>
        </is>
      </c>
      <c r="H418" s="0" t="n">
        <v>27</v>
      </c>
      <c r="I418" s="0" t="inlineStr">
        <is>
          <t>,23],[3,</t>
        </is>
      </c>
      <c r="J418" s="0" t="n">
        <v>27</v>
      </c>
      <c r="K418" s="0" t="inlineStr">
        <is>
          <t>,24],[3,</t>
        </is>
      </c>
      <c r="L418" s="0" t="n">
        <v>27</v>
      </c>
      <c r="M418" s="0" t="inlineStr">
        <is>
          <t>,25],</t>
        </is>
      </c>
    </row>
    <row r="419">
      <c r="B419" s="0">
        <f>CONCATENATE(C418,D418,E418,F418,G418,H418,I418,J418,K418,L418,M418,N418,O418,P418,Q418,R418,S418,T418,U418,V418,W418,X418,Y418,Z418,AA418,AB418,AC418,AD418,AE418,AF418,AG418,AH418,AI418,AJ418,AK418,AL418,AM418,AN418,AO418,AP418,AQ418,AR418,AS418,AT418,AU418,AV418,AW418,AX418,AY418,AZ418,BA418,BB418,BC418,BD418,BE418,BF418,BG418,BH418)</f>
        <v/>
      </c>
    </row>
    <row r="420">
      <c r="A420" s="151" t="inlineStr">
        <is>
          <t xml:space="preserve">[4,5,1],[4,5,2],[4,5,3],[4,6,4],[4,5,5], </t>
        </is>
      </c>
      <c r="B420" s="0">
        <f>CONCATENATE(C419,D419,E419,F419,G419,H419,I419,J419,K419,L419,M419,N419,O419,P419,Q419,R419,S419,T419,U419,V419,W419,X419,Y419,Z419,AA419,AB419,AC419,AD419,AE419,AF419,AG419,AH419,AI419,AJ419,AK419,AL419,AM419,AN419,AO419,AP419,AQ419,AR419,AS419,AT419,AU419,AV419,AW419,AX419,AY419,AZ419,BA419,BB419,BC419,BD419,BE419,BF419,BG419,BH419)</f>
        <v/>
      </c>
      <c r="C420" s="0" t="inlineStr">
        <is>
          <t>[4,</t>
        </is>
      </c>
      <c r="D420" s="0" t="n">
        <v>16</v>
      </c>
      <c r="E420" s="0" t="inlineStr">
        <is>
          <t>,1],[4,</t>
        </is>
      </c>
      <c r="F420" s="0" t="n">
        <v>16</v>
      </c>
      <c r="G420" s="0" t="inlineStr">
        <is>
          <t>,2],[4,</t>
        </is>
      </c>
      <c r="H420" s="0" t="n">
        <v>16</v>
      </c>
      <c r="I420" s="0" t="inlineStr">
        <is>
          <t>,3],[4,</t>
        </is>
      </c>
      <c r="J420" s="0" t="n">
        <v>16</v>
      </c>
      <c r="K420" s="0" t="inlineStr">
        <is>
          <t>,4],[4,</t>
        </is>
      </c>
      <c r="L420" s="0" t="n">
        <v>16</v>
      </c>
      <c r="M420" s="0" t="inlineStr">
        <is>
          <t>,5],</t>
        </is>
      </c>
    </row>
    <row r="421">
      <c r="A421" s="151" t="inlineStr">
        <is>
          <t xml:space="preserve">[4,5,6],[4,5,7],[4,5,8],[4,6,9],[4,5,10], </t>
        </is>
      </c>
      <c r="B421" s="0">
        <f>CONCATENATE(C420,D420,E420,F420,G420,H420,I420,J420,K420,L420,M420,N420,O420,P420,Q420,R420,S420,T420,U420,V420,W420,X420,Y420,Z420,AA420,AB420,AC420,AD420,AE420,AF420,AG420,AH420,AI420,AJ420,AK420,AL420,AM420,AN420,AO420,AP420,AQ420,AR420,AS420,AT420,AU420,AV420,AW420,AX420,AY420,AZ420,BA420,BB420,BC420,BD420,BE420,BF420,BG420,BH420)</f>
        <v/>
      </c>
      <c r="C421" s="0" t="inlineStr">
        <is>
          <t>[4,</t>
        </is>
      </c>
      <c r="D421" s="0" t="n">
        <v>16</v>
      </c>
      <c r="E421" s="0" t="inlineStr">
        <is>
          <t>,6],[4,</t>
        </is>
      </c>
      <c r="F421" s="0" t="n">
        <v>16</v>
      </c>
      <c r="G421" s="0" t="inlineStr">
        <is>
          <t>,7],[4,</t>
        </is>
      </c>
      <c r="H421" s="0" t="n">
        <v>16</v>
      </c>
      <c r="I421" s="0" t="inlineStr">
        <is>
          <t>,8],[4,</t>
        </is>
      </c>
      <c r="J421" s="0" t="n">
        <v>16</v>
      </c>
      <c r="K421" s="0" t="inlineStr">
        <is>
          <t>,9],[4,</t>
        </is>
      </c>
      <c r="L421" s="0" t="n">
        <v>16</v>
      </c>
      <c r="M421" s="0" t="inlineStr">
        <is>
          <t>,10],</t>
        </is>
      </c>
    </row>
    <row r="422">
      <c r="A422" s="151" t="inlineStr">
        <is>
          <t xml:space="preserve">[4,5,11],[4,5,12],[4,0,13],[4,6,14],[4,5,15], </t>
        </is>
      </c>
      <c r="B422" s="0">
        <f>CONCATENATE(C421,D421,E421,F421,G421,H421,I421,J421,K421,L421,M421,N421,O421,P421,Q421,R421,S421,T421,U421,V421,W421,X421,Y421,Z421,AA421,AB421,AC421,AD421,AE421,AF421,AG421,AH421,AI421,AJ421,AK421,AL421,AM421,AN421,AO421,AP421,AQ421,AR421,AS421,AT421,AU421,AV421,AW421,AX421,AY421,AZ421,BA421,BB421,BC421,BD421,BE421,BF421,BG421,BH421)</f>
        <v/>
      </c>
      <c r="C422" s="0" t="inlineStr">
        <is>
          <t>[4,</t>
        </is>
      </c>
      <c r="D422" s="0" t="n">
        <v>16</v>
      </c>
      <c r="E422" s="0" t="inlineStr">
        <is>
          <t>,11],[4,</t>
        </is>
      </c>
      <c r="F422" s="0" t="n">
        <v>16</v>
      </c>
      <c r="G422" s="0" t="inlineStr">
        <is>
          <t>,12],[4,</t>
        </is>
      </c>
      <c r="H422" s="0" t="n">
        <v>0</v>
      </c>
      <c r="I422" s="0" t="inlineStr">
        <is>
          <t>,13],[4,</t>
        </is>
      </c>
      <c r="J422" s="0" t="n">
        <v>16</v>
      </c>
      <c r="K422" s="0" t="inlineStr">
        <is>
          <t>,14],[4,</t>
        </is>
      </c>
      <c r="L422" s="0" t="n">
        <v>16</v>
      </c>
      <c r="M422" s="0" t="inlineStr">
        <is>
          <t>,15],</t>
        </is>
      </c>
    </row>
    <row r="423">
      <c r="A423" s="151" t="inlineStr">
        <is>
          <t xml:space="preserve">[4,5,16],[4,5,17],[4,5,18],[4,6,19],[4,5,20], </t>
        </is>
      </c>
      <c r="B423" s="0">
        <f>CONCATENATE(C422,D422,E422,F422,G422,H422,I422,J422,K422,L422,M422,N422,O422,P422,Q422,R422,S422,T422,U422,V422,W422,X422,Y422,Z422,AA422,AB422,AC422,AD422,AE422,AF422,AG422,AH422,AI422,AJ422,AK422,AL422,AM422,AN422,AO422,AP422,AQ422,AR422,AS422,AT422,AU422,AV422,AW422,AX422,AY422,AZ422,BA422,BB422,BC422,BD422,BE422,BF422,BG422,BH422)</f>
        <v/>
      </c>
      <c r="C423" s="0" t="inlineStr">
        <is>
          <t>[4,</t>
        </is>
      </c>
      <c r="D423" s="0" t="n">
        <v>16</v>
      </c>
      <c r="E423" s="0" t="inlineStr">
        <is>
          <t>,16],[4,</t>
        </is>
      </c>
      <c r="F423" s="0" t="n">
        <v>16</v>
      </c>
      <c r="G423" s="0" t="inlineStr">
        <is>
          <t>,17],[4,</t>
        </is>
      </c>
      <c r="H423" s="0" t="n">
        <v>16</v>
      </c>
      <c r="I423" s="0" t="inlineStr">
        <is>
          <t>,18],[4,</t>
        </is>
      </c>
      <c r="J423" s="0" t="n">
        <v>16</v>
      </c>
      <c r="K423" s="0" t="inlineStr">
        <is>
          <t>,19],[4,</t>
        </is>
      </c>
      <c r="L423" s="0" t="n">
        <v>16</v>
      </c>
      <c r="M423" s="0" t="inlineStr">
        <is>
          <t>,20],</t>
        </is>
      </c>
    </row>
    <row r="424">
      <c r="A424" s="151" t="inlineStr">
        <is>
          <t xml:space="preserve">[4,5,21],[4,5,22],[4,5,23],[4,6,24],[4,5,25], </t>
        </is>
      </c>
      <c r="B424" s="0">
        <f>CONCATENATE(C423,D423,E423,F423,G423,H423,I423,J423,K423,L423,M423,N423,O423,P423,Q423,R423,S423,T423,U423,V423,W423,X423,Y423,Z423,AA423,AB423,AC423,AD423,AE423,AF423,AG423,AH423,AI423,AJ423,AK423,AL423,AM423,AN423,AO423,AP423,AQ423,AR423,AS423,AT423,AU423,AV423,AW423,AX423,AY423,AZ423,BA423,BB423,BC423,BD423,BE423,BF423,BG423,BH423)</f>
        <v/>
      </c>
      <c r="C424" s="0" t="inlineStr">
        <is>
          <t>[4,</t>
        </is>
      </c>
      <c r="D424" s="0" t="n">
        <v>16</v>
      </c>
      <c r="E424" s="0" t="inlineStr">
        <is>
          <t>,21],[4,</t>
        </is>
      </c>
      <c r="F424" s="0" t="n">
        <v>16</v>
      </c>
      <c r="G424" s="0" t="inlineStr">
        <is>
          <t>,22],[4,</t>
        </is>
      </c>
      <c r="H424" s="0" t="n">
        <v>16</v>
      </c>
      <c r="I424" s="0" t="inlineStr">
        <is>
          <t>,23],[4,</t>
        </is>
      </c>
      <c r="J424" s="0" t="n">
        <v>16</v>
      </c>
      <c r="K424" s="0" t="inlineStr">
        <is>
          <t>,24],[4,</t>
        </is>
      </c>
      <c r="L424" s="0" t="n">
        <v>16</v>
      </c>
      <c r="M424" s="0" t="inlineStr">
        <is>
          <t>,25],</t>
        </is>
      </c>
    </row>
    <row r="425">
      <c r="B425" s="0">
        <f>CONCATENATE(C424,D424,E424,F424,G424,H424,I424,J424,K424,L424,M424,N424,O424,P424,Q424,R424,S424,T424,U424,V424,W424,X424,Y424,Z424,AA424,AB424,AC424,AD424,AE424,AF424,AG424,AH424,AI424,AJ424,AK424,AL424,AM424,AN424,AO424,AP424,AQ424,AR424,AS424,AT424,AU424,AV424,AW424,AX424,AY424,AZ424,BA424,BB424,BC424,BD424,BE424,BF424,BG424,BH424)</f>
        <v/>
      </c>
    </row>
    <row r="426">
      <c r="A426" s="151" t="inlineStr">
        <is>
          <t xml:space="preserve">[5,5,1],[5,5,2],[5,5,3],[5,6,4],[5,5,5], </t>
        </is>
      </c>
      <c r="B426" s="0">
        <f>CONCATENATE(C425,D425,E425,F425,G425,H425,I425,J425,K425,L425,M425,N425,O425,P425,Q425,R425,S425,T425,U425,V425,W425,X425,Y425,Z425,AA425,AB425,AC425,AD425,AE425,AF425,AG425,AH425,AI425,AJ425,AK425,AL425,AM425,AN425,AO425,AP425,AQ425,AR425,AS425,AT425,AU425,AV425,AW425,AX425,AY425,AZ425,BA425,BB425,BC425,BD425,BE425,BF425,BG425,BH425)</f>
        <v/>
      </c>
      <c r="C426" s="0" t="inlineStr">
        <is>
          <t>[5,</t>
        </is>
      </c>
      <c r="D426" s="0" t="n">
        <v>413</v>
      </c>
      <c r="E426" s="0" t="inlineStr">
        <is>
          <t>,1],[5,</t>
        </is>
      </c>
      <c r="F426" s="0" t="n">
        <v>413</v>
      </c>
      <c r="G426" s="0" t="inlineStr">
        <is>
          <t>,2],[5,</t>
        </is>
      </c>
      <c r="H426" s="0" t="n">
        <v>413</v>
      </c>
      <c r="I426" s="0" t="inlineStr">
        <is>
          <t>,3],[5,</t>
        </is>
      </c>
      <c r="J426" s="0" t="n">
        <v>413</v>
      </c>
      <c r="K426" s="0" t="inlineStr">
        <is>
          <t>,4],[5,</t>
        </is>
      </c>
      <c r="L426" s="0" t="n">
        <v>413</v>
      </c>
      <c r="M426" s="0" t="inlineStr">
        <is>
          <t>,5],</t>
        </is>
      </c>
    </row>
    <row r="427">
      <c r="A427" s="151" t="inlineStr">
        <is>
          <t xml:space="preserve">[5,5,6],[5,5,7],[5,5,8],[5,6,9],[5,5,10], </t>
        </is>
      </c>
      <c r="B427" s="0">
        <f>CONCATENATE(C426,D426,E426,F426,G426,H426,I426,J426,K426,L426,M426,N426,O426,P426,Q426,R426,S426,T426,U426,V426,W426,X426,Y426,Z426,AA426,AB426,AC426,AD426,AE426,AF426,AG426,AH426,AI426,AJ426,AK426,AL426,AM426,AN426,AO426,AP426,AQ426,AR426,AS426,AT426,AU426,AV426,AW426,AX426,AY426,AZ426,BA426,BB426,BC426,BD426,BE426,BF426,BG426,BH426)</f>
        <v/>
      </c>
      <c r="C427" s="0" t="inlineStr">
        <is>
          <t>[5,</t>
        </is>
      </c>
      <c r="D427" s="0" t="n">
        <v>413</v>
      </c>
      <c r="E427" s="0" t="inlineStr">
        <is>
          <t>,6],[5,</t>
        </is>
      </c>
      <c r="F427" s="0" t="n">
        <v>413</v>
      </c>
      <c r="G427" s="0" t="inlineStr">
        <is>
          <t>,7],[5,</t>
        </is>
      </c>
      <c r="H427" s="0" t="n">
        <v>413</v>
      </c>
      <c r="I427" s="0" t="inlineStr">
        <is>
          <t>,8],[5,</t>
        </is>
      </c>
      <c r="J427" s="0" t="n">
        <v>413</v>
      </c>
      <c r="K427" s="0" t="inlineStr">
        <is>
          <t>,9],[5,</t>
        </is>
      </c>
      <c r="L427" s="0" t="n">
        <v>413</v>
      </c>
      <c r="M427" s="0" t="inlineStr">
        <is>
          <t>,10],</t>
        </is>
      </c>
    </row>
    <row r="428">
      <c r="A428" s="151" t="inlineStr">
        <is>
          <t xml:space="preserve">[5,5,11],[5,5,12],[5,0,13],[5,6,14],[5,5,15], </t>
        </is>
      </c>
      <c r="B428" s="0">
        <f>CONCATENATE(C427,D427,E427,F427,G427,H427,I427,J427,K427,L427,M427,N427,O427,P427,Q427,R427,S427,T427,U427,V427,W427,X427,Y427,Z427,AA427,AB427,AC427,AD427,AE427,AF427,AG427,AH427,AI427,AJ427,AK427,AL427,AM427,AN427,AO427,AP427,AQ427,AR427,AS427,AT427,AU427,AV427,AW427,AX427,AY427,AZ427,BA427,BB427,BC427,BD427,BE427,BF427,BG427,BH427)</f>
        <v/>
      </c>
      <c r="C428" s="0" t="inlineStr">
        <is>
          <t>[5,</t>
        </is>
      </c>
      <c r="D428" s="0" t="n">
        <v>413</v>
      </c>
      <c r="E428" s="0" t="inlineStr">
        <is>
          <t>,11],[5,</t>
        </is>
      </c>
      <c r="F428" s="0" t="n">
        <v>413</v>
      </c>
      <c r="G428" s="0" t="inlineStr">
        <is>
          <t>,12],[5,</t>
        </is>
      </c>
      <c r="H428" s="0" t="n">
        <v>0</v>
      </c>
      <c r="I428" s="0" t="inlineStr">
        <is>
          <t>,13],[5,</t>
        </is>
      </c>
      <c r="J428" s="0" t="n">
        <v>413</v>
      </c>
      <c r="K428" s="0" t="inlineStr">
        <is>
          <t>,14],[5,</t>
        </is>
      </c>
      <c r="L428" s="0" t="n">
        <v>413</v>
      </c>
      <c r="M428" s="0" t="inlineStr">
        <is>
          <t>,15],</t>
        </is>
      </c>
    </row>
    <row r="429">
      <c r="A429" s="151" t="inlineStr">
        <is>
          <t xml:space="preserve">[5,5,16],[5,5,17],[5,5,18],[5,6,19],[5,5,20], </t>
        </is>
      </c>
      <c r="B429" s="0">
        <f>CONCATENATE(C428,D428,E428,F428,G428,H428,I428,J428,K428,L428,M428,N428,O428,P428,Q428,R428,S428,T428,U428,V428,W428,X428,Y428,Z428,AA428,AB428,AC428,AD428,AE428,AF428,AG428,AH428,AI428,AJ428,AK428,AL428,AM428,AN428,AO428,AP428,AQ428,AR428,AS428,AT428,AU428,AV428,AW428,AX428,AY428,AZ428,BA428,BB428,BC428,BD428,BE428,BF428,BG428,BH428)</f>
        <v/>
      </c>
      <c r="C429" s="0" t="inlineStr">
        <is>
          <t>[5,</t>
        </is>
      </c>
      <c r="D429" s="0" t="n">
        <v>413</v>
      </c>
      <c r="E429" s="0" t="inlineStr">
        <is>
          <t>,16],[5,</t>
        </is>
      </c>
      <c r="F429" s="0" t="n">
        <v>413</v>
      </c>
      <c r="G429" s="0" t="inlineStr">
        <is>
          <t>,17],[5,</t>
        </is>
      </c>
      <c r="H429" s="0" t="n">
        <v>413</v>
      </c>
      <c r="I429" s="0" t="inlineStr">
        <is>
          <t>,18],[5,</t>
        </is>
      </c>
      <c r="J429" s="0" t="n">
        <v>413</v>
      </c>
      <c r="K429" s="0" t="inlineStr">
        <is>
          <t>,19],[5,</t>
        </is>
      </c>
      <c r="L429" s="0" t="n">
        <v>413</v>
      </c>
      <c r="M429" s="0" t="inlineStr">
        <is>
          <t>,20],</t>
        </is>
      </c>
    </row>
    <row r="430">
      <c r="A430" s="151" t="inlineStr">
        <is>
          <t xml:space="preserve">[5,5,21],[5,5,22],[5,5,23],[5,6,24],[5,5,25], </t>
        </is>
      </c>
      <c r="B430" s="0">
        <f>CONCATENATE(C429,D429,E429,F429,G429,H429,I429,J429,K429,L429,M429,N429,O429,P429,Q429,R429,S429,T429,U429,V429,W429,X429,Y429,Z429,AA429,AB429,AC429,AD429,AE429,AF429,AG429,AH429,AI429,AJ429,AK429,AL429,AM429,AN429,AO429,AP429,AQ429,AR429,AS429,AT429,AU429,AV429,AW429,AX429,AY429,AZ429,BA429,BB429,BC429,BD429,BE429,BF429,BG429,BH429)</f>
        <v/>
      </c>
      <c r="C430" s="0" t="inlineStr">
        <is>
          <t>[5,</t>
        </is>
      </c>
      <c r="D430" s="0" t="n">
        <v>413</v>
      </c>
      <c r="E430" s="0" t="inlineStr">
        <is>
          <t>,21],[5,</t>
        </is>
      </c>
      <c r="F430" s="0" t="n">
        <v>413</v>
      </c>
      <c r="G430" s="0" t="inlineStr">
        <is>
          <t>,22],[5,</t>
        </is>
      </c>
      <c r="H430" s="0" t="n">
        <v>413</v>
      </c>
      <c r="I430" s="0" t="inlineStr">
        <is>
          <t>,23],[5,</t>
        </is>
      </c>
      <c r="J430" s="0" t="n">
        <v>413</v>
      </c>
      <c r="K430" s="0" t="inlineStr">
        <is>
          <t>,24],[5,</t>
        </is>
      </c>
      <c r="L430" s="0" t="n">
        <v>413</v>
      </c>
      <c r="M430" s="0" t="inlineStr">
        <is>
          <t>,25],</t>
        </is>
      </c>
    </row>
    <row r="431">
      <c r="B431" s="0">
        <f>CONCATENATE(C430,D430,E430,F430,G430,H430,I430,J430,K430,L430,M430,N430,O430,P430,Q430,R430,S430,T430,U430,V430,W430,X430,Y430,Z430,AA430,AB430,AC430,AD430,AE430,AF430,AG430,AH430,AI430,AJ430,AK430,AL430,AM430,AN430,AO430,AP430,AQ430,AR430,AS430,AT430,AU430,AV430,AW430,AX430,AY430,AZ430,BA430,BB430,BC430,BD430,BE430,BF430,BG430,BH430)</f>
        <v/>
      </c>
    </row>
    <row r="432">
      <c r="A432" s="151" t="inlineStr">
        <is>
          <t xml:space="preserve">[6,5,1],[6,5,2],[6,5,3],[6,6,4],[6,5,5], </t>
        </is>
      </c>
      <c r="B432" s="0">
        <f>CONCATENATE(C431,D431,E431,F431,G431,H431,I431,J431,K431,L431,M431,N431,O431,P431,Q431,R431,S431,T431,U431,V431,W431,X431,Y431,Z431,AA431,AB431,AC431,AD431,AE431,AF431,AG431,AH431,AI431,AJ431,AK431,AL431,AM431,AN431,AO431,AP431,AQ431,AR431,AS431,AT431,AU431,AV431,AW431,AX431,AY431,AZ431,BA431,BB431,BC431,BD431,BE431,BF431,BG431,BH431)</f>
        <v/>
      </c>
      <c r="C432" s="0" t="inlineStr">
        <is>
          <t>[6,</t>
        </is>
      </c>
      <c r="D432" s="0" t="n">
        <v>354</v>
      </c>
      <c r="E432" s="0" t="inlineStr">
        <is>
          <t>,1],[6,</t>
        </is>
      </c>
      <c r="F432" s="0" t="n">
        <v>354</v>
      </c>
      <c r="G432" s="0" t="inlineStr">
        <is>
          <t>,2],[6,</t>
        </is>
      </c>
      <c r="H432" s="0" t="n">
        <v>354</v>
      </c>
      <c r="I432" s="0" t="inlineStr">
        <is>
          <t>,3],[6,</t>
        </is>
      </c>
      <c r="J432" s="0" t="n">
        <v>354</v>
      </c>
      <c r="K432" s="0" t="inlineStr">
        <is>
          <t>,4],[6,</t>
        </is>
      </c>
      <c r="L432" s="0" t="n">
        <v>354</v>
      </c>
      <c r="M432" s="0" t="inlineStr">
        <is>
          <t>,5],</t>
        </is>
      </c>
    </row>
    <row r="433">
      <c r="A433" s="151" t="inlineStr">
        <is>
          <t xml:space="preserve">[6,5,6],[6,5,7],[6,5,8],[6,6,9],[6,5,10], </t>
        </is>
      </c>
      <c r="B433" s="0">
        <f>CONCATENATE(C432,D432,E432,F432,G432,H432,I432,J432,K432,L432,M432,N432,O432,P432,Q432,R432,S432,T432,U432,V432,W432,X432,Y432,Z432,AA432,AB432,AC432,AD432,AE432,AF432,AG432,AH432,AI432,AJ432,AK432,AL432,AM432,AN432,AO432,AP432,AQ432,AR432,AS432,AT432,AU432,AV432,AW432,AX432,AY432,AZ432,BA432,BB432,BC432,BD432,BE432,BF432,BG432,BH432)</f>
        <v/>
      </c>
      <c r="C433" s="0" t="inlineStr">
        <is>
          <t>[6,</t>
        </is>
      </c>
      <c r="D433" s="0" t="n">
        <v>354</v>
      </c>
      <c r="E433" s="0" t="inlineStr">
        <is>
          <t>,6],[6,</t>
        </is>
      </c>
      <c r="F433" s="0" t="n">
        <v>354</v>
      </c>
      <c r="G433" s="0" t="inlineStr">
        <is>
          <t>,7],[6,</t>
        </is>
      </c>
      <c r="H433" s="0" t="n">
        <v>354</v>
      </c>
      <c r="I433" s="0" t="inlineStr">
        <is>
          <t>,8],[6,</t>
        </is>
      </c>
      <c r="J433" s="0" t="n">
        <v>354</v>
      </c>
      <c r="K433" s="0" t="inlineStr">
        <is>
          <t>,9],[6,</t>
        </is>
      </c>
      <c r="L433" s="0" t="n">
        <v>354</v>
      </c>
      <c r="M433" s="0" t="inlineStr">
        <is>
          <t>,10],</t>
        </is>
      </c>
    </row>
    <row r="434">
      <c r="A434" s="151" t="inlineStr">
        <is>
          <t xml:space="preserve">[6,5,11],[6,5,12],[6,0,13],[6,6,14],[6,5,15], </t>
        </is>
      </c>
      <c r="B434" s="0">
        <f>CONCATENATE(C433,D433,E433,F433,G433,H433,I433,J433,K433,L433,M433,N433,O433,P433,Q433,R433,S433,T433,U433,V433,W433,X433,Y433,Z433,AA433,AB433,AC433,AD433,AE433,AF433,AG433,AH433,AI433,AJ433,AK433,AL433,AM433,AN433,AO433,AP433,AQ433,AR433,AS433,AT433,AU433,AV433,AW433,AX433,AY433,AZ433,BA433,BB433,BC433,BD433,BE433,BF433,BG433,BH433)</f>
        <v/>
      </c>
      <c r="C434" s="0" t="inlineStr">
        <is>
          <t>[6,</t>
        </is>
      </c>
      <c r="D434" s="0" t="n">
        <v>354</v>
      </c>
      <c r="E434" s="0" t="inlineStr">
        <is>
          <t>,11],[6,</t>
        </is>
      </c>
      <c r="F434" s="0" t="n">
        <v>354</v>
      </c>
      <c r="G434" s="0" t="inlineStr">
        <is>
          <t>,12],[6,</t>
        </is>
      </c>
      <c r="H434" s="0" t="n">
        <v>0</v>
      </c>
      <c r="I434" s="0" t="inlineStr">
        <is>
          <t>,13],[6,</t>
        </is>
      </c>
      <c r="J434" s="0" t="n">
        <v>354</v>
      </c>
      <c r="K434" s="0" t="inlineStr">
        <is>
          <t>,14],[6,</t>
        </is>
      </c>
      <c r="L434" s="0" t="n">
        <v>354</v>
      </c>
      <c r="M434" s="0" t="inlineStr">
        <is>
          <t>,15],</t>
        </is>
      </c>
    </row>
    <row r="435">
      <c r="A435" s="151" t="inlineStr">
        <is>
          <t xml:space="preserve">[6,5,16],[6,5,17],[6,5,18],[6,6,19],[6,5,20], </t>
        </is>
      </c>
      <c r="B435" s="0">
        <f>CONCATENATE(C434,D434,E434,F434,G434,H434,I434,J434,K434,L434,M434,N434,O434,P434,Q434,R434,S434,T434,U434,V434,W434,X434,Y434,Z434,AA434,AB434,AC434,AD434,AE434,AF434,AG434,AH434,AI434,AJ434,AK434,AL434,AM434,AN434,AO434,AP434,AQ434,AR434,AS434,AT434,AU434,AV434,AW434,AX434,AY434,AZ434,BA434,BB434,BC434,BD434,BE434,BF434,BG434,BH434)</f>
        <v/>
      </c>
      <c r="C435" s="0" t="inlineStr">
        <is>
          <t>[6,</t>
        </is>
      </c>
      <c r="D435" s="0" t="n">
        <v>354</v>
      </c>
      <c r="E435" s="0" t="inlineStr">
        <is>
          <t>,16],[6,</t>
        </is>
      </c>
      <c r="F435" s="0" t="n">
        <v>354</v>
      </c>
      <c r="G435" s="0" t="inlineStr">
        <is>
          <t>,17],[6,</t>
        </is>
      </c>
      <c r="H435" s="0" t="n">
        <v>354</v>
      </c>
      <c r="I435" s="0" t="inlineStr">
        <is>
          <t>,18],[6,</t>
        </is>
      </c>
      <c r="J435" s="0" t="n">
        <v>354</v>
      </c>
      <c r="K435" s="0" t="inlineStr">
        <is>
          <t>,19],[6,</t>
        </is>
      </c>
      <c r="L435" s="0" t="n">
        <v>354</v>
      </c>
      <c r="M435" s="0" t="inlineStr">
        <is>
          <t>,20],</t>
        </is>
      </c>
    </row>
    <row r="436">
      <c r="A436" s="151" t="inlineStr">
        <is>
          <t xml:space="preserve">[6,5,21],[6,5,22],[6,5,23],[6,6,24],[6,5,25], </t>
        </is>
      </c>
      <c r="B436" s="0">
        <f>CONCATENATE(C435,D435,E435,F435,G435,H435,I435,J435,K435,L435,M435,N435,O435,P435,Q435,R435,S435,T435,U435,V435,W435,X435,Y435,Z435,AA435,AB435,AC435,AD435,AE435,AF435,AG435,AH435,AI435,AJ435,AK435,AL435,AM435,AN435,AO435,AP435,AQ435,AR435,AS435,AT435,AU435,AV435,AW435,AX435,AY435,AZ435,BA435,BB435,BC435,BD435,BE435,BF435,BG435,BH435)</f>
        <v/>
      </c>
      <c r="C436" s="0" t="inlineStr">
        <is>
          <t>[6,</t>
        </is>
      </c>
      <c r="D436" s="0" t="n">
        <v>354</v>
      </c>
      <c r="E436" s="0" t="inlineStr">
        <is>
          <t>,21],[6,</t>
        </is>
      </c>
      <c r="F436" s="0" t="n">
        <v>354</v>
      </c>
      <c r="G436" s="0" t="inlineStr">
        <is>
          <t>,22],[6,</t>
        </is>
      </c>
      <c r="H436" s="0" t="n">
        <v>354</v>
      </c>
      <c r="I436" s="0" t="inlineStr">
        <is>
          <t>,23],[6,</t>
        </is>
      </c>
      <c r="J436" s="0" t="n">
        <v>354</v>
      </c>
      <c r="K436" s="0" t="inlineStr">
        <is>
          <t>,24],[6,</t>
        </is>
      </c>
      <c r="L436" s="0" t="n">
        <v>354</v>
      </c>
      <c r="M436" s="0" t="inlineStr">
        <is>
          <t>,25],</t>
        </is>
      </c>
    </row>
    <row r="437">
      <c r="B437" s="0">
        <f>CONCATENATE(C436,D436,E436,F436,G436,H436,I436,J436,K436,L436,M436,N436,O436,P436,Q436,R436,S436,T436,U436,V436,W436,X436,Y436,Z436,AA436,AB436,AC436,AD436,AE436,AF436,AG436,AH436,AI436,AJ436,AK436,AL436,AM436,AN436,AO436,AP436,AQ436,AR436,AS436,AT436,AU436,AV436,AW436,AX436,AY436,AZ436,BA436,BB436,BC436,BD436,BE436,BF436,BG436,BH436)</f>
        <v/>
      </c>
    </row>
    <row r="438">
      <c r="A438" s="151" t="inlineStr">
        <is>
          <t xml:space="preserve">[7,5,1],[7,5,2],[7,5,3],[7,6,4],[7,5,5], </t>
        </is>
      </c>
      <c r="B438" s="0">
        <f>CONCATENATE(C437,D437,E437,F437,G437,H437,I437,J437,K437,L437,M437,N437,O437,P437,Q437,R437,S437,T437,U437,V437,W437,X437,Y437,Z437,AA437,AB437,AC437,AD437,AE437,AF437,AG437,AH437,AI437,AJ437,AK437,AL437,AM437,AN437,AO437,AP437,AQ437,AR437,AS437,AT437,AU437,AV437,AW437,AX437,AY437,AZ437,BA437,BB437,BC437,BD437,BE437,BF437,BG437,BH437)</f>
        <v/>
      </c>
      <c r="C438" s="0" t="inlineStr">
        <is>
          <t>[7,</t>
        </is>
      </c>
      <c r="D438" s="0" t="n">
        <v>310</v>
      </c>
      <c r="E438" s="0" t="inlineStr">
        <is>
          <t>,1],[7,</t>
        </is>
      </c>
      <c r="F438" s="0" t="n">
        <v>310</v>
      </c>
      <c r="G438" s="0" t="inlineStr">
        <is>
          <t>,2],[7,</t>
        </is>
      </c>
      <c r="H438" s="0" t="n">
        <v>310</v>
      </c>
      <c r="I438" s="0" t="inlineStr">
        <is>
          <t>,3],[7,</t>
        </is>
      </c>
      <c r="J438" s="0" t="n">
        <v>310</v>
      </c>
      <c r="K438" s="0" t="inlineStr">
        <is>
          <t>,4],[7,</t>
        </is>
      </c>
      <c r="L438" s="0" t="n">
        <v>310</v>
      </c>
      <c r="M438" s="0" t="inlineStr">
        <is>
          <t>,5],</t>
        </is>
      </c>
    </row>
    <row r="439">
      <c r="A439" s="151" t="inlineStr">
        <is>
          <t xml:space="preserve">[7,5,6],[7,5,7],[7,5,8],[7,6,9],[7,5,10], </t>
        </is>
      </c>
      <c r="B439" s="0">
        <f>CONCATENATE(C438,D438,E438,F438,G438,H438,I438,J438,K438,L438,M438,N438,O438,P438,Q438,R438,S438,T438,U438,V438,W438,X438,Y438,Z438,AA438,AB438,AC438,AD438,AE438,AF438,AG438,AH438,AI438,AJ438,AK438,AL438,AM438,AN438,AO438,AP438,AQ438,AR438,AS438,AT438,AU438,AV438,AW438,AX438,AY438,AZ438,BA438,BB438,BC438,BD438,BE438,BF438,BG438,BH438)</f>
        <v/>
      </c>
      <c r="C439" s="0" t="inlineStr">
        <is>
          <t>[7,</t>
        </is>
      </c>
      <c r="D439" s="0" t="n">
        <v>310</v>
      </c>
      <c r="E439" s="0" t="inlineStr">
        <is>
          <t>,6],[7,</t>
        </is>
      </c>
      <c r="F439" s="0" t="n">
        <v>310</v>
      </c>
      <c r="G439" s="0" t="inlineStr">
        <is>
          <t>,7],[7,</t>
        </is>
      </c>
      <c r="H439" s="0" t="n">
        <v>310</v>
      </c>
      <c r="I439" s="0" t="inlineStr">
        <is>
          <t>,8],[7,</t>
        </is>
      </c>
      <c r="J439" s="0" t="n">
        <v>310</v>
      </c>
      <c r="K439" s="0" t="inlineStr">
        <is>
          <t>,9],[7,</t>
        </is>
      </c>
      <c r="L439" s="0" t="n">
        <v>310</v>
      </c>
      <c r="M439" s="0" t="inlineStr">
        <is>
          <t>,10],</t>
        </is>
      </c>
    </row>
    <row r="440">
      <c r="A440" s="151" t="inlineStr">
        <is>
          <t xml:space="preserve">[7,5,11],[7,5,12],[7,0,13],[7,6,14],[7,5,15], </t>
        </is>
      </c>
      <c r="B440" s="0">
        <f>CONCATENATE(C439,D439,E439,F439,G439,H439,I439,J439,K439,L439,M439,N439,O439,P439,Q439,R439,S439,T439,U439,V439,W439,X439,Y439,Z439,AA439,AB439,AC439,AD439,AE439,AF439,AG439,AH439,AI439,AJ439,AK439,AL439,AM439,AN439,AO439,AP439,AQ439,AR439,AS439,AT439,AU439,AV439,AW439,AX439,AY439,AZ439,BA439,BB439,BC439,BD439,BE439,BF439,BG439,BH439)</f>
        <v/>
      </c>
      <c r="C440" s="0" t="inlineStr">
        <is>
          <t>[7,</t>
        </is>
      </c>
      <c r="D440" s="0" t="n">
        <v>310</v>
      </c>
      <c r="E440" s="0" t="inlineStr">
        <is>
          <t>,11],[7,</t>
        </is>
      </c>
      <c r="F440" s="0" t="n">
        <v>310</v>
      </c>
      <c r="G440" s="0" t="inlineStr">
        <is>
          <t>,12],[7,</t>
        </is>
      </c>
      <c r="H440" s="0" t="n">
        <v>0</v>
      </c>
      <c r="I440" s="0" t="inlineStr">
        <is>
          <t>,13],[7,</t>
        </is>
      </c>
      <c r="J440" s="0" t="n">
        <v>310</v>
      </c>
      <c r="K440" s="0" t="inlineStr">
        <is>
          <t>,14],[7,</t>
        </is>
      </c>
      <c r="L440" s="0" t="n">
        <v>310</v>
      </c>
      <c r="M440" s="0" t="inlineStr">
        <is>
          <t>,15],</t>
        </is>
      </c>
    </row>
    <row r="441">
      <c r="A441" s="151" t="inlineStr">
        <is>
          <t xml:space="preserve">[7,5,16],[7,5,17],[7,5,18],[7,6,19],[7,5,20], </t>
        </is>
      </c>
      <c r="B441" s="0">
        <f>CONCATENATE(C440,D440,E440,F440,G440,H440,I440,J440,K440,L440,M440,N440,O440,P440,Q440,R440,S440,T440,U440,V440,W440,X440,Y440,Z440,AA440,AB440,AC440,AD440,AE440,AF440,AG440,AH440,AI440,AJ440,AK440,AL440,AM440,AN440,AO440,AP440,AQ440,AR440,AS440,AT440,AU440,AV440,AW440,AX440,AY440,AZ440,BA440,BB440,BC440,BD440,BE440,BF440,BG440,BH440)</f>
        <v/>
      </c>
      <c r="C441" s="0" t="inlineStr">
        <is>
          <t>[7,</t>
        </is>
      </c>
      <c r="D441" s="0" t="n">
        <v>310</v>
      </c>
      <c r="E441" s="0" t="inlineStr">
        <is>
          <t>,16],[7,</t>
        </is>
      </c>
      <c r="F441" s="0" t="n">
        <v>310</v>
      </c>
      <c r="G441" s="0" t="inlineStr">
        <is>
          <t>,17],[7,</t>
        </is>
      </c>
      <c r="H441" s="0" t="n">
        <v>310</v>
      </c>
      <c r="I441" s="0" t="inlineStr">
        <is>
          <t>,18],[7,</t>
        </is>
      </c>
      <c r="J441" s="0" t="n">
        <v>310</v>
      </c>
      <c r="K441" s="0" t="inlineStr">
        <is>
          <t>,19],[7,</t>
        </is>
      </c>
      <c r="L441" s="0" t="n">
        <v>310</v>
      </c>
      <c r="M441" s="0" t="inlineStr">
        <is>
          <t>,20],</t>
        </is>
      </c>
    </row>
    <row r="442">
      <c r="A442" s="151" t="inlineStr">
        <is>
          <t xml:space="preserve">[7,5,21],[7,5,22],[7,5,23],[7,6,24],[7,5,25], </t>
        </is>
      </c>
      <c r="B442" s="0">
        <f>CONCATENATE(C441,D441,E441,F441,G441,H441,I441,J441,K441,L441,M441,N441,O441,P441,Q441,R441,S441,T441,U441,V441,W441,X441,Y441,Z441,AA441,AB441,AC441,AD441,AE441,AF441,AG441,AH441,AI441,AJ441,AK441,AL441,AM441,AN441,AO441,AP441,AQ441,AR441,AS441,AT441,AU441,AV441,AW441,AX441,AY441,AZ441,BA441,BB441,BC441,BD441,BE441,BF441,BG441,BH441)</f>
        <v/>
      </c>
      <c r="C442" s="0" t="inlineStr">
        <is>
          <t>[7,</t>
        </is>
      </c>
      <c r="D442" s="0" t="n">
        <v>310</v>
      </c>
      <c r="E442" s="0" t="inlineStr">
        <is>
          <t>,21],[7,</t>
        </is>
      </c>
      <c r="F442" s="0" t="n">
        <v>310</v>
      </c>
      <c r="G442" s="0" t="inlineStr">
        <is>
          <t>,22],[7,</t>
        </is>
      </c>
      <c r="H442" s="0" t="n">
        <v>310</v>
      </c>
      <c r="I442" s="0" t="inlineStr">
        <is>
          <t>,23],[7,</t>
        </is>
      </c>
      <c r="J442" s="0" t="n">
        <v>310</v>
      </c>
      <c r="K442" s="0" t="inlineStr">
        <is>
          <t>,24],[7,</t>
        </is>
      </c>
      <c r="L442" s="0" t="n">
        <v>310</v>
      </c>
      <c r="M442" s="0" t="inlineStr">
        <is>
          <t>,25],</t>
        </is>
      </c>
    </row>
    <row r="443">
      <c r="B443" s="0">
        <f>CONCATENATE(C442,D442,E442,F442,G442,H442,I442,J442,K442,L442,M442,N442,O442,P442,Q442,R442,S442,T442,U442,V442,W442,X442,Y442,Z442,AA442,AB442,AC442,AD442,AE442,AF442,AG442,AH442,AI442,AJ442,AK442,AL442,AM442,AN442,AO442,AP442,AQ442,AR442,AS442,AT442,AU442,AV442,AW442,AX442,AY442,AZ442,BA442,BB442,BC442,BD442,BE442,BF442,BG442,BH442)</f>
        <v/>
      </c>
    </row>
    <row r="444">
      <c r="A444" s="151" t="inlineStr">
        <is>
          <t xml:space="preserve">[8,5,1],[8,5,2],[8,5,3],[8,6,4],[8,5,5], </t>
        </is>
      </c>
      <c r="B444" s="0">
        <f>CONCATENATE(C443,D443,E443,F443,G443,H443,I443,J443,K443,L443,M443,N443,O443,P443,Q443,R443,S443,T443,U443,V443,W443,X443,Y443,Z443,AA443,AB443,AC443,AD443,AE443,AF443,AG443,AH443,AI443,AJ443,AK443,AL443,AM443,AN443,AO443,AP443,AQ443,AR443,AS443,AT443,AU443,AV443,AW443,AX443,AY443,AZ443,BA443,BB443,BC443,BD443,BE443,BF443,BG443,BH443)</f>
        <v/>
      </c>
      <c r="C444" s="0" t="inlineStr">
        <is>
          <t>[8,</t>
        </is>
      </c>
      <c r="D444" s="0" t="n">
        <v>8</v>
      </c>
      <c r="E444" s="0" t="inlineStr">
        <is>
          <t>,1],[8,</t>
        </is>
      </c>
      <c r="F444" s="0" t="n">
        <v>8</v>
      </c>
      <c r="G444" s="0" t="inlineStr">
        <is>
          <t>,2],[8,</t>
        </is>
      </c>
      <c r="H444" s="0" t="n">
        <v>8</v>
      </c>
      <c r="I444" s="0" t="inlineStr">
        <is>
          <t>,3],[8,</t>
        </is>
      </c>
      <c r="J444" s="0" t="n">
        <v>8</v>
      </c>
      <c r="K444" s="0" t="inlineStr">
        <is>
          <t>,4],[8,</t>
        </is>
      </c>
      <c r="L444" s="0" t="n">
        <v>8</v>
      </c>
      <c r="M444" s="0" t="inlineStr">
        <is>
          <t>,5],</t>
        </is>
      </c>
    </row>
    <row r="445">
      <c r="A445" s="151" t="inlineStr">
        <is>
          <t xml:space="preserve">[8,5,6],[8,5,7],[8,5,8],[8,6,9],[8,5,10], </t>
        </is>
      </c>
      <c r="B445" s="0">
        <f>CONCATENATE(C444,D444,E444,F444,G444,H444,I444,J444,K444,L444,M444,N444,O444,P444,Q444,R444,S444,T444,U444,V444,W444,X444,Y444,Z444,AA444,AB444,AC444,AD444,AE444,AF444,AG444,AH444,AI444,AJ444,AK444,AL444,AM444,AN444,AO444,AP444,AQ444,AR444,AS444,AT444,AU444,AV444,AW444,AX444,AY444,AZ444,BA444,BB444,BC444,BD444,BE444,BF444,BG444,BH444)</f>
        <v/>
      </c>
      <c r="C445" s="0" t="inlineStr">
        <is>
          <t>[8,</t>
        </is>
      </c>
      <c r="D445" s="0" t="n">
        <v>8</v>
      </c>
      <c r="E445" s="0" t="inlineStr">
        <is>
          <t>,6],[8,</t>
        </is>
      </c>
      <c r="F445" s="0" t="n">
        <v>8</v>
      </c>
      <c r="G445" s="0" t="inlineStr">
        <is>
          <t>,7],[8,</t>
        </is>
      </c>
      <c r="H445" s="0" t="n">
        <v>8</v>
      </c>
      <c r="I445" s="0" t="inlineStr">
        <is>
          <t>,8],[8,</t>
        </is>
      </c>
      <c r="J445" s="0" t="n">
        <v>8</v>
      </c>
      <c r="K445" s="0" t="inlineStr">
        <is>
          <t>,9],[8,</t>
        </is>
      </c>
      <c r="L445" s="0" t="n">
        <v>8</v>
      </c>
      <c r="M445" s="0" t="inlineStr">
        <is>
          <t>,10],</t>
        </is>
      </c>
    </row>
    <row r="446">
      <c r="A446" s="151" t="inlineStr">
        <is>
          <t xml:space="preserve">[8,5,11],[8,5,12],[8,0,13],[8,6,14],[8,5,15], </t>
        </is>
      </c>
      <c r="B446" s="0">
        <f>CONCATENATE(C445,D445,E445,F445,G445,H445,I445,J445,K445,L445,M445,N445,O445,P445,Q445,R445,S445,T445,U445,V445,W445,X445,Y445,Z445,AA445,AB445,AC445,AD445,AE445,AF445,AG445,AH445,AI445,AJ445,AK445,AL445,AM445,AN445,AO445,AP445,AQ445,AR445,AS445,AT445,AU445,AV445,AW445,AX445,AY445,AZ445,BA445,BB445,BC445,BD445,BE445,BF445,BG445,BH445)</f>
        <v/>
      </c>
      <c r="C446" s="0" t="inlineStr">
        <is>
          <t>[8,</t>
        </is>
      </c>
      <c r="D446" s="0" t="n">
        <v>8</v>
      </c>
      <c r="E446" s="0" t="inlineStr">
        <is>
          <t>,11],[8,</t>
        </is>
      </c>
      <c r="F446" s="0" t="n">
        <v>8</v>
      </c>
      <c r="G446" s="0" t="inlineStr">
        <is>
          <t>,12],[8,</t>
        </is>
      </c>
      <c r="H446" s="0" t="n">
        <v>0</v>
      </c>
      <c r="I446" s="0" t="inlineStr">
        <is>
          <t>,13],[8,</t>
        </is>
      </c>
      <c r="J446" s="0" t="n">
        <v>8</v>
      </c>
      <c r="K446" s="0" t="inlineStr">
        <is>
          <t>,14],[8,</t>
        </is>
      </c>
      <c r="L446" s="0" t="n">
        <v>8</v>
      </c>
      <c r="M446" s="0" t="inlineStr">
        <is>
          <t>,15],</t>
        </is>
      </c>
    </row>
    <row r="447">
      <c r="A447" s="151" t="inlineStr">
        <is>
          <t xml:space="preserve">[8,5,16],[8,5,17],[8,5,18],[8,6,19],[8,5,20], </t>
        </is>
      </c>
      <c r="B447" s="0">
        <f>CONCATENATE(C446,D446,E446,F446,G446,H446,I446,J446,K446,L446,M446,N446,O446,P446,Q446,R446,S446,T446,U446,V446,W446,X446,Y446,Z446,AA446,AB446,AC446,AD446,AE446,AF446,AG446,AH446,AI446,AJ446,AK446,AL446,AM446,AN446,AO446,AP446,AQ446,AR446,AS446,AT446,AU446,AV446,AW446,AX446,AY446,AZ446,BA446,BB446,BC446,BD446,BE446,BF446,BG446,BH446)</f>
        <v/>
      </c>
      <c r="C447" s="0" t="inlineStr">
        <is>
          <t>[8,</t>
        </is>
      </c>
      <c r="D447" s="0" t="n">
        <v>8</v>
      </c>
      <c r="E447" s="0" t="inlineStr">
        <is>
          <t>,16],[8,</t>
        </is>
      </c>
      <c r="F447" s="0" t="n">
        <v>8</v>
      </c>
      <c r="G447" s="0" t="inlineStr">
        <is>
          <t>,17],[8,</t>
        </is>
      </c>
      <c r="H447" s="0" t="n">
        <v>8</v>
      </c>
      <c r="I447" s="0" t="inlineStr">
        <is>
          <t>,18],[8,</t>
        </is>
      </c>
      <c r="J447" s="0" t="n">
        <v>8</v>
      </c>
      <c r="K447" s="0" t="inlineStr">
        <is>
          <t>,19],[8,</t>
        </is>
      </c>
      <c r="L447" s="0" t="n">
        <v>8</v>
      </c>
      <c r="M447" s="0" t="inlineStr">
        <is>
          <t>,20],</t>
        </is>
      </c>
    </row>
    <row r="448">
      <c r="A448" s="151" t="inlineStr">
        <is>
          <t xml:space="preserve">[8,5,21],[8,5,22],[8,5,23],[8,6,24],[8,5,25] </t>
        </is>
      </c>
      <c r="B448" s="0">
        <f>CONCATENATE(C447,D447,E447,F447,G447,H447,I447,J447,K447,L447,M447,N447,O447,P447,Q447,R447,S447,T447,U447,V447,W447,X447,Y447,Z447,AA447,AB447,AC447,AD447,AE447,AF447,AG447,AH447,AI447,AJ447,AK447,AL447,AM447,AN447,AO447,AP447,AQ447,AR447,AS447,AT447,AU447,AV447,AW447,AX447,AY447,AZ447,BA447,BB447,BC447,BD447,BE447,BF447,BG447,BH447)</f>
        <v/>
      </c>
      <c r="C448" s="0" t="inlineStr">
        <is>
          <t>[8,</t>
        </is>
      </c>
      <c r="D448" s="0" t="n">
        <v>8</v>
      </c>
      <c r="E448" s="0" t="inlineStr">
        <is>
          <t>,21],[8,</t>
        </is>
      </c>
      <c r="F448" s="0" t="n">
        <v>8</v>
      </c>
      <c r="G448" s="0" t="inlineStr">
        <is>
          <t>,22],[8,</t>
        </is>
      </c>
      <c r="H448" s="0" t="n">
        <v>8</v>
      </c>
      <c r="I448" s="0" t="inlineStr">
        <is>
          <t>,23],[8,</t>
        </is>
      </c>
      <c r="J448" s="0" t="n">
        <v>8</v>
      </c>
      <c r="K448" s="0" t="inlineStr">
        <is>
          <t>,24],[8,</t>
        </is>
      </c>
      <c r="L448" s="0" t="n">
        <v>8</v>
      </c>
      <c r="M448" s="0" t="inlineStr">
        <is>
          <t>,25],</t>
        </is>
      </c>
    </row>
    <row r="449">
      <c r="A449" s="151" t="inlineStr">
        <is>
          <t xml:space="preserve">], </t>
        </is>
      </c>
      <c r="B449" s="0">
        <f>CONCATENATE(C448,D448,E448,F448,G448,H448,I448,J448,K448,L448,M448,N448,O448,P448,Q448,R448,S448,T448,U448,V448,W448,X448,Y448,Z448,AA448,AB448,AC448,AD448,AE448,AF448,AG448,AH448,AI448,AJ448,AK448,AL448,AM448,AN448,AO448,AP448,AQ448,AR448,AS448,AT448,AU448,AV448,AW448,AX448,AY448,AZ448,BA448,BB448,BC448,BD448,BE448,BF448,BG448,BH448)</f>
        <v/>
      </c>
      <c r="C449" s="0" t="inlineStr">
        <is>
          <t xml:space="preserve">], </t>
        </is>
      </c>
    </row>
    <row r="450">
      <c r="A450" s="151" t="inlineStr">
        <is>
          <t xml:space="preserve">[ </t>
        </is>
      </c>
      <c r="B450" s="0">
        <f>CONCATENATE(C449,D449,E449,F449,G449,H449,I449,J449,K449,L449,M449,N449,O449,P449,Q449,R449,S449,T449,U449,V449,W449,X449,Y449,Z449,AA449,AB449,AC449,AD449,AE449,AF449,AG449,AH449,AI449,AJ449,AK449,AL449,AM449,AN449,AO449,AP449,AQ449,AR449,AS449,AT449,AU449,AV449,AW449,AX449,AY449,AZ449,BA449,BB449,BC449,BD449,BE449,BF449,BG449,BH449)</f>
        <v/>
      </c>
      <c r="C450" s="0" t="inlineStr">
        <is>
          <t xml:space="preserve">[ </t>
        </is>
      </c>
    </row>
    <row r="451">
      <c r="A451" s="151" t="inlineStr">
        <is>
          <t xml:space="preserve">[1,5,1],[1,5,2],[1,5,3],[1,6,4],[1,5,5], </t>
        </is>
      </c>
      <c r="B451" s="0">
        <f>CONCATENATE(C450,D450,E450,F450,G450,H450,I450,J450,K450,L450,M450,N450,O450,P450,Q450,R450,S450,T450,U450,V450,W450,X450,Y450,Z450,AA450,AB450,AC450,AD450,AE450,AF450,AG450,AH450,AI450,AJ450,AK450,AL450,AM450,AN450,AO450,AP450,AQ450,AR450,AS450,AT450,AU450,AV450,AW450,AX450,AY450,AZ450,BA450,BB450,BC450,BD450,BE450,BF450,BG450,BH450)</f>
        <v/>
      </c>
      <c r="C451" s="0" t="inlineStr">
        <is>
          <t>[1,</t>
        </is>
      </c>
      <c r="D451" s="0" t="n">
        <v>85</v>
      </c>
      <c r="E451" s="0" t="inlineStr">
        <is>
          <t>,1],[1,</t>
        </is>
      </c>
      <c r="F451" s="0" t="n">
        <v>85</v>
      </c>
      <c r="G451" s="0" t="inlineStr">
        <is>
          <t>,2],[1,</t>
        </is>
      </c>
      <c r="H451" s="0" t="n">
        <v>85</v>
      </c>
      <c r="I451" s="0" t="inlineStr">
        <is>
          <t>,3],[1,</t>
        </is>
      </c>
      <c r="J451" s="0" t="n">
        <v>85</v>
      </c>
      <c r="K451" s="0" t="inlineStr">
        <is>
          <t>,4],[1,</t>
        </is>
      </c>
      <c r="L451" s="0" t="n">
        <v>85</v>
      </c>
      <c r="M451" s="0" t="inlineStr">
        <is>
          <t>,5],</t>
        </is>
      </c>
    </row>
    <row r="452">
      <c r="A452" s="151" t="inlineStr">
        <is>
          <t xml:space="preserve">[1,5,6],[1,5,7],[1,5,8],[1,6,9],[1,5,10], </t>
        </is>
      </c>
      <c r="B452" s="0">
        <f>CONCATENATE(C451,D451,E451,F451,G451,H451,I451,J451,K451,L451,M451,N451,O451,P451,Q451,R451,S451,T451,U451,V451,W451,X451,Y451,Z451,AA451,AB451,AC451,AD451,AE451,AF451,AG451,AH451,AI451,AJ451,AK451,AL451,AM451,AN451,AO451,AP451,AQ451,AR451,AS451,AT451,AU451,AV451,AW451,AX451,AY451,AZ451,BA451,BB451,BC451,BD451,BE451,BF451,BG451,BH451)</f>
        <v/>
      </c>
      <c r="C452" s="0" t="inlineStr">
        <is>
          <t>[1,</t>
        </is>
      </c>
      <c r="D452" s="0" t="n">
        <v>85</v>
      </c>
      <c r="E452" s="0" t="inlineStr">
        <is>
          <t>,6],[1,</t>
        </is>
      </c>
      <c r="F452" s="0" t="n">
        <v>85</v>
      </c>
      <c r="G452" s="0" t="inlineStr">
        <is>
          <t>,7],[1,</t>
        </is>
      </c>
      <c r="H452" s="0" t="n">
        <v>85</v>
      </c>
      <c r="I452" s="0" t="inlineStr">
        <is>
          <t>,8],[1,</t>
        </is>
      </c>
      <c r="J452" s="0" t="n">
        <v>85</v>
      </c>
      <c r="K452" s="0" t="inlineStr">
        <is>
          <t>,9],[1,</t>
        </is>
      </c>
      <c r="L452" s="0" t="n">
        <v>85</v>
      </c>
      <c r="M452" s="0" t="inlineStr">
        <is>
          <t>,10],</t>
        </is>
      </c>
    </row>
    <row r="453">
      <c r="A453" s="151" t="inlineStr">
        <is>
          <t xml:space="preserve">[1,5,11],[1,5,12],[1,0,13],[1,6,14],[1,5,15], </t>
        </is>
      </c>
      <c r="B453" s="0">
        <f>CONCATENATE(C452,D452,E452,F452,G452,H452,I452,J452,K452,L452,M452,N452,O452,P452,Q452,R452,S452,T452,U452,V452,W452,X452,Y452,Z452,AA452,AB452,AC452,AD452,AE452,AF452,AG452,AH452,AI452,AJ452,AK452,AL452,AM452,AN452,AO452,AP452,AQ452,AR452,AS452,AT452,AU452,AV452,AW452,AX452,AY452,AZ452,BA452,BB452,BC452,BD452,BE452,BF452,BG452,BH452)</f>
        <v/>
      </c>
      <c r="C453" s="0" t="inlineStr">
        <is>
          <t>[1,</t>
        </is>
      </c>
      <c r="D453" s="0" t="n">
        <v>85</v>
      </c>
      <c r="E453" s="0" t="inlineStr">
        <is>
          <t>,11],[1,</t>
        </is>
      </c>
      <c r="F453" s="0" t="n">
        <v>85</v>
      </c>
      <c r="G453" s="0" t="inlineStr">
        <is>
          <t>,12],[1,</t>
        </is>
      </c>
      <c r="H453" s="0" t="n">
        <v>0</v>
      </c>
      <c r="I453" s="0" t="inlineStr">
        <is>
          <t>,13],[1,</t>
        </is>
      </c>
      <c r="J453" s="0" t="n">
        <v>85</v>
      </c>
      <c r="K453" s="0" t="inlineStr">
        <is>
          <t>,14],[1,</t>
        </is>
      </c>
      <c r="L453" s="0" t="n">
        <v>85</v>
      </c>
      <c r="M453" s="0" t="inlineStr">
        <is>
          <t>,15],</t>
        </is>
      </c>
    </row>
    <row r="454">
      <c r="A454" s="151" t="inlineStr">
        <is>
          <t xml:space="preserve">[1,5,16],[1,5,17],[1,5,18],[1,6,19],[1,5,20], </t>
        </is>
      </c>
      <c r="B454" s="0">
        <f>CONCATENATE(C453,D453,E453,F453,G453,H453,I453,J453,K453,L453,M453,N453,O453,P453,Q453,R453,S453,T453,U453,V453,W453,X453,Y453,Z453,AA453,AB453,AC453,AD453,AE453,AF453,AG453,AH453,AI453,AJ453,AK453,AL453,AM453,AN453,AO453,AP453,AQ453,AR453,AS453,AT453,AU453,AV453,AW453,AX453,AY453,AZ453,BA453,BB453,BC453,BD453,BE453,BF453,BG453,BH453)</f>
        <v/>
      </c>
      <c r="C454" s="0" t="inlineStr">
        <is>
          <t>[1,</t>
        </is>
      </c>
      <c r="D454" s="0" t="n">
        <v>85</v>
      </c>
      <c r="E454" s="0" t="inlineStr">
        <is>
          <t>,16],[1,</t>
        </is>
      </c>
      <c r="F454" s="0" t="n">
        <v>85</v>
      </c>
      <c r="G454" s="0" t="inlineStr">
        <is>
          <t>,17],[1,</t>
        </is>
      </c>
      <c r="H454" s="0" t="n">
        <v>85</v>
      </c>
      <c r="I454" s="0" t="inlineStr">
        <is>
          <t>,18],[1,</t>
        </is>
      </c>
      <c r="J454" s="0" t="n">
        <v>85</v>
      </c>
      <c r="K454" s="0" t="inlineStr">
        <is>
          <t>,19],[1,</t>
        </is>
      </c>
      <c r="L454" s="0" t="n">
        <v>85</v>
      </c>
      <c r="M454" s="0" t="inlineStr">
        <is>
          <t>,20],</t>
        </is>
      </c>
    </row>
    <row r="455">
      <c r="A455" s="151" t="inlineStr">
        <is>
          <t xml:space="preserve">[1,5,21],[1,5,22],[1,5,23],[1,6,24],[1,5,25], </t>
        </is>
      </c>
      <c r="B455" s="0">
        <f>CONCATENATE(C454,D454,E454,F454,G454,H454,I454,J454,K454,L454,M454,N454,O454,P454,Q454,R454,S454,T454,U454,V454,W454,X454,Y454,Z454,AA454,AB454,AC454,AD454,AE454,AF454,AG454,AH454,AI454,AJ454,AK454,AL454,AM454,AN454,AO454,AP454,AQ454,AR454,AS454,AT454,AU454,AV454,AW454,AX454,AY454,AZ454,BA454,BB454,BC454,BD454,BE454,BF454,BG454,BH454)</f>
        <v/>
      </c>
      <c r="C455" s="0" t="inlineStr">
        <is>
          <t>[1,</t>
        </is>
      </c>
      <c r="D455" s="0" t="n">
        <v>85</v>
      </c>
      <c r="E455" s="0" t="inlineStr">
        <is>
          <t>,21],[1,</t>
        </is>
      </c>
      <c r="F455" s="0" t="n">
        <v>85</v>
      </c>
      <c r="G455" s="0" t="inlineStr">
        <is>
          <t>,22],[1,</t>
        </is>
      </c>
      <c r="H455" s="0" t="n">
        <v>85</v>
      </c>
      <c r="I455" s="0" t="inlineStr">
        <is>
          <t>,23],[1,</t>
        </is>
      </c>
      <c r="J455" s="0" t="n">
        <v>85</v>
      </c>
      <c r="K455" s="0" t="inlineStr">
        <is>
          <t>,24],[1,</t>
        </is>
      </c>
      <c r="L455" s="0" t="n">
        <v>85</v>
      </c>
      <c r="M455" s="0" t="inlineStr">
        <is>
          <t>,25],</t>
        </is>
      </c>
    </row>
    <row r="456">
      <c r="B456" s="0">
        <f>CONCATENATE(C455,D455,E455,F455,G455,H455,I455,J455,K455,L455,M455,N455,O455,P455,Q455,R455,S455,T455,U455,V455,W455,X455,Y455,Z455,AA455,AB455,AC455,AD455,AE455,AF455,AG455,AH455,AI455,AJ455,AK455,AL455,AM455,AN455,AO455,AP455,AQ455,AR455,AS455,AT455,AU455,AV455,AW455,AX455,AY455,AZ455,BA455,BB455,BC455,BD455,BE455,BF455,BG455,BH455)</f>
        <v/>
      </c>
    </row>
    <row r="457">
      <c r="A457" s="151" t="inlineStr">
        <is>
          <t xml:space="preserve">[2,5,1],[2,5,2],[2,5,3],[2,6,4],[2,5,5], </t>
        </is>
      </c>
      <c r="B457" s="0">
        <f>CONCATENATE(C456,D456,E456,F456,G456,H456,I456,J456,K456,L456,M456,N456,O456,P456,Q456,R456,S456,T456,U456,V456,W456,X456,Y456,Z456,AA456,AB456,AC456,AD456,AE456,AF456,AG456,AH456,AI456,AJ456,AK456,AL456,AM456,AN456,AO456,AP456,AQ456,AR456,AS456,AT456,AU456,AV456,AW456,AX456,AY456,AZ456,BA456,BB456,BC456,BD456,BE456,BF456,BG456,BH456)</f>
        <v/>
      </c>
      <c r="C457" s="0" t="inlineStr">
        <is>
          <t>[2,</t>
        </is>
      </c>
      <c r="D457" s="0" t="n">
        <v>43</v>
      </c>
      <c r="E457" s="0" t="inlineStr">
        <is>
          <t>,1],[2,</t>
        </is>
      </c>
      <c r="F457" s="0" t="n">
        <v>43</v>
      </c>
      <c r="G457" s="0" t="inlineStr">
        <is>
          <t>,2],[2,</t>
        </is>
      </c>
      <c r="H457" s="0" t="n">
        <v>43</v>
      </c>
      <c r="I457" s="0" t="inlineStr">
        <is>
          <t>,3],[2,</t>
        </is>
      </c>
      <c r="J457" s="0" t="n">
        <v>43</v>
      </c>
      <c r="K457" s="0" t="inlineStr">
        <is>
          <t>,4],[2,</t>
        </is>
      </c>
      <c r="L457" s="0" t="n">
        <v>43</v>
      </c>
      <c r="M457" s="0" t="inlineStr">
        <is>
          <t>,5],</t>
        </is>
      </c>
    </row>
    <row r="458">
      <c r="A458" s="151" t="inlineStr">
        <is>
          <t xml:space="preserve">[2,5,6],[2,5,7],[2,5,8],[2,6,9],[2,5,10], </t>
        </is>
      </c>
      <c r="B458" s="0">
        <f>CONCATENATE(C457,D457,E457,F457,G457,H457,I457,J457,K457,L457,M457,N457,O457,P457,Q457,R457,S457,T457,U457,V457,W457,X457,Y457,Z457,AA457,AB457,AC457,AD457,AE457,AF457,AG457,AH457,AI457,AJ457,AK457,AL457,AM457,AN457,AO457,AP457,AQ457,AR457,AS457,AT457,AU457,AV457,AW457,AX457,AY457,AZ457,BA457,BB457,BC457,BD457,BE457,BF457,BG457,BH457)</f>
        <v/>
      </c>
      <c r="C458" s="0" t="inlineStr">
        <is>
          <t>[2,</t>
        </is>
      </c>
      <c r="D458" s="0" t="n">
        <v>43</v>
      </c>
      <c r="E458" s="0" t="inlineStr">
        <is>
          <t>,6],[2,</t>
        </is>
      </c>
      <c r="F458" s="0" t="n">
        <v>43</v>
      </c>
      <c r="G458" s="0" t="inlineStr">
        <is>
          <t>,7],[2,</t>
        </is>
      </c>
      <c r="H458" s="0" t="n">
        <v>43</v>
      </c>
      <c r="I458" s="0" t="inlineStr">
        <is>
          <t>,8],[2,</t>
        </is>
      </c>
      <c r="J458" s="0" t="n">
        <v>43</v>
      </c>
      <c r="K458" s="0" t="inlineStr">
        <is>
          <t>,9],[2,</t>
        </is>
      </c>
      <c r="L458" s="0" t="n">
        <v>43</v>
      </c>
      <c r="M458" s="0" t="inlineStr">
        <is>
          <t>,10],</t>
        </is>
      </c>
    </row>
    <row r="459">
      <c r="A459" s="151" t="inlineStr">
        <is>
          <t xml:space="preserve">[2,5,11],[2,5,12],[2,0,13],[2,6,14],[2,5,15], </t>
        </is>
      </c>
      <c r="B459" s="0">
        <f>CONCATENATE(C458,D458,E458,F458,G458,H458,I458,J458,K458,L458,M458,N458,O458,P458,Q458,R458,S458,T458,U458,V458,W458,X458,Y458,Z458,AA458,AB458,AC458,AD458,AE458,AF458,AG458,AH458,AI458,AJ458,AK458,AL458,AM458,AN458,AO458,AP458,AQ458,AR458,AS458,AT458,AU458,AV458,AW458,AX458,AY458,AZ458,BA458,BB458,BC458,BD458,BE458,BF458,BG458,BH458)</f>
        <v/>
      </c>
      <c r="C459" s="0" t="inlineStr">
        <is>
          <t>[2,</t>
        </is>
      </c>
      <c r="D459" s="0" t="n">
        <v>43</v>
      </c>
      <c r="E459" s="0" t="inlineStr">
        <is>
          <t>,11],[2,</t>
        </is>
      </c>
      <c r="F459" s="0" t="n">
        <v>43</v>
      </c>
      <c r="G459" s="0" t="inlineStr">
        <is>
          <t>,12],[2,</t>
        </is>
      </c>
      <c r="H459" s="0" t="n">
        <v>0</v>
      </c>
      <c r="I459" s="0" t="inlineStr">
        <is>
          <t>,13],[2,</t>
        </is>
      </c>
      <c r="J459" s="0" t="n">
        <v>43</v>
      </c>
      <c r="K459" s="0" t="inlineStr">
        <is>
          <t>,14],[2,</t>
        </is>
      </c>
      <c r="L459" s="0" t="n">
        <v>43</v>
      </c>
      <c r="M459" s="0" t="inlineStr">
        <is>
          <t>,15],</t>
        </is>
      </c>
    </row>
    <row r="460">
      <c r="A460" s="151" t="inlineStr">
        <is>
          <t xml:space="preserve">[2,5,16],[2,5,17],[2,5,18],[2,6,19],[2,5,20], </t>
        </is>
      </c>
      <c r="B460" s="0">
        <f>CONCATENATE(C459,D459,E459,F459,G459,H459,I459,J459,K459,L459,M459,N459,O459,P459,Q459,R459,S459,T459,U459,V459,W459,X459,Y459,Z459,AA459,AB459,AC459,AD459,AE459,AF459,AG459,AH459,AI459,AJ459,AK459,AL459,AM459,AN459,AO459,AP459,AQ459,AR459,AS459,AT459,AU459,AV459,AW459,AX459,AY459,AZ459,BA459,BB459,BC459,BD459,BE459,BF459,BG459,BH459)</f>
        <v/>
      </c>
      <c r="C460" s="0" t="inlineStr">
        <is>
          <t>[2,</t>
        </is>
      </c>
      <c r="D460" s="0" t="n">
        <v>43</v>
      </c>
      <c r="E460" s="0" t="inlineStr">
        <is>
          <t>,16],[2,</t>
        </is>
      </c>
      <c r="F460" s="0" t="n">
        <v>43</v>
      </c>
      <c r="G460" s="0" t="inlineStr">
        <is>
          <t>,17],[2,</t>
        </is>
      </c>
      <c r="H460" s="0" t="n">
        <v>43</v>
      </c>
      <c r="I460" s="0" t="inlineStr">
        <is>
          <t>,18],[2,</t>
        </is>
      </c>
      <c r="J460" s="0" t="n">
        <v>43</v>
      </c>
      <c r="K460" s="0" t="inlineStr">
        <is>
          <t>,19],[2,</t>
        </is>
      </c>
      <c r="L460" s="0" t="n">
        <v>43</v>
      </c>
      <c r="M460" s="0" t="inlineStr">
        <is>
          <t>,20],</t>
        </is>
      </c>
    </row>
    <row r="461">
      <c r="A461" s="151" t="inlineStr">
        <is>
          <t xml:space="preserve">[2,5,21],[2,5,22],[2,5,23],[2,6,24],[2,5,25], </t>
        </is>
      </c>
      <c r="B461" s="0">
        <f>CONCATENATE(C460,D460,E460,F460,G460,H460,I460,J460,K460,L460,M460,N460,O460,P460,Q460,R460,S460,T460,U460,V460,W460,X460,Y460,Z460,AA460,AB460,AC460,AD460,AE460,AF460,AG460,AH460,AI460,AJ460,AK460,AL460,AM460,AN460,AO460,AP460,AQ460,AR460,AS460,AT460,AU460,AV460,AW460,AX460,AY460,AZ460,BA460,BB460,BC460,BD460,BE460,BF460,BG460,BH460)</f>
        <v/>
      </c>
      <c r="C461" s="0" t="inlineStr">
        <is>
          <t>[2,</t>
        </is>
      </c>
      <c r="D461" s="0" t="n">
        <v>43</v>
      </c>
      <c r="E461" s="0" t="inlineStr">
        <is>
          <t>,21],[2,</t>
        </is>
      </c>
      <c r="F461" s="0" t="n">
        <v>43</v>
      </c>
      <c r="G461" s="0" t="inlineStr">
        <is>
          <t>,22],[2,</t>
        </is>
      </c>
      <c r="H461" s="0" t="n">
        <v>43</v>
      </c>
      <c r="I461" s="0" t="inlineStr">
        <is>
          <t>,23],[2,</t>
        </is>
      </c>
      <c r="J461" s="0" t="n">
        <v>43</v>
      </c>
      <c r="K461" s="0" t="inlineStr">
        <is>
          <t>,24],[2,</t>
        </is>
      </c>
      <c r="L461" s="0" t="n">
        <v>43</v>
      </c>
      <c r="M461" s="0" t="inlineStr">
        <is>
          <t>,25],</t>
        </is>
      </c>
    </row>
    <row r="462">
      <c r="B462" s="0">
        <f>CONCATENATE(C461,D461,E461,F461,G461,H461,I461,J461,K461,L461,M461,N461,O461,P461,Q461,R461,S461,T461,U461,V461,W461,X461,Y461,Z461,AA461,AB461,AC461,AD461,AE461,AF461,AG461,AH461,AI461,AJ461,AK461,AL461,AM461,AN461,AO461,AP461,AQ461,AR461,AS461,AT461,AU461,AV461,AW461,AX461,AY461,AZ461,BA461,BB461,BC461,BD461,BE461,BF461,BG461,BH461)</f>
        <v/>
      </c>
    </row>
    <row r="463">
      <c r="A463" s="151" t="inlineStr">
        <is>
          <t xml:space="preserve">[3,5,1],[3,5,2],[3,5,3],[3,6,4],[3,5,5], </t>
        </is>
      </c>
      <c r="B463" s="0">
        <f>CONCATENATE(C462,D462,E462,F462,G462,H462,I462,J462,K462,L462,M462,N462,O462,P462,Q462,R462,S462,T462,U462,V462,W462,X462,Y462,Z462,AA462,AB462,AC462,AD462,AE462,AF462,AG462,AH462,AI462,AJ462,AK462,AL462,AM462,AN462,AO462,AP462,AQ462,AR462,AS462,AT462,AU462,AV462,AW462,AX462,AY462,AZ462,BA462,BB462,BC462,BD462,BE462,BF462,BG462,BH462)</f>
        <v/>
      </c>
      <c r="C463" s="0" t="inlineStr">
        <is>
          <t>[3,</t>
        </is>
      </c>
      <c r="D463" s="0" t="n">
        <v>28</v>
      </c>
      <c r="E463" s="0" t="inlineStr">
        <is>
          <t>,1],[3,</t>
        </is>
      </c>
      <c r="F463" s="0" t="n">
        <v>28</v>
      </c>
      <c r="G463" s="0" t="inlineStr">
        <is>
          <t>,2],[3,</t>
        </is>
      </c>
      <c r="H463" s="0" t="n">
        <v>28</v>
      </c>
      <c r="I463" s="0" t="inlineStr">
        <is>
          <t>,3],[3,</t>
        </is>
      </c>
      <c r="J463" s="0" t="n">
        <v>28</v>
      </c>
      <c r="K463" s="0" t="inlineStr">
        <is>
          <t>,4],[3,</t>
        </is>
      </c>
      <c r="L463" s="0" t="n">
        <v>28</v>
      </c>
      <c r="M463" s="0" t="inlineStr">
        <is>
          <t>,5],</t>
        </is>
      </c>
    </row>
    <row r="464">
      <c r="A464" s="151" t="inlineStr">
        <is>
          <t xml:space="preserve">[3,5,6],[3,5,7],[3,5,8],[3,6,9],[3,5,10], </t>
        </is>
      </c>
      <c r="B464" s="0">
        <f>CONCATENATE(C463,D463,E463,F463,G463,H463,I463,J463,K463,L463,M463,N463,O463,P463,Q463,R463,S463,T463,U463,V463,W463,X463,Y463,Z463,AA463,AB463,AC463,AD463,AE463,AF463,AG463,AH463,AI463,AJ463,AK463,AL463,AM463,AN463,AO463,AP463,AQ463,AR463,AS463,AT463,AU463,AV463,AW463,AX463,AY463,AZ463,BA463,BB463,BC463,BD463,BE463,BF463,BG463,BH463)</f>
        <v/>
      </c>
      <c r="C464" s="0" t="inlineStr">
        <is>
          <t>[3,</t>
        </is>
      </c>
      <c r="D464" s="0" t="n">
        <v>28</v>
      </c>
      <c r="E464" s="0" t="inlineStr">
        <is>
          <t>,6],[3,</t>
        </is>
      </c>
      <c r="F464" s="0" t="n">
        <v>28</v>
      </c>
      <c r="G464" s="0" t="inlineStr">
        <is>
          <t>,7],[3,</t>
        </is>
      </c>
      <c r="H464" s="0" t="n">
        <v>28</v>
      </c>
      <c r="I464" s="0" t="inlineStr">
        <is>
          <t>,8],[3,</t>
        </is>
      </c>
      <c r="J464" s="0" t="n">
        <v>28</v>
      </c>
      <c r="K464" s="0" t="inlineStr">
        <is>
          <t>,9],[3,</t>
        </is>
      </c>
      <c r="L464" s="0" t="n">
        <v>28</v>
      </c>
      <c r="M464" s="0" t="inlineStr">
        <is>
          <t>,10],</t>
        </is>
      </c>
    </row>
    <row r="465">
      <c r="A465" s="151" t="inlineStr">
        <is>
          <t xml:space="preserve">[3,5,11],[3,5,12],[3,0,13],[3,6,14],[3,5,15], </t>
        </is>
      </c>
      <c r="B465" s="0">
        <f>CONCATENATE(C464,D464,E464,F464,G464,H464,I464,J464,K464,L464,M464,N464,O464,P464,Q464,R464,S464,T464,U464,V464,W464,X464,Y464,Z464,AA464,AB464,AC464,AD464,AE464,AF464,AG464,AH464,AI464,AJ464,AK464,AL464,AM464,AN464,AO464,AP464,AQ464,AR464,AS464,AT464,AU464,AV464,AW464,AX464,AY464,AZ464,BA464,BB464,BC464,BD464,BE464,BF464,BG464,BH464)</f>
        <v/>
      </c>
      <c r="C465" s="0" t="inlineStr">
        <is>
          <t>[3,</t>
        </is>
      </c>
      <c r="D465" s="0" t="n">
        <v>28</v>
      </c>
      <c r="E465" s="0" t="inlineStr">
        <is>
          <t>,11],[3,</t>
        </is>
      </c>
      <c r="F465" s="0" t="n">
        <v>28</v>
      </c>
      <c r="G465" s="0" t="inlineStr">
        <is>
          <t>,12],[3,</t>
        </is>
      </c>
      <c r="H465" s="0" t="n">
        <v>0</v>
      </c>
      <c r="I465" s="0" t="inlineStr">
        <is>
          <t>,13],[3,</t>
        </is>
      </c>
      <c r="J465" s="0" t="n">
        <v>28</v>
      </c>
      <c r="K465" s="0" t="inlineStr">
        <is>
          <t>,14],[3,</t>
        </is>
      </c>
      <c r="L465" s="0" t="n">
        <v>28</v>
      </c>
      <c r="M465" s="0" t="inlineStr">
        <is>
          <t>,15],</t>
        </is>
      </c>
    </row>
    <row r="466">
      <c r="A466" s="151" t="inlineStr">
        <is>
          <t xml:space="preserve">[3,5,16],[3,5,17],[3,5,18],[3,6,19],[3,5,20], </t>
        </is>
      </c>
      <c r="B466" s="0">
        <f>CONCATENATE(C465,D465,E465,F465,G465,H465,I465,J465,K465,L465,M465,N465,O465,P465,Q465,R465,S465,T465,U465,V465,W465,X465,Y465,Z465,AA465,AB465,AC465,AD465,AE465,AF465,AG465,AH465,AI465,AJ465,AK465,AL465,AM465,AN465,AO465,AP465,AQ465,AR465,AS465,AT465,AU465,AV465,AW465,AX465,AY465,AZ465,BA465,BB465,BC465,BD465,BE465,BF465,BG465,BH465)</f>
        <v/>
      </c>
      <c r="C466" s="0" t="inlineStr">
        <is>
          <t>[3,</t>
        </is>
      </c>
      <c r="D466" s="0" t="n">
        <v>28</v>
      </c>
      <c r="E466" s="0" t="inlineStr">
        <is>
          <t>,16],[3,</t>
        </is>
      </c>
      <c r="F466" s="0" t="n">
        <v>28</v>
      </c>
      <c r="G466" s="0" t="inlineStr">
        <is>
          <t>,17],[3,</t>
        </is>
      </c>
      <c r="H466" s="0" t="n">
        <v>28</v>
      </c>
      <c r="I466" s="0" t="inlineStr">
        <is>
          <t>,18],[3,</t>
        </is>
      </c>
      <c r="J466" s="0" t="n">
        <v>28</v>
      </c>
      <c r="K466" s="0" t="inlineStr">
        <is>
          <t>,19],[3,</t>
        </is>
      </c>
      <c r="L466" s="0" t="n">
        <v>28</v>
      </c>
      <c r="M466" s="0" t="inlineStr">
        <is>
          <t>,20],</t>
        </is>
      </c>
    </row>
    <row r="467">
      <c r="A467" s="151" t="inlineStr">
        <is>
          <t xml:space="preserve">[3,5,21],[3,5,22],[3,5,23],[3,6,24],[3,5,25], </t>
        </is>
      </c>
      <c r="B467" s="0">
        <f>CONCATENATE(C466,D466,E466,F466,G466,H466,I466,J466,K466,L466,M466,N466,O466,P466,Q466,R466,S466,T466,U466,V466,W466,X466,Y466,Z466,AA466,AB466,AC466,AD466,AE466,AF466,AG466,AH466,AI466,AJ466,AK466,AL466,AM466,AN466,AO466,AP466,AQ466,AR466,AS466,AT466,AU466,AV466,AW466,AX466,AY466,AZ466,BA466,BB466,BC466,BD466,BE466,BF466,BG466,BH466)</f>
        <v/>
      </c>
      <c r="C467" s="0" t="inlineStr">
        <is>
          <t>[3,</t>
        </is>
      </c>
      <c r="D467" s="0" t="n">
        <v>28</v>
      </c>
      <c r="E467" s="0" t="inlineStr">
        <is>
          <t>,21],[3,</t>
        </is>
      </c>
      <c r="F467" s="0" t="n">
        <v>28</v>
      </c>
      <c r="G467" s="0" t="inlineStr">
        <is>
          <t>,22],[3,</t>
        </is>
      </c>
      <c r="H467" s="0" t="n">
        <v>28</v>
      </c>
      <c r="I467" s="0" t="inlineStr">
        <is>
          <t>,23],[3,</t>
        </is>
      </c>
      <c r="J467" s="0" t="n">
        <v>28</v>
      </c>
      <c r="K467" s="0" t="inlineStr">
        <is>
          <t>,24],[3,</t>
        </is>
      </c>
      <c r="L467" s="0" t="n">
        <v>28</v>
      </c>
      <c r="M467" s="0" t="inlineStr">
        <is>
          <t>,25],</t>
        </is>
      </c>
    </row>
    <row r="468">
      <c r="B468" s="0">
        <f>CONCATENATE(C467,D467,E467,F467,G467,H467,I467,J467,K467,L467,M467,N467,O467,P467,Q467,R467,S467,T467,U467,V467,W467,X467,Y467,Z467,AA467,AB467,AC467,AD467,AE467,AF467,AG467,AH467,AI467,AJ467,AK467,AL467,AM467,AN467,AO467,AP467,AQ467,AR467,AS467,AT467,AU467,AV467,AW467,AX467,AY467,AZ467,BA467,BB467,BC467,BD467,BE467,BF467,BG467,BH467)</f>
        <v/>
      </c>
    </row>
    <row r="469">
      <c r="A469" s="151" t="inlineStr">
        <is>
          <t xml:space="preserve">[4,5,1],[4,5,2],[4,5,3],[4,6,4],[4,5,5], </t>
        </is>
      </c>
      <c r="B469" s="0">
        <f>CONCATENATE(C468,D468,E468,F468,G468,H468,I468,J468,K468,L468,M468,N468,O468,P468,Q468,R468,S468,T468,U468,V468,W468,X468,Y468,Z468,AA468,AB468,AC468,AD468,AE468,AF468,AG468,AH468,AI468,AJ468,AK468,AL468,AM468,AN468,AO468,AP468,AQ468,AR468,AS468,AT468,AU468,AV468,AW468,AX468,AY468,AZ468,BA468,BB468,BC468,BD468,BE468,BF468,BG468,BH468)</f>
        <v/>
      </c>
      <c r="C469" s="0" t="inlineStr">
        <is>
          <t>[4,</t>
        </is>
      </c>
      <c r="D469" s="0" t="n">
        <v>17</v>
      </c>
      <c r="E469" s="0" t="inlineStr">
        <is>
          <t>,1],[4,</t>
        </is>
      </c>
      <c r="F469" s="0" t="n">
        <v>17</v>
      </c>
      <c r="G469" s="0" t="inlineStr">
        <is>
          <t>,2],[4,</t>
        </is>
      </c>
      <c r="H469" s="0" t="n">
        <v>17</v>
      </c>
      <c r="I469" s="0" t="inlineStr">
        <is>
          <t>,3],[4,</t>
        </is>
      </c>
      <c r="J469" s="0" t="n">
        <v>17</v>
      </c>
      <c r="K469" s="0" t="inlineStr">
        <is>
          <t>,4],[4,</t>
        </is>
      </c>
      <c r="L469" s="0" t="n">
        <v>17</v>
      </c>
      <c r="M469" s="0" t="inlineStr">
        <is>
          <t>,5],</t>
        </is>
      </c>
    </row>
    <row r="470">
      <c r="A470" s="151" t="inlineStr">
        <is>
          <t xml:space="preserve">[4,5,6],[4,5,7],[4,5,8],[4,6,9],[4,5,10], </t>
        </is>
      </c>
      <c r="B470" s="0">
        <f>CONCATENATE(C469,D469,E469,F469,G469,H469,I469,J469,K469,L469,M469,N469,O469,P469,Q469,R469,S469,T469,U469,V469,W469,X469,Y469,Z469,AA469,AB469,AC469,AD469,AE469,AF469,AG469,AH469,AI469,AJ469,AK469,AL469,AM469,AN469,AO469,AP469,AQ469,AR469,AS469,AT469,AU469,AV469,AW469,AX469,AY469,AZ469,BA469,BB469,BC469,BD469,BE469,BF469,BG469,BH469)</f>
        <v/>
      </c>
      <c r="C470" s="0" t="inlineStr">
        <is>
          <t>[4,</t>
        </is>
      </c>
      <c r="D470" s="0" t="n">
        <v>17</v>
      </c>
      <c r="E470" s="0" t="inlineStr">
        <is>
          <t>,6],[4,</t>
        </is>
      </c>
      <c r="F470" s="0" t="n">
        <v>17</v>
      </c>
      <c r="G470" s="0" t="inlineStr">
        <is>
          <t>,7],[4,</t>
        </is>
      </c>
      <c r="H470" s="0" t="n">
        <v>17</v>
      </c>
      <c r="I470" s="0" t="inlineStr">
        <is>
          <t>,8],[4,</t>
        </is>
      </c>
      <c r="J470" s="0" t="n">
        <v>17</v>
      </c>
      <c r="K470" s="0" t="inlineStr">
        <is>
          <t>,9],[4,</t>
        </is>
      </c>
      <c r="L470" s="0" t="n">
        <v>17</v>
      </c>
      <c r="M470" s="0" t="inlineStr">
        <is>
          <t>,10],</t>
        </is>
      </c>
    </row>
    <row r="471">
      <c r="A471" s="151" t="inlineStr">
        <is>
          <t xml:space="preserve">[4,5,11],[4,5,12],[4,0,13],[4,6,14],[4,5,15], </t>
        </is>
      </c>
      <c r="B471" s="0">
        <f>CONCATENATE(C470,D470,E470,F470,G470,H470,I470,J470,K470,L470,M470,N470,O470,P470,Q470,R470,S470,T470,U470,V470,W470,X470,Y470,Z470,AA470,AB470,AC470,AD470,AE470,AF470,AG470,AH470,AI470,AJ470,AK470,AL470,AM470,AN470,AO470,AP470,AQ470,AR470,AS470,AT470,AU470,AV470,AW470,AX470,AY470,AZ470,BA470,BB470,BC470,BD470,BE470,BF470,BG470,BH470)</f>
        <v/>
      </c>
      <c r="C471" s="0" t="inlineStr">
        <is>
          <t>[4,</t>
        </is>
      </c>
      <c r="D471" s="0" t="n">
        <v>17</v>
      </c>
      <c r="E471" s="0" t="inlineStr">
        <is>
          <t>,11],[4,</t>
        </is>
      </c>
      <c r="F471" s="0" t="n">
        <v>17</v>
      </c>
      <c r="G471" s="0" t="inlineStr">
        <is>
          <t>,12],[4,</t>
        </is>
      </c>
      <c r="H471" s="0" t="n">
        <v>0</v>
      </c>
      <c r="I471" s="0" t="inlineStr">
        <is>
          <t>,13],[4,</t>
        </is>
      </c>
      <c r="J471" s="0" t="n">
        <v>17</v>
      </c>
      <c r="K471" s="0" t="inlineStr">
        <is>
          <t>,14],[4,</t>
        </is>
      </c>
      <c r="L471" s="0" t="n">
        <v>17</v>
      </c>
      <c r="M471" s="0" t="inlineStr">
        <is>
          <t>,15],</t>
        </is>
      </c>
    </row>
    <row r="472">
      <c r="A472" s="151" t="inlineStr">
        <is>
          <t xml:space="preserve">[4,5,16],[4,5,17],[4,5,18],[4,6,19],[4,5,20], </t>
        </is>
      </c>
      <c r="B472" s="0">
        <f>CONCATENATE(C471,D471,E471,F471,G471,H471,I471,J471,K471,L471,M471,N471,O471,P471,Q471,R471,S471,T471,U471,V471,W471,X471,Y471,Z471,AA471,AB471,AC471,AD471,AE471,AF471,AG471,AH471,AI471,AJ471,AK471,AL471,AM471,AN471,AO471,AP471,AQ471,AR471,AS471,AT471,AU471,AV471,AW471,AX471,AY471,AZ471,BA471,BB471,BC471,BD471,BE471,BF471,BG471,BH471)</f>
        <v/>
      </c>
      <c r="C472" s="0" t="inlineStr">
        <is>
          <t>[4,</t>
        </is>
      </c>
      <c r="D472" s="0" t="n">
        <v>17</v>
      </c>
      <c r="E472" s="0" t="inlineStr">
        <is>
          <t>,16],[4,</t>
        </is>
      </c>
      <c r="F472" s="0" t="n">
        <v>17</v>
      </c>
      <c r="G472" s="0" t="inlineStr">
        <is>
          <t>,17],[4,</t>
        </is>
      </c>
      <c r="H472" s="0" t="n">
        <v>17</v>
      </c>
      <c r="I472" s="0" t="inlineStr">
        <is>
          <t>,18],[4,</t>
        </is>
      </c>
      <c r="J472" s="0" t="n">
        <v>17</v>
      </c>
      <c r="K472" s="0" t="inlineStr">
        <is>
          <t>,19],[4,</t>
        </is>
      </c>
      <c r="L472" s="0" t="n">
        <v>17</v>
      </c>
      <c r="M472" s="0" t="inlineStr">
        <is>
          <t>,20],</t>
        </is>
      </c>
    </row>
    <row r="473">
      <c r="A473" s="151" t="inlineStr">
        <is>
          <t xml:space="preserve">[4,5,21],[4,5,22],[4,5,23],[4,6,24],[4,5,25], </t>
        </is>
      </c>
      <c r="B473" s="0">
        <f>CONCATENATE(C472,D472,E472,F472,G472,H472,I472,J472,K472,L472,M472,N472,O472,P472,Q472,R472,S472,T472,U472,V472,W472,X472,Y472,Z472,AA472,AB472,AC472,AD472,AE472,AF472,AG472,AH472,AI472,AJ472,AK472,AL472,AM472,AN472,AO472,AP472,AQ472,AR472,AS472,AT472,AU472,AV472,AW472,AX472,AY472,AZ472,BA472,BB472,BC472,BD472,BE472,BF472,BG472,BH472)</f>
        <v/>
      </c>
      <c r="C473" s="0" t="inlineStr">
        <is>
          <t>[4,</t>
        </is>
      </c>
      <c r="D473" s="0" t="n">
        <v>17</v>
      </c>
      <c r="E473" s="0" t="inlineStr">
        <is>
          <t>,21],[4,</t>
        </is>
      </c>
      <c r="F473" s="0" t="n">
        <v>17</v>
      </c>
      <c r="G473" s="0" t="inlineStr">
        <is>
          <t>,22],[4,</t>
        </is>
      </c>
      <c r="H473" s="0" t="n">
        <v>17</v>
      </c>
      <c r="I473" s="0" t="inlineStr">
        <is>
          <t>,23],[4,</t>
        </is>
      </c>
      <c r="J473" s="0" t="n">
        <v>17</v>
      </c>
      <c r="K473" s="0" t="inlineStr">
        <is>
          <t>,24],[4,</t>
        </is>
      </c>
      <c r="L473" s="0" t="n">
        <v>17</v>
      </c>
      <c r="M473" s="0" t="inlineStr">
        <is>
          <t>,25],</t>
        </is>
      </c>
    </row>
    <row r="474">
      <c r="B474" s="0">
        <f>CONCATENATE(C473,D473,E473,F473,G473,H473,I473,J473,K473,L473,M473,N473,O473,P473,Q473,R473,S473,T473,U473,V473,W473,X473,Y473,Z473,AA473,AB473,AC473,AD473,AE473,AF473,AG473,AH473,AI473,AJ473,AK473,AL473,AM473,AN473,AO473,AP473,AQ473,AR473,AS473,AT473,AU473,AV473,AW473,AX473,AY473,AZ473,BA473,BB473,BC473,BD473,BE473,BF473,BG473,BH473)</f>
        <v/>
      </c>
    </row>
    <row r="475">
      <c r="A475" s="151" t="inlineStr">
        <is>
          <t xml:space="preserve">[5,5,1],[5,5,2],[5,5,3],[5,6,4],[5,5,5], </t>
        </is>
      </c>
      <c r="B475" s="0">
        <f>CONCATENATE(C474,D474,E474,F474,G474,H474,I474,J474,K474,L474,M474,N474,O474,P474,Q474,R474,S474,T474,U474,V474,W474,X474,Y474,Z474,AA474,AB474,AC474,AD474,AE474,AF474,AG474,AH474,AI474,AJ474,AK474,AL474,AM474,AN474,AO474,AP474,AQ474,AR474,AS474,AT474,AU474,AV474,AW474,AX474,AY474,AZ474,BA474,BB474,BC474,BD474,BE474,BF474,BG474,BH474)</f>
        <v/>
      </c>
      <c r="C475" s="0" t="inlineStr">
        <is>
          <t>[5,</t>
        </is>
      </c>
      <c r="D475" s="0" t="n">
        <v>14</v>
      </c>
      <c r="E475" s="0" t="inlineStr">
        <is>
          <t>,1],[5,</t>
        </is>
      </c>
      <c r="F475" s="0" t="n">
        <v>14</v>
      </c>
      <c r="G475" s="0" t="inlineStr">
        <is>
          <t>,2],[5,</t>
        </is>
      </c>
      <c r="H475" s="0" t="n">
        <v>14</v>
      </c>
      <c r="I475" s="0" t="inlineStr">
        <is>
          <t>,3],[5,</t>
        </is>
      </c>
      <c r="J475" s="0" t="n">
        <v>14</v>
      </c>
      <c r="K475" s="0" t="inlineStr">
        <is>
          <t>,4],[5,</t>
        </is>
      </c>
      <c r="L475" s="0" t="n">
        <v>14</v>
      </c>
      <c r="M475" s="0" t="inlineStr">
        <is>
          <t>,5],</t>
        </is>
      </c>
    </row>
    <row r="476">
      <c r="A476" s="151" t="inlineStr">
        <is>
          <t xml:space="preserve">[5,5,6],[5,5,7],[5,5,8],[5,6,9],[5,5,10], </t>
        </is>
      </c>
      <c r="B476" s="0">
        <f>CONCATENATE(C475,D475,E475,F475,G475,H475,I475,J475,K475,L475,M475,N475,O475,P475,Q475,R475,S475,T475,U475,V475,W475,X475,Y475,Z475,AA475,AB475,AC475,AD475,AE475,AF475,AG475,AH475,AI475,AJ475,AK475,AL475,AM475,AN475,AO475,AP475,AQ475,AR475,AS475,AT475,AU475,AV475,AW475,AX475,AY475,AZ475,BA475,BB475,BC475,BD475,BE475,BF475,BG475,BH475)</f>
        <v/>
      </c>
      <c r="C476" s="0" t="inlineStr">
        <is>
          <t>[5,</t>
        </is>
      </c>
      <c r="D476" s="0" t="n">
        <v>14</v>
      </c>
      <c r="E476" s="0" t="inlineStr">
        <is>
          <t>,6],[5,</t>
        </is>
      </c>
      <c r="F476" s="0" t="n">
        <v>14</v>
      </c>
      <c r="G476" s="0" t="inlineStr">
        <is>
          <t>,7],[5,</t>
        </is>
      </c>
      <c r="H476" s="0" t="n">
        <v>14</v>
      </c>
      <c r="I476" s="0" t="inlineStr">
        <is>
          <t>,8],[5,</t>
        </is>
      </c>
      <c r="J476" s="0" t="n">
        <v>14</v>
      </c>
      <c r="K476" s="0" t="inlineStr">
        <is>
          <t>,9],[5,</t>
        </is>
      </c>
      <c r="L476" s="0" t="n">
        <v>14</v>
      </c>
      <c r="M476" s="0" t="inlineStr">
        <is>
          <t>,10],</t>
        </is>
      </c>
    </row>
    <row r="477">
      <c r="A477" s="151" t="inlineStr">
        <is>
          <t xml:space="preserve">[5,5,11],[5,5,12],[5,0,13],[5,6,14],[5,5,15], </t>
        </is>
      </c>
      <c r="B477" s="0">
        <f>CONCATENATE(C476,D476,E476,F476,G476,H476,I476,J476,K476,L476,M476,N476,O476,P476,Q476,R476,S476,T476,U476,V476,W476,X476,Y476,Z476,AA476,AB476,AC476,AD476,AE476,AF476,AG476,AH476,AI476,AJ476,AK476,AL476,AM476,AN476,AO476,AP476,AQ476,AR476,AS476,AT476,AU476,AV476,AW476,AX476,AY476,AZ476,BA476,BB476,BC476,BD476,BE476,BF476,BG476,BH476)</f>
        <v/>
      </c>
      <c r="C477" s="0" t="inlineStr">
        <is>
          <t>[5,</t>
        </is>
      </c>
      <c r="D477" s="0" t="n">
        <v>14</v>
      </c>
      <c r="E477" s="0" t="inlineStr">
        <is>
          <t>,11],[5,</t>
        </is>
      </c>
      <c r="F477" s="0" t="n">
        <v>14</v>
      </c>
      <c r="G477" s="0" t="inlineStr">
        <is>
          <t>,12],[5,</t>
        </is>
      </c>
      <c r="H477" s="0" t="n">
        <v>0</v>
      </c>
      <c r="I477" s="0" t="inlineStr">
        <is>
          <t>,13],[5,</t>
        </is>
      </c>
      <c r="J477" s="0" t="n">
        <v>14</v>
      </c>
      <c r="K477" s="0" t="inlineStr">
        <is>
          <t>,14],[5,</t>
        </is>
      </c>
      <c r="L477" s="0" t="n">
        <v>14</v>
      </c>
      <c r="M477" s="0" t="inlineStr">
        <is>
          <t>,15],</t>
        </is>
      </c>
    </row>
    <row r="478">
      <c r="A478" s="151" t="inlineStr">
        <is>
          <t xml:space="preserve">[5,5,16],[5,5,17],[5,5,18],[5,6,19],[5,5,20], </t>
        </is>
      </c>
      <c r="B478" s="0">
        <f>CONCATENATE(C477,D477,E477,F477,G477,H477,I477,J477,K477,L477,M477,N477,O477,P477,Q477,R477,S477,T477,U477,V477,W477,X477,Y477,Z477,AA477,AB477,AC477,AD477,AE477,AF477,AG477,AH477,AI477,AJ477,AK477,AL477,AM477,AN477,AO477,AP477,AQ477,AR477,AS477,AT477,AU477,AV477,AW477,AX477,AY477,AZ477,BA477,BB477,BC477,BD477,BE477,BF477,BG477,BH477)</f>
        <v/>
      </c>
      <c r="C478" s="0" t="inlineStr">
        <is>
          <t>[5,</t>
        </is>
      </c>
      <c r="D478" s="0" t="n">
        <v>14</v>
      </c>
      <c r="E478" s="0" t="inlineStr">
        <is>
          <t>,16],[5,</t>
        </is>
      </c>
      <c r="F478" s="0" t="n">
        <v>14</v>
      </c>
      <c r="G478" s="0" t="inlineStr">
        <is>
          <t>,17],[5,</t>
        </is>
      </c>
      <c r="H478" s="0" t="n">
        <v>14</v>
      </c>
      <c r="I478" s="0" t="inlineStr">
        <is>
          <t>,18],[5,</t>
        </is>
      </c>
      <c r="J478" s="0" t="n">
        <v>14</v>
      </c>
      <c r="K478" s="0" t="inlineStr">
        <is>
          <t>,19],[5,</t>
        </is>
      </c>
      <c r="L478" s="0" t="n">
        <v>14</v>
      </c>
      <c r="M478" s="0" t="inlineStr">
        <is>
          <t>,20],</t>
        </is>
      </c>
    </row>
    <row r="479">
      <c r="A479" s="151" t="inlineStr">
        <is>
          <t xml:space="preserve">[5,5,21],[5,5,22],[5,5,23],[5,6,24],[5,5,25], </t>
        </is>
      </c>
      <c r="B479" s="0">
        <f>CONCATENATE(C478,D478,E478,F478,G478,H478,I478,J478,K478,L478,M478,N478,O478,P478,Q478,R478,S478,T478,U478,V478,W478,X478,Y478,Z478,AA478,AB478,AC478,AD478,AE478,AF478,AG478,AH478,AI478,AJ478,AK478,AL478,AM478,AN478,AO478,AP478,AQ478,AR478,AS478,AT478,AU478,AV478,AW478,AX478,AY478,AZ478,BA478,BB478,BC478,BD478,BE478,BF478,BG478,BH478)</f>
        <v/>
      </c>
      <c r="C479" s="0" t="inlineStr">
        <is>
          <t>[5,</t>
        </is>
      </c>
      <c r="D479" s="0" t="n">
        <v>14</v>
      </c>
      <c r="E479" s="0" t="inlineStr">
        <is>
          <t>,21],[5,</t>
        </is>
      </c>
      <c r="F479" s="0" t="n">
        <v>14</v>
      </c>
      <c r="G479" s="0" t="inlineStr">
        <is>
          <t>,22],[5,</t>
        </is>
      </c>
      <c r="H479" s="0" t="n">
        <v>14</v>
      </c>
      <c r="I479" s="0" t="inlineStr">
        <is>
          <t>,23],[5,</t>
        </is>
      </c>
      <c r="J479" s="0" t="n">
        <v>14</v>
      </c>
      <c r="K479" s="0" t="inlineStr">
        <is>
          <t>,24],[5,</t>
        </is>
      </c>
      <c r="L479" s="0" t="n">
        <v>14</v>
      </c>
      <c r="M479" s="0" t="inlineStr">
        <is>
          <t>,25],</t>
        </is>
      </c>
    </row>
    <row r="480">
      <c r="B480" s="0">
        <f>CONCATENATE(C479,D479,E479,F479,G479,H479,I479,J479,K479,L479,M479,N479,O479,P479,Q479,R479,S479,T479,U479,V479,W479,X479,Y479,Z479,AA479,AB479,AC479,AD479,AE479,AF479,AG479,AH479,AI479,AJ479,AK479,AL479,AM479,AN479,AO479,AP479,AQ479,AR479,AS479,AT479,AU479,AV479,AW479,AX479,AY479,AZ479,BA479,BB479,BC479,BD479,BE479,BF479,BG479,BH479)</f>
        <v/>
      </c>
    </row>
    <row r="481">
      <c r="A481" s="151" t="inlineStr">
        <is>
          <t xml:space="preserve">[6,5,1],[6,5,2],[6,5,3],[6,6,4],[6,5,5], </t>
        </is>
      </c>
      <c r="B481" s="0">
        <f>CONCATENATE(C480,D480,E480,F480,G480,H480,I480,J480,K480,L480,M480,N480,O480,P480,Q480,R480,S480,T480,U480,V480,W480,X480,Y480,Z480,AA480,AB480,AC480,AD480,AE480,AF480,AG480,AH480,AI480,AJ480,AK480,AL480,AM480,AN480,AO480,AP480,AQ480,AR480,AS480,AT480,AU480,AV480,AW480,AX480,AY480,AZ480,BA480,BB480,BC480,BD480,BE480,BF480,BG480,BH480)</f>
        <v/>
      </c>
      <c r="C481" s="0" t="inlineStr">
        <is>
          <t>[6,</t>
        </is>
      </c>
      <c r="D481" s="0" t="n">
        <v>413</v>
      </c>
      <c r="E481" s="0" t="inlineStr">
        <is>
          <t>,1],[6,</t>
        </is>
      </c>
      <c r="F481" s="0" t="n">
        <v>413</v>
      </c>
      <c r="G481" s="0" t="inlineStr">
        <is>
          <t>,2],[6,</t>
        </is>
      </c>
      <c r="H481" s="0" t="n">
        <v>413</v>
      </c>
      <c r="I481" s="0" t="inlineStr">
        <is>
          <t>,3],[6,</t>
        </is>
      </c>
      <c r="J481" s="0" t="n">
        <v>413</v>
      </c>
      <c r="K481" s="0" t="inlineStr">
        <is>
          <t>,4],[6,</t>
        </is>
      </c>
      <c r="L481" s="0" t="n">
        <v>413</v>
      </c>
      <c r="M481" s="0" t="inlineStr">
        <is>
          <t>,5],</t>
        </is>
      </c>
    </row>
    <row r="482">
      <c r="A482" s="151" t="inlineStr">
        <is>
          <t xml:space="preserve">[6,5,6],[6,5,7],[6,5,8],[6,6,9],[6,5,10], </t>
        </is>
      </c>
      <c r="B482" s="0">
        <f>CONCATENATE(C481,D481,E481,F481,G481,H481,I481,J481,K481,L481,M481,N481,O481,P481,Q481,R481,S481,T481,U481,V481,W481,X481,Y481,Z481,AA481,AB481,AC481,AD481,AE481,AF481,AG481,AH481,AI481,AJ481,AK481,AL481,AM481,AN481,AO481,AP481,AQ481,AR481,AS481,AT481,AU481,AV481,AW481,AX481,AY481,AZ481,BA481,BB481,BC481,BD481,BE481,BF481,BG481,BH481)</f>
        <v/>
      </c>
      <c r="C482" s="0" t="inlineStr">
        <is>
          <t>[6,</t>
        </is>
      </c>
      <c r="D482" s="0" t="n">
        <v>413</v>
      </c>
      <c r="E482" s="0" t="inlineStr">
        <is>
          <t>,6],[6,</t>
        </is>
      </c>
      <c r="F482" s="0" t="n">
        <v>413</v>
      </c>
      <c r="G482" s="0" t="inlineStr">
        <is>
          <t>,7],[6,</t>
        </is>
      </c>
      <c r="H482" s="0" t="n">
        <v>413</v>
      </c>
      <c r="I482" s="0" t="inlineStr">
        <is>
          <t>,8],[6,</t>
        </is>
      </c>
      <c r="J482" s="0" t="n">
        <v>413</v>
      </c>
      <c r="K482" s="0" t="inlineStr">
        <is>
          <t>,9],[6,</t>
        </is>
      </c>
      <c r="L482" s="0" t="n">
        <v>413</v>
      </c>
      <c r="M482" s="0" t="inlineStr">
        <is>
          <t>,10],</t>
        </is>
      </c>
    </row>
    <row r="483">
      <c r="A483" s="151" t="inlineStr">
        <is>
          <t xml:space="preserve">[6,5,11],[6,5,12],[6,0,13],[6,6,14],[6,5,15], </t>
        </is>
      </c>
      <c r="B483" s="0">
        <f>CONCATENATE(C482,D482,E482,F482,G482,H482,I482,J482,K482,L482,M482,N482,O482,P482,Q482,R482,S482,T482,U482,V482,W482,X482,Y482,Z482,AA482,AB482,AC482,AD482,AE482,AF482,AG482,AH482,AI482,AJ482,AK482,AL482,AM482,AN482,AO482,AP482,AQ482,AR482,AS482,AT482,AU482,AV482,AW482,AX482,AY482,AZ482,BA482,BB482,BC482,BD482,BE482,BF482,BG482,BH482)</f>
        <v/>
      </c>
      <c r="C483" s="0" t="inlineStr">
        <is>
          <t>[6,</t>
        </is>
      </c>
      <c r="D483" s="0" t="n">
        <v>413</v>
      </c>
      <c r="E483" s="0" t="inlineStr">
        <is>
          <t>,11],[6,</t>
        </is>
      </c>
      <c r="F483" s="0" t="n">
        <v>413</v>
      </c>
      <c r="G483" s="0" t="inlineStr">
        <is>
          <t>,12],[6,</t>
        </is>
      </c>
      <c r="H483" s="0" t="n">
        <v>0</v>
      </c>
      <c r="I483" s="0" t="inlineStr">
        <is>
          <t>,13],[6,</t>
        </is>
      </c>
      <c r="J483" s="0" t="n">
        <v>413</v>
      </c>
      <c r="K483" s="0" t="inlineStr">
        <is>
          <t>,14],[6,</t>
        </is>
      </c>
      <c r="L483" s="0" t="n">
        <v>413</v>
      </c>
      <c r="M483" s="0" t="inlineStr">
        <is>
          <t>,15],</t>
        </is>
      </c>
    </row>
    <row r="484">
      <c r="A484" s="151" t="inlineStr">
        <is>
          <t xml:space="preserve">[6,5,16],[6,5,17],[6,5,18],[6,6,19],[6,5,20], </t>
        </is>
      </c>
      <c r="B484" s="0">
        <f>CONCATENATE(C483,D483,E483,F483,G483,H483,I483,J483,K483,L483,M483,N483,O483,P483,Q483,R483,S483,T483,U483,V483,W483,X483,Y483,Z483,AA483,AB483,AC483,AD483,AE483,AF483,AG483,AH483,AI483,AJ483,AK483,AL483,AM483,AN483,AO483,AP483,AQ483,AR483,AS483,AT483,AU483,AV483,AW483,AX483,AY483,AZ483,BA483,BB483,BC483,BD483,BE483,BF483,BG483,BH483)</f>
        <v/>
      </c>
      <c r="C484" s="0" t="inlineStr">
        <is>
          <t>[6,</t>
        </is>
      </c>
      <c r="D484" s="0" t="n">
        <v>413</v>
      </c>
      <c r="E484" s="0" t="inlineStr">
        <is>
          <t>,16],[6,</t>
        </is>
      </c>
      <c r="F484" s="0" t="n">
        <v>413</v>
      </c>
      <c r="G484" s="0" t="inlineStr">
        <is>
          <t>,17],[6,</t>
        </is>
      </c>
      <c r="H484" s="0" t="n">
        <v>413</v>
      </c>
      <c r="I484" s="0" t="inlineStr">
        <is>
          <t>,18],[6,</t>
        </is>
      </c>
      <c r="J484" s="0" t="n">
        <v>413</v>
      </c>
      <c r="K484" s="0" t="inlineStr">
        <is>
          <t>,19],[6,</t>
        </is>
      </c>
      <c r="L484" s="0" t="n">
        <v>413</v>
      </c>
      <c r="M484" s="0" t="inlineStr">
        <is>
          <t>,20],</t>
        </is>
      </c>
    </row>
    <row r="485">
      <c r="A485" s="151" t="inlineStr">
        <is>
          <t xml:space="preserve">[6,5,21],[6,5,22],[6,5,23],[6,6,24],[6,5,25], </t>
        </is>
      </c>
      <c r="B485" s="0">
        <f>CONCATENATE(C484,D484,E484,F484,G484,H484,I484,J484,K484,L484,M484,N484,O484,P484,Q484,R484,S484,T484,U484,V484,W484,X484,Y484,Z484,AA484,AB484,AC484,AD484,AE484,AF484,AG484,AH484,AI484,AJ484,AK484,AL484,AM484,AN484,AO484,AP484,AQ484,AR484,AS484,AT484,AU484,AV484,AW484,AX484,AY484,AZ484,BA484,BB484,BC484,BD484,BE484,BF484,BG484,BH484)</f>
        <v/>
      </c>
      <c r="C485" s="0" t="inlineStr">
        <is>
          <t>[6,</t>
        </is>
      </c>
      <c r="D485" s="0" t="n">
        <v>413</v>
      </c>
      <c r="E485" s="0" t="inlineStr">
        <is>
          <t>,21],[6,</t>
        </is>
      </c>
      <c r="F485" s="0" t="n">
        <v>413</v>
      </c>
      <c r="G485" s="0" t="inlineStr">
        <is>
          <t>,22],[6,</t>
        </is>
      </c>
      <c r="H485" s="0" t="n">
        <v>413</v>
      </c>
      <c r="I485" s="0" t="inlineStr">
        <is>
          <t>,23],[6,</t>
        </is>
      </c>
      <c r="J485" s="0" t="n">
        <v>413</v>
      </c>
      <c r="K485" s="0" t="inlineStr">
        <is>
          <t>,24],[6,</t>
        </is>
      </c>
      <c r="L485" s="0" t="n">
        <v>413</v>
      </c>
      <c r="M485" s="0" t="inlineStr">
        <is>
          <t>,25],</t>
        </is>
      </c>
    </row>
    <row r="486">
      <c r="B486" s="0">
        <f>CONCATENATE(C485,D485,E485,F485,G485,H485,I485,J485,K485,L485,M485,N485,O485,P485,Q485,R485,S485,T485,U485,V485,W485,X485,Y485,Z485,AA485,AB485,AC485,AD485,AE485,AF485,AG485,AH485,AI485,AJ485,AK485,AL485,AM485,AN485,AO485,AP485,AQ485,AR485,AS485,AT485,AU485,AV485,AW485,AX485,AY485,AZ485,BA485,BB485,BC485,BD485,BE485,BF485,BG485,BH485)</f>
        <v/>
      </c>
    </row>
    <row r="487">
      <c r="A487" s="151" t="inlineStr">
        <is>
          <t xml:space="preserve">[7,5,1],[7,5,2],[7,5,3],[7,6,4],[7,5,5], </t>
        </is>
      </c>
      <c r="B487" s="0">
        <f>CONCATENATE(C486,D486,E486,F486,G486,H486,I486,J486,K486,L486,M486,N486,O486,P486,Q486,R486,S486,T486,U486,V486,W486,X486,Y486,Z486,AA486,AB486,AC486,AD486,AE486,AF486,AG486,AH486,AI486,AJ486,AK486,AL486,AM486,AN486,AO486,AP486,AQ486,AR486,AS486,AT486,AU486,AV486,AW486,AX486,AY486,AZ486,BA486,BB486,BC486,BD486,BE486,BF486,BG486,BH486)</f>
        <v/>
      </c>
      <c r="C487" s="0" t="inlineStr">
        <is>
          <t>[7,</t>
        </is>
      </c>
      <c r="D487" s="0" t="n">
        <v>361</v>
      </c>
      <c r="E487" s="0" t="inlineStr">
        <is>
          <t>,1],[7,</t>
        </is>
      </c>
      <c r="F487" s="0" t="n">
        <v>361</v>
      </c>
      <c r="G487" s="0" t="inlineStr">
        <is>
          <t>,2],[7,</t>
        </is>
      </c>
      <c r="H487" s="0" t="n">
        <v>361</v>
      </c>
      <c r="I487" s="0" t="inlineStr">
        <is>
          <t>,3],[7,</t>
        </is>
      </c>
      <c r="J487" s="0" t="n">
        <v>361</v>
      </c>
      <c r="K487" s="0" t="inlineStr">
        <is>
          <t>,4],[7,</t>
        </is>
      </c>
      <c r="L487" s="0" t="n">
        <v>361</v>
      </c>
      <c r="M487" s="0" t="inlineStr">
        <is>
          <t>,5],</t>
        </is>
      </c>
    </row>
    <row r="488">
      <c r="A488" s="151" t="inlineStr">
        <is>
          <t xml:space="preserve">[7,5,6],[7,5,7],[7,5,8],[7,6,9],[7,5,10], </t>
        </is>
      </c>
      <c r="B488" s="0">
        <f>CONCATENATE(C487,D487,E487,F487,G487,H487,I487,J487,K487,L487,M487,N487,O487,P487,Q487,R487,S487,T487,U487,V487,W487,X487,Y487,Z487,AA487,AB487,AC487,AD487,AE487,AF487,AG487,AH487,AI487,AJ487,AK487,AL487,AM487,AN487,AO487,AP487,AQ487,AR487,AS487,AT487,AU487,AV487,AW487,AX487,AY487,AZ487,BA487,BB487,BC487,BD487,BE487,BF487,BG487,BH487)</f>
        <v/>
      </c>
      <c r="C488" s="0" t="inlineStr">
        <is>
          <t>[7,</t>
        </is>
      </c>
      <c r="D488" s="0" t="n">
        <v>361</v>
      </c>
      <c r="E488" s="0" t="inlineStr">
        <is>
          <t>,6],[7,</t>
        </is>
      </c>
      <c r="F488" s="0" t="n">
        <v>361</v>
      </c>
      <c r="G488" s="0" t="inlineStr">
        <is>
          <t>,7],[7,</t>
        </is>
      </c>
      <c r="H488" s="0" t="n">
        <v>361</v>
      </c>
      <c r="I488" s="0" t="inlineStr">
        <is>
          <t>,8],[7,</t>
        </is>
      </c>
      <c r="J488" s="0" t="n">
        <v>361</v>
      </c>
      <c r="K488" s="0" t="inlineStr">
        <is>
          <t>,9],[7,</t>
        </is>
      </c>
      <c r="L488" s="0" t="n">
        <v>361</v>
      </c>
      <c r="M488" s="0" t="inlineStr">
        <is>
          <t>,10],</t>
        </is>
      </c>
    </row>
    <row r="489">
      <c r="A489" s="151" t="inlineStr">
        <is>
          <t xml:space="preserve">[7,5,11],[7,5,12],[7,0,13],[7,6,14],[7,5,15], </t>
        </is>
      </c>
      <c r="B489" s="0">
        <f>CONCATENATE(C488,D488,E488,F488,G488,H488,I488,J488,K488,L488,M488,N488,O488,P488,Q488,R488,S488,T488,U488,V488,W488,X488,Y488,Z488,AA488,AB488,AC488,AD488,AE488,AF488,AG488,AH488,AI488,AJ488,AK488,AL488,AM488,AN488,AO488,AP488,AQ488,AR488,AS488,AT488,AU488,AV488,AW488,AX488,AY488,AZ488,BA488,BB488,BC488,BD488,BE488,BF488,BG488,BH488)</f>
        <v/>
      </c>
      <c r="C489" s="0" t="inlineStr">
        <is>
          <t>[7,</t>
        </is>
      </c>
      <c r="D489" s="0" t="n">
        <v>361</v>
      </c>
      <c r="E489" s="0" t="inlineStr">
        <is>
          <t>,11],[7,</t>
        </is>
      </c>
      <c r="F489" s="0" t="n">
        <v>361</v>
      </c>
      <c r="G489" s="0" t="inlineStr">
        <is>
          <t>,12],[7,</t>
        </is>
      </c>
      <c r="H489" s="0" t="n">
        <v>0</v>
      </c>
      <c r="I489" s="0" t="inlineStr">
        <is>
          <t>,13],[7,</t>
        </is>
      </c>
      <c r="J489" s="0" t="n">
        <v>361</v>
      </c>
      <c r="K489" s="0" t="inlineStr">
        <is>
          <t>,14],[7,</t>
        </is>
      </c>
      <c r="L489" s="0" t="n">
        <v>361</v>
      </c>
      <c r="M489" s="0" t="inlineStr">
        <is>
          <t>,15],</t>
        </is>
      </c>
    </row>
    <row r="490">
      <c r="A490" s="151" t="inlineStr">
        <is>
          <t xml:space="preserve">[7,5,16],[7,5,17],[7,5,18],[7,6,19],[7,5,20], </t>
        </is>
      </c>
      <c r="B490" s="0">
        <f>CONCATENATE(C489,D489,E489,F489,G489,H489,I489,J489,K489,L489,M489,N489,O489,P489,Q489,R489,S489,T489,U489,V489,W489,X489,Y489,Z489,AA489,AB489,AC489,AD489,AE489,AF489,AG489,AH489,AI489,AJ489,AK489,AL489,AM489,AN489,AO489,AP489,AQ489,AR489,AS489,AT489,AU489,AV489,AW489,AX489,AY489,AZ489,BA489,BB489,BC489,BD489,BE489,BF489,BG489,BH489)</f>
        <v/>
      </c>
      <c r="C490" s="0" t="inlineStr">
        <is>
          <t>[7,</t>
        </is>
      </c>
      <c r="D490" s="0" t="n">
        <v>361</v>
      </c>
      <c r="E490" s="0" t="inlineStr">
        <is>
          <t>,16],[7,</t>
        </is>
      </c>
      <c r="F490" s="0" t="n">
        <v>361</v>
      </c>
      <c r="G490" s="0" t="inlineStr">
        <is>
          <t>,17],[7,</t>
        </is>
      </c>
      <c r="H490" s="0" t="n">
        <v>361</v>
      </c>
      <c r="I490" s="0" t="inlineStr">
        <is>
          <t>,18],[7,</t>
        </is>
      </c>
      <c r="J490" s="0" t="n">
        <v>361</v>
      </c>
      <c r="K490" s="0" t="inlineStr">
        <is>
          <t>,19],[7,</t>
        </is>
      </c>
      <c r="L490" s="0" t="n">
        <v>361</v>
      </c>
      <c r="M490" s="0" t="inlineStr">
        <is>
          <t>,20],</t>
        </is>
      </c>
    </row>
    <row r="491">
      <c r="A491" s="151" t="inlineStr">
        <is>
          <t xml:space="preserve">[7,5,21],[7,5,22],[7,5,23],[7,6,24],[7,5,25], </t>
        </is>
      </c>
      <c r="B491" s="0">
        <f>CONCATENATE(C490,D490,E490,F490,G490,H490,I490,J490,K490,L490,M490,N490,O490,P490,Q490,R490,S490,T490,U490,V490,W490,X490,Y490,Z490,AA490,AB490,AC490,AD490,AE490,AF490,AG490,AH490,AI490,AJ490,AK490,AL490,AM490,AN490,AO490,AP490,AQ490,AR490,AS490,AT490,AU490,AV490,AW490,AX490,AY490,AZ490,BA490,BB490,BC490,BD490,BE490,BF490,BG490,BH490)</f>
        <v/>
      </c>
      <c r="C491" s="0" t="inlineStr">
        <is>
          <t>[7,</t>
        </is>
      </c>
      <c r="D491" s="0" t="n">
        <v>361</v>
      </c>
      <c r="E491" s="0" t="inlineStr">
        <is>
          <t>,21],[7,</t>
        </is>
      </c>
      <c r="F491" s="0" t="n">
        <v>361</v>
      </c>
      <c r="G491" s="0" t="inlineStr">
        <is>
          <t>,22],[7,</t>
        </is>
      </c>
      <c r="H491" s="0" t="n">
        <v>361</v>
      </c>
      <c r="I491" s="0" t="inlineStr">
        <is>
          <t>,23],[7,</t>
        </is>
      </c>
      <c r="J491" s="0" t="n">
        <v>361</v>
      </c>
      <c r="K491" s="0" t="inlineStr">
        <is>
          <t>,24],[7,</t>
        </is>
      </c>
      <c r="L491" s="0" t="n">
        <v>361</v>
      </c>
      <c r="M491" s="0" t="inlineStr">
        <is>
          <t>,25],</t>
        </is>
      </c>
    </row>
    <row r="492">
      <c r="B492" s="0">
        <f>CONCATENATE(C491,D491,E491,F491,G491,H491,I491,J491,K491,L491,M491,N491,O491,P491,Q491,R491,S491,T491,U491,V491,W491,X491,Y491,Z491,AA491,AB491,AC491,AD491,AE491,AF491,AG491,AH491,AI491,AJ491,AK491,AL491,AM491,AN491,AO491,AP491,AQ491,AR491,AS491,AT491,AU491,AV491,AW491,AX491,AY491,AZ491,BA491,BB491,BC491,BD491,BE491,BF491,BG491,BH491)</f>
        <v/>
      </c>
    </row>
    <row r="493">
      <c r="A493" s="151" t="inlineStr">
        <is>
          <t xml:space="preserve">[8,5,1],[8,5,2],[8,5,3],[8,6,4],[8,5,5], </t>
        </is>
      </c>
      <c r="B493" s="0">
        <f>CONCATENATE(C492,D492,E492,F492,G492,H492,I492,J492,K492,L492,M492,N492,O492,P492,Q492,R492,S492,T492,U492,V492,W492,X492,Y492,Z492,AA492,AB492,AC492,AD492,AE492,AF492,AG492,AH492,AI492,AJ492,AK492,AL492,AM492,AN492,AO492,AP492,AQ492,AR492,AS492,AT492,AU492,AV492,AW492,AX492,AY492,AZ492,BA492,BB492,BC492,BD492,BE492,BF492,BG492,BH492)</f>
        <v/>
      </c>
      <c r="C493" s="0" t="inlineStr">
        <is>
          <t>[8,</t>
        </is>
      </c>
      <c r="D493" s="0" t="n">
        <v>289</v>
      </c>
      <c r="E493" s="0" t="inlineStr">
        <is>
          <t>,1],[8,</t>
        </is>
      </c>
      <c r="F493" s="0" t="n">
        <v>289</v>
      </c>
      <c r="G493" s="0" t="inlineStr">
        <is>
          <t>,2],[8,</t>
        </is>
      </c>
      <c r="H493" s="0" t="n">
        <v>289</v>
      </c>
      <c r="I493" s="0" t="inlineStr">
        <is>
          <t>,3],[8,</t>
        </is>
      </c>
      <c r="J493" s="0" t="n">
        <v>289</v>
      </c>
      <c r="K493" s="0" t="inlineStr">
        <is>
          <t>,4],[8,</t>
        </is>
      </c>
      <c r="L493" s="0" t="n">
        <v>289</v>
      </c>
      <c r="M493" s="0" t="inlineStr">
        <is>
          <t>,5],</t>
        </is>
      </c>
    </row>
    <row r="494">
      <c r="A494" s="151" t="inlineStr">
        <is>
          <t xml:space="preserve">[8,5,6],[8,5,7],[8,5,8],[8,6,9],[8,5,10], </t>
        </is>
      </c>
      <c r="B494" s="0">
        <f>CONCATENATE(C493,D493,E493,F493,G493,H493,I493,J493,K493,L493,M493,N493,O493,P493,Q493,R493,S493,T493,U493,V493,W493,X493,Y493,Z493,AA493,AB493,AC493,AD493,AE493,AF493,AG493,AH493,AI493,AJ493,AK493,AL493,AM493,AN493,AO493,AP493,AQ493,AR493,AS493,AT493,AU493,AV493,AW493,AX493,AY493,AZ493,BA493,BB493,BC493,BD493,BE493,BF493,BG493,BH493)</f>
        <v/>
      </c>
      <c r="C494" s="0" t="inlineStr">
        <is>
          <t>[8,</t>
        </is>
      </c>
      <c r="D494" s="0" t="n">
        <v>289</v>
      </c>
      <c r="E494" s="0" t="inlineStr">
        <is>
          <t>,6],[8,</t>
        </is>
      </c>
      <c r="F494" s="0" t="n">
        <v>289</v>
      </c>
      <c r="G494" s="0" t="inlineStr">
        <is>
          <t>,7],[8,</t>
        </is>
      </c>
      <c r="H494" s="0" t="n">
        <v>289</v>
      </c>
      <c r="I494" s="0" t="inlineStr">
        <is>
          <t>,8],[8,</t>
        </is>
      </c>
      <c r="J494" s="0" t="n">
        <v>289</v>
      </c>
      <c r="K494" s="0" t="inlineStr">
        <is>
          <t>,9],[8,</t>
        </is>
      </c>
      <c r="L494" s="0" t="n">
        <v>289</v>
      </c>
      <c r="M494" s="0" t="inlineStr">
        <is>
          <t>,10],</t>
        </is>
      </c>
    </row>
    <row r="495">
      <c r="A495" s="151" t="inlineStr">
        <is>
          <t xml:space="preserve">[8,5,11],[8,5,12],[8,0,13],[8,6,14],[8,5,15], </t>
        </is>
      </c>
      <c r="B495" s="0">
        <f>CONCATENATE(C494,D494,E494,F494,G494,H494,I494,J494,K494,L494,M494,N494,O494,P494,Q494,R494,S494,T494,U494,V494,W494,X494,Y494,Z494,AA494,AB494,AC494,AD494,AE494,AF494,AG494,AH494,AI494,AJ494,AK494,AL494,AM494,AN494,AO494,AP494,AQ494,AR494,AS494,AT494,AU494,AV494,AW494,AX494,AY494,AZ494,BA494,BB494,BC494,BD494,BE494,BF494,BG494,BH494)</f>
        <v/>
      </c>
      <c r="C495" s="0" t="inlineStr">
        <is>
          <t>[8,</t>
        </is>
      </c>
      <c r="D495" s="0" t="n">
        <v>289</v>
      </c>
      <c r="E495" s="0" t="inlineStr">
        <is>
          <t>,11],[8,</t>
        </is>
      </c>
      <c r="F495" s="0" t="n">
        <v>289</v>
      </c>
      <c r="G495" s="0" t="inlineStr">
        <is>
          <t>,12],[8,</t>
        </is>
      </c>
      <c r="H495" s="0" t="n">
        <v>0</v>
      </c>
      <c r="I495" s="0" t="inlineStr">
        <is>
          <t>,13],[8,</t>
        </is>
      </c>
      <c r="J495" s="0" t="n">
        <v>289</v>
      </c>
      <c r="K495" s="0" t="inlineStr">
        <is>
          <t>,14],[8,</t>
        </is>
      </c>
      <c r="L495" s="0" t="n">
        <v>289</v>
      </c>
      <c r="M495" s="0" t="inlineStr">
        <is>
          <t>,15],</t>
        </is>
      </c>
    </row>
    <row r="496">
      <c r="A496" s="151" t="inlineStr">
        <is>
          <t xml:space="preserve">[8,5,16],[8,5,17],[8,5,18],[8,6,19],[8,5,20], </t>
        </is>
      </c>
      <c r="B496" s="0">
        <f>CONCATENATE(C495,D495,E495,F495,G495,H495,I495,J495,K495,L495,M495,N495,O495,P495,Q495,R495,S495,T495,U495,V495,W495,X495,Y495,Z495,AA495,AB495,AC495,AD495,AE495,AF495,AG495,AH495,AI495,AJ495,AK495,AL495,AM495,AN495,AO495,AP495,AQ495,AR495,AS495,AT495,AU495,AV495,AW495,AX495,AY495,AZ495,BA495,BB495,BC495,BD495,BE495,BF495,BG495,BH495)</f>
        <v/>
      </c>
      <c r="C496" s="0" t="inlineStr">
        <is>
          <t>[8,</t>
        </is>
      </c>
      <c r="D496" s="0" t="n">
        <v>289</v>
      </c>
      <c r="E496" s="0" t="inlineStr">
        <is>
          <t>,16],[8,</t>
        </is>
      </c>
      <c r="F496" s="0" t="n">
        <v>289</v>
      </c>
      <c r="G496" s="0" t="inlineStr">
        <is>
          <t>,17],[8,</t>
        </is>
      </c>
      <c r="H496" s="0" t="n">
        <v>289</v>
      </c>
      <c r="I496" s="0" t="inlineStr">
        <is>
          <t>,18],[8,</t>
        </is>
      </c>
      <c r="J496" s="0" t="n">
        <v>289</v>
      </c>
      <c r="K496" s="0" t="inlineStr">
        <is>
          <t>,19],[8,</t>
        </is>
      </c>
      <c r="L496" s="0" t="n">
        <v>289</v>
      </c>
      <c r="M496" s="0" t="inlineStr">
        <is>
          <t>,20],</t>
        </is>
      </c>
    </row>
    <row r="497">
      <c r="A497" s="151" t="inlineStr">
        <is>
          <t xml:space="preserve">[8,5,21],[8,5,22],[8,5,23],[8,6,24],[8,5,25] </t>
        </is>
      </c>
      <c r="B497" s="0">
        <f>CONCATENATE(C496,D496,E496,F496,G496,H496,I496,J496,K496,L496,M496,N496,O496,P496,Q496,R496,S496,T496,U496,V496,W496,X496,Y496,Z496,AA496,AB496,AC496,AD496,AE496,AF496,AG496,AH496,AI496,AJ496,AK496,AL496,AM496,AN496,AO496,AP496,AQ496,AR496,AS496,AT496,AU496,AV496,AW496,AX496,AY496,AZ496,BA496,BB496,BC496,BD496,BE496,BF496,BG496,BH496)</f>
        <v/>
      </c>
      <c r="C497" s="0" t="inlineStr">
        <is>
          <t>[8,</t>
        </is>
      </c>
      <c r="D497" s="0" t="n">
        <v>289</v>
      </c>
      <c r="E497" s="0" t="inlineStr">
        <is>
          <t>,21],[8,</t>
        </is>
      </c>
      <c r="F497" s="0" t="n">
        <v>289</v>
      </c>
      <c r="G497" s="0" t="inlineStr">
        <is>
          <t>,22],[8,</t>
        </is>
      </c>
      <c r="H497" s="0" t="n">
        <v>289</v>
      </c>
      <c r="I497" s="0" t="inlineStr">
        <is>
          <t>,23],[8,</t>
        </is>
      </c>
      <c r="J497" s="0" t="n">
        <v>289</v>
      </c>
      <c r="K497" s="0" t="inlineStr">
        <is>
          <t>,24],[8,</t>
        </is>
      </c>
      <c r="L497" s="0" t="n">
        <v>289</v>
      </c>
      <c r="M497" s="0" t="inlineStr">
        <is>
          <t>,25],</t>
        </is>
      </c>
    </row>
    <row r="498">
      <c r="A498" s="151" t="inlineStr">
        <is>
          <t xml:space="preserve">] </t>
        </is>
      </c>
      <c r="B498" s="0">
        <f>CONCATENATE(C497,D497,E497,F497,G497,H497,I497,J497,K497,L497,M497,N497,O497,P497,Q497,R497,S497,T497,U497,V497,W497,X497,Y497,Z497,AA497,AB497,AC497,AD497,AE497,AF497,AG497,AH497,AI497,AJ497,AK497,AL497,AM497,AN497,AO497,AP497,AQ497,AR497,AS497,AT497,AU497,AV497,AW497,AX497,AY497,AZ497,BA497,BB497,BC497,BD497,BE497,BF497,BG497,BH497)</f>
        <v/>
      </c>
      <c r="C498" s="0" t="inlineStr">
        <is>
          <t>]</t>
        </is>
      </c>
    </row>
    <row r="499">
      <c r="A499" s="151" t="inlineStr">
        <is>
          <t xml:space="preserve">]; </t>
        </is>
      </c>
      <c r="B499" s="0">
        <f>CONCATENATE(C498,D498,E498,F498,G498,H498,I498,J498,K498,L498,M498,N498,O498,P498,Q498,R498,S498,T498,U498,V498,W498,X498,Y498,Z498,AA498,AB498,AC498,AD498,AE498,AF498,AG498,AH498,AI498,AJ498,AK498,AL498,AM498,AN498,AO498,AP498,AQ498,AR498,AS498,AT498,AU498,AV498,AW498,AX498,AY498,AZ498,BA498,BB498,BC498,BD498,BE498,BF498,BG498,BH498)</f>
        <v/>
      </c>
      <c r="C499" s="0" t="inlineStr">
        <is>
          <t>];</t>
        </is>
      </c>
    </row>
    <row r="500">
      <c r="B500" s="0">
        <f>CONCATENATE(C499,D499,E499,F499,G499,H499,I499,J499,K499,L499,M499,N499,O499,P499,Q499,R499,S499,T499,U499,V499,W499,X499,Y499,Z499,AA499,AB499,AC499,AD499,AE499,AF499,AG499,AH499,AI499,AJ499,AK499,AL499,AM499,AN499,AO499,AP499,AQ499,AR499,AS499,AT499,AU499,AV499,AW499,AX499,AY499,AZ499,BA499,BB499,BC499,BD499,BE499,BF499,BG499,BH499)</f>
        <v/>
      </c>
    </row>
    <row r="501">
      <c r="A501" s="151" t="inlineStr">
        <is>
          <t xml:space="preserve"># Bingo Coin Amount Probability Table 1:gem,2:grand,3:mega,4:major,5:minor,6:mini,7:coin1,8:coin2,9:coin3 </t>
        </is>
      </c>
      <c r="B501" s="0">
        <f>CONCATENATE(C500,D500,E500,F500,G500,H500,I500,J500,K500,L500,M500,N500,O500,P500,Q500,R500,S500,T500,U500,V500,W500,X500,Y500,Z500,AA500,AB500,AC500,AD500,AE500,AF500,AG500,AH500,AI500,AJ500,AK500,AL500,AM500,AN500,AO500,AP500,AQ500,AR500,AS500,AT500,AU500,AV500,AW500,AX500,AY500,AZ500,BA500,BB500,BC500,BD500,BE500,BF500,BG500,BH500)</f>
        <v/>
      </c>
      <c r="C501" s="0" t="inlineStr">
        <is>
          <t xml:space="preserve"># Bingo Coin Amount Probability Table 1:gem,2:grand,3:mega,4:major,5:minor,6:mini,7:coin1,8:coin2,9:coin3 </t>
        </is>
      </c>
    </row>
    <row r="502">
      <c r="A502" s="151" t="inlineStr">
        <is>
          <t xml:space="preserve">var eventBingoTypeTable = [ </t>
        </is>
      </c>
      <c r="B502" s="0">
        <f>CONCATENATE(C501,D501,E501,F501,G501,H501,I501,J501,K501,L501,M501,N501,O501,P501,Q501,R501,S501,T501,U501,V501,W501,X501,Y501,Z501,AA501,AB501,AC501,AD501,AE501,AF501,AG501,AH501,AI501,AJ501,AK501,AL501,AM501,AN501,AO501,AP501,AQ501,AR501,AS501,AT501,AU501,AV501,AW501,AX501,AY501,AZ501,BA501,BB501,BC501,BD501,BE501,BF501,BG501,BH501)</f>
        <v/>
      </c>
      <c r="C502" s="0" t="inlineStr">
        <is>
          <t xml:space="preserve">var eventBingoTypeTable = [ </t>
        </is>
      </c>
    </row>
    <row r="503">
      <c r="A503" s="151" t="inlineStr">
        <is>
          <t xml:space="preserve">[2,  10],[3,  10],[4,  10],[5,  10],[6,  10],[7,  20],[8,  20],[9,  10] </t>
        </is>
      </c>
      <c r="B503" s="0">
        <f>CONCATENATE(C502,D502,E502,F502,G502,H502,I502,J502,K502,L502,M502,N502,O502,P502,Q502,R502,S502,T502,U502,V502,W502,X502,Y502,Z502,AA502,AB502,AC502,AD502,AE502,AF502,AG502,AH502,AI502,AJ502,AK502,AL502,AM502,AN502,AO502,AP502,AQ502,AR502,AS502,AT502,AU502,AV502,AW502,AX502,AY502,AZ502,BA502,BB502,BC502,BD502,BE502,BF502,BG502,BH502)</f>
        <v/>
      </c>
      <c r="C503" s="0" t="inlineStr">
        <is>
          <t xml:space="preserve">[2, </t>
        </is>
      </c>
      <c r="D503" s="2">
        <f>'Control Panel'!M4</f>
        <v/>
      </c>
      <c r="E503" s="0" t="inlineStr">
        <is>
          <t>],</t>
        </is>
      </c>
      <c r="F503" s="0" t="inlineStr">
        <is>
          <t>[3,</t>
        </is>
      </c>
      <c r="G503" s="2">
        <f>'Control Panel'!N4</f>
        <v/>
      </c>
      <c r="H503" s="0" t="inlineStr">
        <is>
          <t>],</t>
        </is>
      </c>
      <c r="I503" s="0" t="inlineStr">
        <is>
          <t xml:space="preserve">[4, </t>
        </is>
      </c>
      <c r="J503" s="2">
        <f>'Control Panel'!O4</f>
        <v/>
      </c>
      <c r="K503" s="0" t="inlineStr">
        <is>
          <t>],</t>
        </is>
      </c>
      <c r="L503" s="0" t="inlineStr">
        <is>
          <t>[5,</t>
        </is>
      </c>
      <c r="M503" s="2">
        <f>'Control Panel'!P4</f>
        <v/>
      </c>
      <c r="N503" s="0" t="inlineStr">
        <is>
          <t>],</t>
        </is>
      </c>
      <c r="O503" s="0" t="inlineStr">
        <is>
          <t xml:space="preserve">[6, </t>
        </is>
      </c>
      <c r="P503" s="2">
        <f>'Control Panel'!Q4</f>
        <v/>
      </c>
      <c r="Q503" s="0" t="inlineStr">
        <is>
          <t>],</t>
        </is>
      </c>
      <c r="R503" s="0" t="inlineStr">
        <is>
          <t>[7,</t>
        </is>
      </c>
      <c r="S503" s="2">
        <f>'Control Panel'!R4</f>
        <v/>
      </c>
      <c r="T503" s="0" t="inlineStr">
        <is>
          <t>],</t>
        </is>
      </c>
      <c r="U503" s="0" t="inlineStr">
        <is>
          <t xml:space="preserve">[8, </t>
        </is>
      </c>
      <c r="V503" s="2">
        <f>'Control Panel'!S4</f>
        <v/>
      </c>
      <c r="W503" s="0" t="inlineStr">
        <is>
          <t>],</t>
        </is>
      </c>
      <c r="X503" s="0" t="inlineStr">
        <is>
          <t>[9,</t>
        </is>
      </c>
      <c r="Y503" s="2">
        <f>'Control Panel'!T4</f>
        <v/>
      </c>
      <c r="Z503" s="0" t="inlineStr">
        <is>
          <t>]</t>
        </is>
      </c>
    </row>
    <row r="504">
      <c r="A504" s="151" t="inlineStr">
        <is>
          <t xml:space="preserve">]; </t>
        </is>
      </c>
      <c r="B504" s="0">
        <f>CONCATENATE(C503,D503,E503,F503,G503,H503,I503,J503,K503,L503,M503,N503,O503,P503,Q503,R503,S503,T503,U503,V503,W503,X503,Y503,Z503,AA503,AB503,AC503,AD503,AE503,AF503,AG503,AH503,AI503,AJ503,AK503,AL503,AM503,AN503,AO503,AP503,AQ503,AR503,AS503,AT503,AU503,AV503,AW503,AX503,AY503,AZ503,BA503,BB503,BC503,BD503,BE503,BF503,BG503,BH503)</f>
        <v/>
      </c>
      <c r="C504" s="0" t="inlineStr">
        <is>
          <t xml:space="preserve">]; </t>
        </is>
      </c>
    </row>
    <row r="505">
      <c r="B505" s="0">
        <f>CONCATENATE(C504,D504,E504,F504,G504,H504,I504,J504,K504,L504,M504,N504,O504,P504,Q504,R504,S504,T504,U504,V504,W504,X504,Y504,Z504,AA504,AB504,AC504,AD504,AE504,AF504,AG504,AH504,AI504,AJ504,AK504,AL504,AM504,AN504,AO504,AP504,AQ504,AR504,AS504,AT504,AU504,AV504,AW504,AX504,AY504,AZ504,BA504,BB504,BC504,BD504,BE504,BF504,BG504,BH504)</f>
        <v/>
      </c>
    </row>
    <row r="506">
      <c r="A506" s="151" t="inlineStr">
        <is>
          <t xml:space="preserve">#Bet Range Range Category </t>
        </is>
      </c>
      <c r="B506" s="0">
        <f>CONCATENATE(C505,D505,E505,F505,G505,H505,I505,J505,K505,L505,M505,N505,O505,P505,Q505,R505,S505,T505,U505,V505,W505,X505,Y505,Z505,AA505,AB505,AC505,AD505,AE505,AF505,AG505,AH505,AI505,AJ505,AK505,AL505,AM505,AN505,AO505,AP505,AQ505,AR505,AS505,AT505,AU505,AV505,AW505,AX505,AY505,AZ505,BA505,BB505,BC505,BD505,BE505,BF505,BG505,BH505)</f>
        <v/>
      </c>
      <c r="C506" s="0" t="inlineStr">
        <is>
          <t xml:space="preserve">#Bet Range Range Category </t>
        </is>
      </c>
    </row>
    <row r="507">
      <c r="A507" s="151" t="inlineStr">
        <is>
          <t xml:space="preserve">var evnetBingoGradeTable = [ </t>
        </is>
      </c>
      <c r="B507" s="0">
        <f>CONCATENATE(C506,D506,E506,F506,G506,H506,I506,J506,K506,L506,M506,N506,O506,P506,Q506,R506,S506,T506,U506,V506,W506,X506,Y506,Z506,AA506,AB506,AC506,AD506,AE506,AF506,AG506,AH506,AI506,AJ506,AK506,AL506,AM506,AN506,AO506,AP506,AQ506,AR506,AS506,AT506,AU506,AV506,AW506,AX506,AY506,AZ506,BA506,BB506,BC506,BD506,BE506,BF506,BG506,BH506)</f>
        <v/>
      </c>
      <c r="C507" s="0" t="inlineStr">
        <is>
          <t xml:space="preserve">var evnetBingoGradeTable = [ </t>
        </is>
      </c>
    </row>
    <row r="508">
      <c r="A508" s="151" t="inlineStr">
        <is>
          <t xml:space="preserve">[0,0,0,0,0,0,0], </t>
        </is>
      </c>
      <c r="B508" s="0">
        <f>CONCATENATE(C507,D507,E507,F507,G507,H507,I507,J507,K507,L507,M507,N507,O507,P507,Q507,R507,S507,T507,U507,V507,W507,X507,Y507,Z507,AA507,AB507,AC507,AD507,AE507,AF507,AG507,AH507,AI507,AJ507,AK507,AL507,AM507,AN507,AO507,AP507,AQ507,AR507,AS507,AT507,AU507,AV507,AW507,AX507,AY507,AZ507,BA507,BB507,BC507,BD507,BE507,BF507,BG507,BH507)</f>
        <v/>
      </c>
      <c r="C508" s="0" t="inlineStr">
        <is>
          <t>[</t>
        </is>
      </c>
      <c r="D508" s="0">
        <f>'Control Panel'!C10</f>
        <v/>
      </c>
      <c r="E508" s="0" t="inlineStr">
        <is>
          <t>,</t>
        </is>
      </c>
      <c r="F508" s="0">
        <f>'Control Panel'!D10</f>
        <v/>
      </c>
      <c r="G508" s="0" t="inlineStr">
        <is>
          <t>,</t>
        </is>
      </c>
      <c r="H508" s="0">
        <f>'Control Panel'!E10</f>
        <v/>
      </c>
      <c r="I508" s="0" t="inlineStr">
        <is>
          <t>,</t>
        </is>
      </c>
      <c r="J508" s="0">
        <f>'Control Panel'!F10</f>
        <v/>
      </c>
      <c r="K508" s="0" t="inlineStr">
        <is>
          <t>,</t>
        </is>
      </c>
      <c r="L508" s="0">
        <f>'Control Panel'!G10</f>
        <v/>
      </c>
      <c r="M508" s="0" t="inlineStr">
        <is>
          <t>,</t>
        </is>
      </c>
      <c r="N508" s="0">
        <f>'Control Panel'!H10</f>
        <v/>
      </c>
      <c r="O508" s="0" t="inlineStr">
        <is>
          <t>,</t>
        </is>
      </c>
      <c r="P508" s="0">
        <f>'Control Panel'!I10</f>
        <v/>
      </c>
      <c r="Q508" s="0" t="inlineStr">
        <is>
          <t>]</t>
        </is>
      </c>
      <c r="R508" s="0" t="inlineStr">
        <is>
          <t>,</t>
        </is>
      </c>
    </row>
    <row r="509">
      <c r="A509" s="151" t="inlineStr">
        <is>
          <t xml:space="preserve">[1,0,0,0,0,0,0], </t>
        </is>
      </c>
      <c r="B509" s="0">
        <f>CONCATENATE(C508,D508,E508,F508,G508,H508,I508,J508,K508,L508,M508,N508,O508,P508,Q508,R508,S508,T508,U508,V508,W508,X508,Y508,Z508,AA508,AB508,AC508,AD508,AE508,AF508,AG508,AH508,AI508,AJ508,AK508,AL508,AM508,AN508,AO508,AP508,AQ508,AR508,AS508,AT508,AU508,AV508,AW508,AX508,AY508,AZ508,BA508,BB508,BC508,BD508,BE508,BF508,BG508,BH508)</f>
        <v/>
      </c>
      <c r="C509" s="0" t="inlineStr">
        <is>
          <t>[</t>
        </is>
      </c>
      <c r="D509" s="0">
        <f>'Control Panel'!C11</f>
        <v/>
      </c>
      <c r="E509" s="0" t="inlineStr">
        <is>
          <t>,</t>
        </is>
      </c>
      <c r="F509" s="0">
        <f>'Control Panel'!D11</f>
        <v/>
      </c>
      <c r="G509" s="0" t="inlineStr">
        <is>
          <t>,</t>
        </is>
      </c>
      <c r="H509" s="0">
        <f>'Control Panel'!E11</f>
        <v/>
      </c>
      <c r="I509" s="0" t="inlineStr">
        <is>
          <t>,</t>
        </is>
      </c>
      <c r="J509" s="0">
        <f>'Control Panel'!F11</f>
        <v/>
      </c>
      <c r="K509" s="0" t="inlineStr">
        <is>
          <t>,</t>
        </is>
      </c>
      <c r="L509" s="0">
        <f>'Control Panel'!G11</f>
        <v/>
      </c>
      <c r="M509" s="0" t="inlineStr">
        <is>
          <t>,</t>
        </is>
      </c>
      <c r="N509" s="0">
        <f>'Control Panel'!H11</f>
        <v/>
      </c>
      <c r="O509" s="0" t="inlineStr">
        <is>
          <t>,</t>
        </is>
      </c>
      <c r="P509" s="0">
        <f>'Control Panel'!I11</f>
        <v/>
      </c>
      <c r="Q509" s="0" t="inlineStr">
        <is>
          <t>]</t>
        </is>
      </c>
      <c r="R509" s="0" t="inlineStr">
        <is>
          <t>,</t>
        </is>
      </c>
    </row>
    <row r="510">
      <c r="A510" s="151" t="inlineStr">
        <is>
          <t xml:space="preserve">[2,1,1,1,1,1,0], </t>
        </is>
      </c>
      <c r="B510" s="0">
        <f>CONCATENATE(C509,D509,E509,F509,G509,H509,I509,J509,K509,L509,M509,N509,O509,P509,Q509,R509,S509,T509,U509,V509,W509,X509,Y509,Z509,AA509,AB509,AC509,AD509,AE509,AF509,AG509,AH509,AI509,AJ509,AK509,AL509,AM509,AN509,AO509,AP509,AQ509,AR509,AS509,AT509,AU509,AV509,AW509,AX509,AY509,AZ509,BA509,BB509,BC509,BD509,BE509,BF509,BG509,BH509)</f>
        <v/>
      </c>
      <c r="C510" s="0" t="inlineStr">
        <is>
          <t>[</t>
        </is>
      </c>
      <c r="D510" s="0">
        <f>'Control Panel'!C12</f>
        <v/>
      </c>
      <c r="E510" s="0" t="inlineStr">
        <is>
          <t>,</t>
        </is>
      </c>
      <c r="F510" s="0">
        <f>'Control Panel'!D12</f>
        <v/>
      </c>
      <c r="G510" s="0" t="inlineStr">
        <is>
          <t>,</t>
        </is>
      </c>
      <c r="H510" s="0">
        <f>'Control Panel'!E12</f>
        <v/>
      </c>
      <c r="I510" s="0" t="inlineStr">
        <is>
          <t>,</t>
        </is>
      </c>
      <c r="J510" s="0">
        <f>'Control Panel'!F12</f>
        <v/>
      </c>
      <c r="K510" s="0" t="inlineStr">
        <is>
          <t>,</t>
        </is>
      </c>
      <c r="L510" s="0">
        <f>'Control Panel'!G12</f>
        <v/>
      </c>
      <c r="M510" s="0" t="inlineStr">
        <is>
          <t>,</t>
        </is>
      </c>
      <c r="N510" s="0">
        <f>'Control Panel'!H12</f>
        <v/>
      </c>
      <c r="O510" s="0" t="inlineStr">
        <is>
          <t>,</t>
        </is>
      </c>
      <c r="P510" s="0">
        <f>'Control Panel'!I12</f>
        <v/>
      </c>
      <c r="Q510" s="0" t="inlineStr">
        <is>
          <t>]</t>
        </is>
      </c>
      <c r="R510" s="0" t="inlineStr">
        <is>
          <t>,</t>
        </is>
      </c>
    </row>
    <row r="511">
      <c r="A511" s="151" t="inlineStr">
        <is>
          <t xml:space="preserve">[3,2,2,2,1,1,1], </t>
        </is>
      </c>
      <c r="B511" s="0">
        <f>CONCATENATE(C510,D510,E510,F510,G510,H510,I510,J510,K510,L510,M510,N510,O510,P510,Q510,R510,S510,T510,U510,V510,W510,X510,Y510,Z510,AA510,AB510,AC510,AD510,AE510,AF510,AG510,AH510,AI510,AJ510,AK510,AL510,AM510,AN510,AO510,AP510,AQ510,AR510,AS510,AT510,AU510,AV510,AW510,AX510,AY510,AZ510,BA510,BB510,BC510,BD510,BE510,BF510,BG510,BH510)</f>
        <v/>
      </c>
      <c r="C511" s="0" t="inlineStr">
        <is>
          <t>[</t>
        </is>
      </c>
      <c r="D511" s="0">
        <f>'Control Panel'!C13</f>
        <v/>
      </c>
      <c r="E511" s="0" t="inlineStr">
        <is>
          <t>,</t>
        </is>
      </c>
      <c r="F511" s="0">
        <f>'Control Panel'!D13</f>
        <v/>
      </c>
      <c r="G511" s="0" t="inlineStr">
        <is>
          <t>,</t>
        </is>
      </c>
      <c r="H511" s="0">
        <f>'Control Panel'!E13</f>
        <v/>
      </c>
      <c r="I511" s="0" t="inlineStr">
        <is>
          <t>,</t>
        </is>
      </c>
      <c r="J511" s="0">
        <f>'Control Panel'!F13</f>
        <v/>
      </c>
      <c r="K511" s="0" t="inlineStr">
        <is>
          <t>,</t>
        </is>
      </c>
      <c r="L511" s="0">
        <f>'Control Panel'!G13</f>
        <v/>
      </c>
      <c r="M511" s="0" t="inlineStr">
        <is>
          <t>,</t>
        </is>
      </c>
      <c r="N511" s="0">
        <f>'Control Panel'!H13</f>
        <v/>
      </c>
      <c r="O511" s="0" t="inlineStr">
        <is>
          <t>,</t>
        </is>
      </c>
      <c r="P511" s="0">
        <f>'Control Panel'!I13</f>
        <v/>
      </c>
      <c r="Q511" s="0" t="inlineStr">
        <is>
          <t>]</t>
        </is>
      </c>
      <c r="R511" s="0" t="inlineStr">
        <is>
          <t>,</t>
        </is>
      </c>
    </row>
    <row r="512">
      <c r="A512" s="151" t="inlineStr">
        <is>
          <t xml:space="preserve">[3,2,2,2,2,2,1], </t>
        </is>
      </c>
      <c r="B512" s="0">
        <f>CONCATENATE(C511,D511,E511,F511,G511,H511,I511,J511,K511,L511,M511,N511,O511,P511,Q511,R511,S511,T511,U511,V511,W511,X511,Y511,Z511,AA511,AB511,AC511,AD511,AE511,AF511,AG511,AH511,AI511,AJ511,AK511,AL511,AM511,AN511,AO511,AP511,AQ511,AR511,AS511,AT511,AU511,AV511,AW511,AX511,AY511,AZ511,BA511,BB511,BC511,BD511,BE511,BF511,BG511,BH511)</f>
        <v/>
      </c>
      <c r="C512" s="0" t="inlineStr">
        <is>
          <t>[</t>
        </is>
      </c>
      <c r="D512" s="0">
        <f>'Control Panel'!C14</f>
        <v/>
      </c>
      <c r="E512" s="0" t="inlineStr">
        <is>
          <t>,</t>
        </is>
      </c>
      <c r="F512" s="0">
        <f>'Control Panel'!D14</f>
        <v/>
      </c>
      <c r="G512" s="0" t="inlineStr">
        <is>
          <t>,</t>
        </is>
      </c>
      <c r="H512" s="0">
        <f>'Control Panel'!E14</f>
        <v/>
      </c>
      <c r="I512" s="0" t="inlineStr">
        <is>
          <t>,</t>
        </is>
      </c>
      <c r="J512" s="0">
        <f>'Control Panel'!F14</f>
        <v/>
      </c>
      <c r="K512" s="0" t="inlineStr">
        <is>
          <t>,</t>
        </is>
      </c>
      <c r="L512" s="0">
        <f>'Control Panel'!G14</f>
        <v/>
      </c>
      <c r="M512" s="0" t="inlineStr">
        <is>
          <t>,</t>
        </is>
      </c>
      <c r="N512" s="0">
        <f>'Control Panel'!H14</f>
        <v/>
      </c>
      <c r="O512" s="0" t="inlineStr">
        <is>
          <t>,</t>
        </is>
      </c>
      <c r="P512" s="0">
        <f>'Control Panel'!I14</f>
        <v/>
      </c>
      <c r="Q512" s="0" t="inlineStr">
        <is>
          <t>]</t>
        </is>
      </c>
      <c r="R512" s="0" t="inlineStr">
        <is>
          <t>,</t>
        </is>
      </c>
    </row>
    <row r="513">
      <c r="A513" s="151" t="inlineStr">
        <is>
          <t xml:space="preserve">[4,3,3,3,2,2,2], </t>
        </is>
      </c>
      <c r="B513" s="0">
        <f>CONCATENATE(C512,D512,E512,F512,G512,H512,I512,J512,K512,L512,M512,N512,O512,P512,Q512,R512,S512,T512,U512,V512,W512,X512,Y512,Z512,AA512,AB512,AC512,AD512,AE512,AF512,AG512,AH512,AI512,AJ512,AK512,AL512,AM512,AN512,AO512,AP512,AQ512,AR512,AS512,AT512,AU512,AV512,AW512,AX512,AY512,AZ512,BA512,BB512,BC512,BD512,BE512,BF512,BG512,BH512)</f>
        <v/>
      </c>
      <c r="C513" s="0" t="inlineStr">
        <is>
          <t>[</t>
        </is>
      </c>
      <c r="D513" s="0">
        <f>'Control Panel'!C15</f>
        <v/>
      </c>
      <c r="E513" s="0" t="inlineStr">
        <is>
          <t>,</t>
        </is>
      </c>
      <c r="F513" s="0">
        <f>'Control Panel'!D15</f>
        <v/>
      </c>
      <c r="G513" s="0" t="inlineStr">
        <is>
          <t>,</t>
        </is>
      </c>
      <c r="H513" s="0">
        <f>'Control Panel'!E15</f>
        <v/>
      </c>
      <c r="I513" s="0" t="inlineStr">
        <is>
          <t>,</t>
        </is>
      </c>
      <c r="J513" s="0">
        <f>'Control Panel'!F15</f>
        <v/>
      </c>
      <c r="K513" s="0" t="inlineStr">
        <is>
          <t>,</t>
        </is>
      </c>
      <c r="L513" s="0">
        <f>'Control Panel'!G15</f>
        <v/>
      </c>
      <c r="M513" s="0" t="inlineStr">
        <is>
          <t>,</t>
        </is>
      </c>
      <c r="N513" s="0">
        <f>'Control Panel'!H15</f>
        <v/>
      </c>
      <c r="O513" s="0" t="inlineStr">
        <is>
          <t>,</t>
        </is>
      </c>
      <c r="P513" s="0">
        <f>'Control Panel'!I15</f>
        <v/>
      </c>
      <c r="Q513" s="0" t="inlineStr">
        <is>
          <t>]</t>
        </is>
      </c>
      <c r="R513" s="0" t="inlineStr">
        <is>
          <t>,</t>
        </is>
      </c>
    </row>
    <row r="514">
      <c r="A514" s="151" t="inlineStr">
        <is>
          <t xml:space="preserve">[4,3,3,3,2,2,2], </t>
        </is>
      </c>
      <c r="B514" s="0">
        <f>CONCATENATE(C513,D513,E513,F513,G513,H513,I513,J513,K513,L513,M513,N513,O513,P513,Q513,R513,S513,T513,U513,V513,W513,X513,Y513,Z513,AA513,AB513,AC513,AD513,AE513,AF513,AG513,AH513,AI513,AJ513,AK513,AL513,AM513,AN513,AO513,AP513,AQ513,AR513,AS513,AT513,AU513,AV513,AW513,AX513,AY513,AZ513,BA513,BB513,BC513,BD513,BE513,BF513,BG513,BH513)</f>
        <v/>
      </c>
      <c r="C514" s="0" t="inlineStr">
        <is>
          <t>[</t>
        </is>
      </c>
      <c r="D514" s="0">
        <f>'Control Panel'!C16</f>
        <v/>
      </c>
      <c r="E514" s="0" t="inlineStr">
        <is>
          <t>,</t>
        </is>
      </c>
      <c r="F514" s="0">
        <f>'Control Panel'!D16</f>
        <v/>
      </c>
      <c r="G514" s="0" t="inlineStr">
        <is>
          <t>,</t>
        </is>
      </c>
      <c r="H514" s="0">
        <f>'Control Panel'!E16</f>
        <v/>
      </c>
      <c r="I514" s="0" t="inlineStr">
        <is>
          <t>,</t>
        </is>
      </c>
      <c r="J514" s="0">
        <f>'Control Panel'!F16</f>
        <v/>
      </c>
      <c r="K514" s="0" t="inlineStr">
        <is>
          <t>,</t>
        </is>
      </c>
      <c r="L514" s="0">
        <f>'Control Panel'!G16</f>
        <v/>
      </c>
      <c r="M514" s="0" t="inlineStr">
        <is>
          <t>,</t>
        </is>
      </c>
      <c r="N514" s="0">
        <f>'Control Panel'!H16</f>
        <v/>
      </c>
      <c r="O514" s="0" t="inlineStr">
        <is>
          <t>,</t>
        </is>
      </c>
      <c r="P514" s="0">
        <f>'Control Panel'!I16</f>
        <v/>
      </c>
      <c r="Q514" s="0" t="inlineStr">
        <is>
          <t>]</t>
        </is>
      </c>
      <c r="R514" s="0" t="inlineStr">
        <is>
          <t>,</t>
        </is>
      </c>
    </row>
    <row r="515">
      <c r="A515" s="151" t="inlineStr">
        <is>
          <t xml:space="preserve">[5,4,4,3,3,3,2], </t>
        </is>
      </c>
      <c r="B515" s="0">
        <f>CONCATENATE(C514,D514,E514,F514,G514,H514,I514,J514,K514,L514,M514,N514,O514,P514,Q514,R514,S514,T514,U514,V514,W514,X514,Y514,Z514,AA514,AB514,AC514,AD514,AE514,AF514,AG514,AH514,AI514,AJ514,AK514,AL514,AM514,AN514,AO514,AP514,AQ514,AR514,AS514,AT514,AU514,AV514,AW514,AX514,AY514,AZ514,BA514,BB514,BC514,BD514,BE514,BF514,BG514,BH514)</f>
        <v/>
      </c>
      <c r="C515" s="0" t="inlineStr">
        <is>
          <t>[</t>
        </is>
      </c>
      <c r="D515" s="0">
        <f>'Control Panel'!C17</f>
        <v/>
      </c>
      <c r="E515" s="0" t="inlineStr">
        <is>
          <t>,</t>
        </is>
      </c>
      <c r="F515" s="0">
        <f>'Control Panel'!D17</f>
        <v/>
      </c>
      <c r="G515" s="0" t="inlineStr">
        <is>
          <t>,</t>
        </is>
      </c>
      <c r="H515" s="0">
        <f>'Control Panel'!E17</f>
        <v/>
      </c>
      <c r="I515" s="0" t="inlineStr">
        <is>
          <t>,</t>
        </is>
      </c>
      <c r="J515" s="0">
        <f>'Control Panel'!F17</f>
        <v/>
      </c>
      <c r="K515" s="0" t="inlineStr">
        <is>
          <t>,</t>
        </is>
      </c>
      <c r="L515" s="0">
        <f>'Control Panel'!G17</f>
        <v/>
      </c>
      <c r="M515" s="0" t="inlineStr">
        <is>
          <t>,</t>
        </is>
      </c>
      <c r="N515" s="0">
        <f>'Control Panel'!H17</f>
        <v/>
      </c>
      <c r="O515" s="0" t="inlineStr">
        <is>
          <t>,</t>
        </is>
      </c>
      <c r="P515" s="0">
        <f>'Control Panel'!I17</f>
        <v/>
      </c>
      <c r="Q515" s="0" t="inlineStr">
        <is>
          <t>]</t>
        </is>
      </c>
      <c r="R515" s="0" t="inlineStr">
        <is>
          <t>,</t>
        </is>
      </c>
    </row>
    <row r="516">
      <c r="A516" s="151" t="inlineStr">
        <is>
          <t xml:space="preserve">[5,5,4,4,4,3,3], </t>
        </is>
      </c>
      <c r="B516" s="0">
        <f>CONCATENATE(C515,D515,E515,F515,G515,H515,I515,J515,K515,L515,M515,N515,O515,P515,Q515,R515,S515,T515,U515,V515,W515,X515,Y515,Z515,AA515,AB515,AC515,AD515,AE515,AF515,AG515,AH515,AI515,AJ515,AK515,AL515,AM515,AN515,AO515,AP515,AQ515,AR515,AS515,AT515,AU515,AV515,AW515,AX515,AY515,AZ515,BA515,BB515,BC515,BD515,BE515,BF515,BG515,BH515)</f>
        <v/>
      </c>
      <c r="C516" s="0" t="inlineStr">
        <is>
          <t>[</t>
        </is>
      </c>
      <c r="D516" s="0">
        <f>'Control Panel'!C18</f>
        <v/>
      </c>
      <c r="E516" s="0" t="inlineStr">
        <is>
          <t>,</t>
        </is>
      </c>
      <c r="F516" s="0">
        <f>'Control Panel'!D18</f>
        <v/>
      </c>
      <c r="G516" s="0" t="inlineStr">
        <is>
          <t>,</t>
        </is>
      </c>
      <c r="H516" s="0">
        <f>'Control Panel'!E18</f>
        <v/>
      </c>
      <c r="I516" s="0" t="inlineStr">
        <is>
          <t>,</t>
        </is>
      </c>
      <c r="J516" s="0">
        <f>'Control Panel'!F18</f>
        <v/>
      </c>
      <c r="K516" s="0" t="inlineStr">
        <is>
          <t>,</t>
        </is>
      </c>
      <c r="L516" s="0">
        <f>'Control Panel'!G18</f>
        <v/>
      </c>
      <c r="M516" s="0" t="inlineStr">
        <is>
          <t>,</t>
        </is>
      </c>
      <c r="N516" s="0">
        <f>'Control Panel'!H18</f>
        <v/>
      </c>
      <c r="O516" s="0" t="inlineStr">
        <is>
          <t>,</t>
        </is>
      </c>
      <c r="P516" s="0">
        <f>'Control Panel'!I18</f>
        <v/>
      </c>
      <c r="Q516" s="0" t="inlineStr">
        <is>
          <t>]</t>
        </is>
      </c>
      <c r="R516" s="0" t="inlineStr">
        <is>
          <t>,</t>
        </is>
      </c>
    </row>
    <row r="517">
      <c r="A517" s="151" t="inlineStr">
        <is>
          <t xml:space="preserve">[5,5,5,5,4,4,3], </t>
        </is>
      </c>
      <c r="B517" s="0">
        <f>CONCATENATE(C516,D516,E516,F516,G516,H516,I516,J516,K516,L516,M516,N516,O516,P516,Q516,R516,S516,T516,U516,V516,W516,X516,Y516,Z516,AA516,AB516,AC516,AD516,AE516,AF516,AG516,AH516,AI516,AJ516,AK516,AL516,AM516,AN516,AO516,AP516,AQ516,AR516,AS516,AT516,AU516,AV516,AW516,AX516,AY516,AZ516,BA516,BB516,BC516,BD516,BE516,BF516,BG516,BH516)</f>
        <v/>
      </c>
      <c r="C517" s="0" t="inlineStr">
        <is>
          <t>[</t>
        </is>
      </c>
      <c r="D517" s="0">
        <f>'Control Panel'!C19</f>
        <v/>
      </c>
      <c r="E517" s="0" t="inlineStr">
        <is>
          <t>,</t>
        </is>
      </c>
      <c r="F517" s="0">
        <f>'Control Panel'!D19</f>
        <v/>
      </c>
      <c r="G517" s="0" t="inlineStr">
        <is>
          <t>,</t>
        </is>
      </c>
      <c r="H517" s="0">
        <f>'Control Panel'!E19</f>
        <v/>
      </c>
      <c r="I517" s="0" t="inlineStr">
        <is>
          <t>,</t>
        </is>
      </c>
      <c r="J517" s="0">
        <f>'Control Panel'!F19</f>
        <v/>
      </c>
      <c r="K517" s="0" t="inlineStr">
        <is>
          <t>,</t>
        </is>
      </c>
      <c r="L517" s="0">
        <f>'Control Panel'!G19</f>
        <v/>
      </c>
      <c r="M517" s="0" t="inlineStr">
        <is>
          <t>,</t>
        </is>
      </c>
      <c r="N517" s="0">
        <f>'Control Panel'!H19</f>
        <v/>
      </c>
      <c r="O517" s="0" t="inlineStr">
        <is>
          <t>,</t>
        </is>
      </c>
      <c r="P517" s="0">
        <f>'Control Panel'!I19</f>
        <v/>
      </c>
      <c r="Q517" s="0" t="inlineStr">
        <is>
          <t>]</t>
        </is>
      </c>
      <c r="R517" s="0" t="inlineStr">
        <is>
          <t>,</t>
        </is>
      </c>
    </row>
    <row r="518">
      <c r="A518" s="151" t="inlineStr">
        <is>
          <t xml:space="preserve">[5,5,5,5,5,4,4], </t>
        </is>
      </c>
      <c r="B518" s="0">
        <f>CONCATENATE(C517,D517,E517,F517,G517,H517,I517,J517,K517,L517,M517,N517,O517,P517,Q517,R517,S517,T517,U517,V517,W517,X517,Y517,Z517,AA517,AB517,AC517,AD517,AE517,AF517,AG517,AH517,AI517,AJ517,AK517,AL517,AM517,AN517,AO517,AP517,AQ517,AR517,AS517,AT517,AU517,AV517,AW517,AX517,AY517,AZ517,BA517,BB517,BC517,BD517,BE517,BF517,BG517,BH517)</f>
        <v/>
      </c>
      <c r="C518" s="0" t="inlineStr">
        <is>
          <t>[</t>
        </is>
      </c>
      <c r="D518" s="0">
        <f>'Control Panel'!C20</f>
        <v/>
      </c>
      <c r="E518" s="0" t="inlineStr">
        <is>
          <t>,</t>
        </is>
      </c>
      <c r="F518" s="0">
        <f>'Control Panel'!D20</f>
        <v/>
      </c>
      <c r="G518" s="0" t="inlineStr">
        <is>
          <t>,</t>
        </is>
      </c>
      <c r="H518" s="0">
        <f>'Control Panel'!E20</f>
        <v/>
      </c>
      <c r="I518" s="0" t="inlineStr">
        <is>
          <t>,</t>
        </is>
      </c>
      <c r="J518" s="0">
        <f>'Control Panel'!F20</f>
        <v/>
      </c>
      <c r="K518" s="0" t="inlineStr">
        <is>
          <t>,</t>
        </is>
      </c>
      <c r="L518" s="0">
        <f>'Control Panel'!G20</f>
        <v/>
      </c>
      <c r="M518" s="0" t="inlineStr">
        <is>
          <t>,</t>
        </is>
      </c>
      <c r="N518" s="0">
        <f>'Control Panel'!H20</f>
        <v/>
      </c>
      <c r="O518" s="0" t="inlineStr">
        <is>
          <t>,</t>
        </is>
      </c>
      <c r="P518" s="0">
        <f>'Control Panel'!I20</f>
        <v/>
      </c>
      <c r="Q518" s="0" t="inlineStr">
        <is>
          <t>]</t>
        </is>
      </c>
      <c r="R518" s="0" t="inlineStr">
        <is>
          <t>,</t>
        </is>
      </c>
    </row>
    <row r="519">
      <c r="A519" s="151" t="inlineStr">
        <is>
          <t xml:space="preserve">[5,5,5,5,5,5,5] </t>
        </is>
      </c>
      <c r="B519" s="0">
        <f>CONCATENATE(C518,D518,E518,F518,G518,H518,I518,J518,K518,L518,M518,N518,O518,P518,Q518,R518,S518,T518,U518,V518,W518,X518,Y518,Z518,AA518,AB518,AC518,AD518,AE518,AF518,AG518,AH518,AI518,AJ518,AK518,AL518,AM518,AN518,AO518,AP518,AQ518,AR518,AS518,AT518,AU518,AV518,AW518,AX518,AY518,AZ518,BA518,BB518,BC518,BD518,BE518,BF518,BG518,BH518)</f>
        <v/>
      </c>
      <c r="C519" s="0" t="inlineStr">
        <is>
          <t>[</t>
        </is>
      </c>
      <c r="D519" s="0">
        <f>'Control Panel'!C21</f>
        <v/>
      </c>
      <c r="E519" s="0" t="inlineStr">
        <is>
          <t>,</t>
        </is>
      </c>
      <c r="F519" s="0">
        <f>'Control Panel'!D21</f>
        <v/>
      </c>
      <c r="G519" s="0" t="inlineStr">
        <is>
          <t>,</t>
        </is>
      </c>
      <c r="H519" s="0">
        <f>'Control Panel'!E21</f>
        <v/>
      </c>
      <c r="I519" s="0" t="inlineStr">
        <is>
          <t>,</t>
        </is>
      </c>
      <c r="J519" s="0">
        <f>'Control Panel'!F21</f>
        <v/>
      </c>
      <c r="K519" s="0" t="inlineStr">
        <is>
          <t>,</t>
        </is>
      </c>
      <c r="L519" s="0">
        <f>'Control Panel'!G21</f>
        <v/>
      </c>
      <c r="M519" s="0" t="inlineStr">
        <is>
          <t>,</t>
        </is>
      </c>
      <c r="N519" s="0">
        <f>'Control Panel'!H21</f>
        <v/>
      </c>
      <c r="O519" s="0" t="inlineStr">
        <is>
          <t>,</t>
        </is>
      </c>
      <c r="P519" s="0">
        <f>'Control Panel'!I21</f>
        <v/>
      </c>
      <c r="Q519" s="0" t="inlineStr">
        <is>
          <t>]</t>
        </is>
      </c>
      <c r="R519" s="0" t="inlineStr">
        <is>
          <t>,</t>
        </is>
      </c>
    </row>
    <row r="520">
      <c r="A520" s="151" t="inlineStr">
        <is>
          <t xml:space="preserve">]; </t>
        </is>
      </c>
      <c r="B520" s="0">
        <f>CONCATENATE(C519,D519,E519,F519,G519,H519,I519,J519,K519,L519,M519,N519,O519,P519,Q519,R519,S519,T519,U519,V519,W519,X519,Y519,Z519,AA519,AB519,AC519,AD519,AE519,AF519,AG519,AH519,AI519,AJ519,AK519,AL519,AM519,AN519,AO519,AP519,AQ519,AR519,AS519,AT519,AU519,AV519,AW519,AX519,AY519,AZ519,BA519,BB519,BC519,BD519,BE519,BF519,BG519,BH519)</f>
        <v/>
      </c>
      <c r="C520" s="0" t="inlineStr">
        <is>
          <t xml:space="preserve">]; </t>
        </is>
      </c>
    </row>
    <row r="521">
      <c r="B521" s="0">
        <f>CONCATENATE(C520,D520,E520,F520,G520,H520,I520,J520,K520,L520,M520,N520,O520,P520,Q520,R520,S520,T520,U520,V520,W520,X520,Y520,Z520,AA520,AB520,AC520,AD520,AE520,AF520,AG520,AH520,AI520,AJ520,AK520,AL520,AM520,AN520,AO520,AP520,AQ520,AR520,AS520,AT520,AU520,AV520,AW520,AX520,AY520,AZ520,BA520,BB520,BC520,BD520,BE520,BF520,BG520,BH520)</f>
        <v/>
      </c>
    </row>
    <row r="522">
      <c r="B522" s="0">
        <f>CONCATENATE(C521,D521,E521,F521,G521,H521,I521,J521,K521,L521,M521,N521,O521,P521,Q521,R521,S521,T521,U521,V521,W521,X521,Y521,Z521,AA521,AB521,AC521,AD521,AE521,AF521,AG521,AH521,AI521,AJ521,AK521,AL521,AM521,AN521,AO521,AP521,AQ521,AR521,AS521,AT521,AU521,AV521,AW521,AX521,AY521,AZ521,BA521,BB521,BC521,BD521,BE521,BF521,BG521,BH521)</f>
        <v/>
      </c>
    </row>
    <row r="523">
      <c r="A523" s="151" t="inlineStr">
        <is>
          <t>#Each Level by Reward Amount : Exchange Diamond Distribution Count, Coin 8Type Variation, Default Diamondmond .</t>
        </is>
      </c>
      <c r="B523" s="0">
        <f>CONCATENATE(C522,D522,E522,F522,G522,H522,I522,J522,K522,L522,M522,N522,O522,P522,Q522,R522,S522,T522,U522,V522,W522,X522,Y522,Z522,AA522,AB522,AC522,AD522,AE522,AF522,AG522,AH522,AI522,AJ522,AK522,AL522,AM522,AN522,AO522,AP522,AQ522,AR522,AS522,AT522,AU522,AV522,AW522,AX522,AY522,AZ522,BA522,BB522,BC522,BD522,BE522,BF522,BG522,BH522)</f>
        <v/>
      </c>
      <c r="C523" s="0" t="inlineStr">
        <is>
          <t>#Each Level by Reward Amount : Exchange Diamond Distribution Count, Coin 8Type Variation, Default Diamondmond .</t>
        </is>
      </c>
    </row>
    <row r="524">
      <c r="A524" s="151" t="inlineStr">
        <is>
          <t xml:space="preserve">INSERT INTO `html5`.`canvas_event_bingo_config` </t>
        </is>
      </c>
      <c r="B524" s="0">
        <f>CONCATENATE(C523,D523,E523,F523,G523,H523,I523,J523,K523,L523,M523,N523,O523,P523,Q523,R523,S523,T523,U523,V523,W523,X523,Y523,Z523,AA523,AB523,AC523,AD523,AE523,AF523,AG523,AH523,AI523,AJ523,AK523,AL523,AM523,AN523,AO523,AP523,AQ523,AR523,AS523,AT523,AU523,AV523,AW523,AX523,AY523,AZ523,BA523,BB523,BC523,BD523,BE523,BF523,BG523,BH523)</f>
        <v/>
      </c>
      <c r="C524" s="0" t="inlineStr">
        <is>
          <t xml:space="preserve">INSERT INTO `html5`.`canvas_event_bingo_config` </t>
        </is>
      </c>
    </row>
    <row r="525">
      <c r="A525" s="151" t="inlineStr">
        <is>
          <t xml:space="preserve">(`event_id`, `level`, `type`, `bonus_volumn`) </t>
        </is>
      </c>
      <c r="B525" s="0">
        <f>CONCATENATE(C524,D524,E524,F524,G524,H524,I524,J524,K524,L524,M524,N524,O524,P524,Q524,R524,S524,T524,U524,V524,W524,X524,Y524,Z524,AA524,AB524,AC524,AD524,AE524,AF524,AG524,AH524,AI524,AJ524,AK524,AL524,AM524,AN524,AO524,AP524,AQ524,AR524,AS524,AT524,AU524,AV524,AW524,AX524,AY524,AZ524,BA524,BB524,BC524,BD524,BE524,BF524,BG524,BH524)</f>
        <v/>
      </c>
      <c r="C525" s="0" t="inlineStr">
        <is>
          <t xml:space="preserve">(`event_id`, `level`, `type`, `bonus_volumn`) </t>
        </is>
      </c>
    </row>
    <row r="526">
      <c r="A526" s="151" t="inlineStr">
        <is>
          <t xml:space="preserve">VALUES </t>
        </is>
      </c>
      <c r="B526" s="0">
        <f>CONCATENATE(C525,D525,E525,F525,G525,H525,I525,J525,K525,L525,M525,N525,O525,P525,Q525,R525,S525,T525,U525,V525,W525,X525,Y525,Z525,AA525,AB525,AC525,AD525,AE525,AF525,AG525,AH525,AI525,AJ525,AK525,AL525,AM525,AN525,AO525,AP525,AQ525,AR525,AS525,AT525,AU525,AV525,AW525,AX525,AY525,AZ525,BA525,BB525,BC525,BD525,BE525,BF525,BG525,BH525)</f>
        <v/>
      </c>
      <c r="C526" s="0" t="inlineStr">
        <is>
          <t xml:space="preserve">VALUES </t>
        </is>
      </c>
    </row>
    <row r="527">
      <c r="A527" s="151" t="inlineStr">
        <is>
          <t xml:space="preserve">(18, 1, 0, 100), (18, 1, 1, 2500000), (18, 1, 2, 10000000), (18, 1, 3, 5000000),(18, 1, 4, 3000000), (18, 1, 5, 2000000), (18, 1, 6, 1000000), </t>
        </is>
      </c>
      <c r="B527" s="0">
        <f>CONCATENATE(C526,D526,E526,F526,G526,H526,I526,J526,K526,L526,M526,N526,O526,P526,Q526,R526,S526,T526,U526,V526,W526,X526,Y526,Z526,AA526,AB526,AC526,AD526,AE526,AF526,AG526,AH526,AI526,AJ526,AK526,AL526,AM526,AN526,AO526,AP526,AQ526,AR526,AS526,AT526,AU526,AV526,AW526,AX526,AY526,AZ526,BA526,BB526,BC526,BD526,BE526,BF526,BG526,BH526)</f>
        <v/>
      </c>
      <c r="C527" s="0" t="inlineStr">
        <is>
          <t>(18,</t>
        </is>
      </c>
      <c r="D527" s="0" t="n">
        <v>1</v>
      </c>
      <c r="E527" s="0" t="inlineStr">
        <is>
          <t>,</t>
        </is>
      </c>
      <c r="F527" s="0" t="n">
        <v>0</v>
      </c>
      <c r="G527" s="0" t="inlineStr">
        <is>
          <t>,</t>
        </is>
      </c>
      <c r="H527" s="0" t="n">
        <v>20</v>
      </c>
      <c r="I527" s="0" t="inlineStr">
        <is>
          <t>)</t>
        </is>
      </c>
      <c r="J527" s="0" t="inlineStr">
        <is>
          <t>,</t>
        </is>
      </c>
      <c r="K527" s="0" t="inlineStr">
        <is>
          <t>(18,</t>
        </is>
      </c>
      <c r="L527" s="0" t="n">
        <v>1</v>
      </c>
      <c r="M527" s="0" t="inlineStr">
        <is>
          <t>,</t>
        </is>
      </c>
      <c r="N527" s="0" t="n">
        <v>1</v>
      </c>
      <c r="O527" s="0" t="inlineStr">
        <is>
          <t>,</t>
        </is>
      </c>
      <c r="P527" s="2">
        <f>'Control Panel'!M10</f>
        <v/>
      </c>
      <c r="Q527" s="0" t="inlineStr">
        <is>
          <t>)</t>
        </is>
      </c>
      <c r="R527" s="0" t="inlineStr">
        <is>
          <t>,</t>
        </is>
      </c>
      <c r="S527" s="0" t="inlineStr">
        <is>
          <t>(18,</t>
        </is>
      </c>
      <c r="T527" s="0" t="n">
        <v>1</v>
      </c>
      <c r="U527" s="0" t="inlineStr">
        <is>
          <t>,</t>
        </is>
      </c>
      <c r="V527" s="0" t="n">
        <v>2</v>
      </c>
      <c r="W527" s="0" t="inlineStr">
        <is>
          <t>,</t>
        </is>
      </c>
      <c r="X527" s="2">
        <f>'Control Panel'!N10</f>
        <v/>
      </c>
      <c r="Y527" s="0" t="inlineStr">
        <is>
          <t>)</t>
        </is>
      </c>
      <c r="Z527" s="0" t="inlineStr">
        <is>
          <t>,</t>
        </is>
      </c>
      <c r="AA527" s="0" t="inlineStr">
        <is>
          <t>(18,</t>
        </is>
      </c>
      <c r="AB527" s="0" t="n">
        <v>1</v>
      </c>
      <c r="AC527" s="0" t="inlineStr">
        <is>
          <t>,</t>
        </is>
      </c>
      <c r="AD527" s="0" t="n">
        <v>3</v>
      </c>
      <c r="AE527" s="0" t="inlineStr">
        <is>
          <t>,</t>
        </is>
      </c>
      <c r="AF527" s="2">
        <f>'Control Panel'!O10</f>
        <v/>
      </c>
      <c r="AG527" s="0" t="inlineStr">
        <is>
          <t>)</t>
        </is>
      </c>
      <c r="AH527" s="0" t="inlineStr">
        <is>
          <t>,</t>
        </is>
      </c>
      <c r="AI527" s="0" t="inlineStr">
        <is>
          <t>(18,</t>
        </is>
      </c>
      <c r="AJ527" s="0" t="n">
        <v>1</v>
      </c>
      <c r="AK527" s="0" t="inlineStr">
        <is>
          <t>,</t>
        </is>
      </c>
      <c r="AL527" s="0" t="n">
        <v>4</v>
      </c>
      <c r="AM527" s="0" t="inlineStr">
        <is>
          <t>,</t>
        </is>
      </c>
      <c r="AN527" s="2">
        <f>'Control Panel'!P10</f>
        <v/>
      </c>
      <c r="AO527" s="0" t="inlineStr">
        <is>
          <t>)</t>
        </is>
      </c>
      <c r="AP527" s="0" t="inlineStr">
        <is>
          <t>,</t>
        </is>
      </c>
      <c r="AQ527" s="0" t="inlineStr">
        <is>
          <t>(18,</t>
        </is>
      </c>
      <c r="AR527" s="0" t="n">
        <v>1</v>
      </c>
      <c r="AS527" s="0" t="inlineStr">
        <is>
          <t>,</t>
        </is>
      </c>
      <c r="AT527" s="0" t="n">
        <v>5</v>
      </c>
      <c r="AU527" s="0" t="inlineStr">
        <is>
          <t>,</t>
        </is>
      </c>
      <c r="AV527" s="2">
        <f>'Control Panel'!Q10</f>
        <v/>
      </c>
      <c r="AW527" s="0" t="inlineStr">
        <is>
          <t>)</t>
        </is>
      </c>
      <c r="AX527" s="0" t="inlineStr">
        <is>
          <t>,</t>
        </is>
      </c>
      <c r="AY527" s="0" t="inlineStr">
        <is>
          <t>(18,</t>
        </is>
      </c>
      <c r="AZ527" s="0" t="n">
        <v>1</v>
      </c>
      <c r="BA527" s="0" t="inlineStr">
        <is>
          <t>,</t>
        </is>
      </c>
      <c r="BB527" s="0" t="n">
        <v>6</v>
      </c>
      <c r="BC527" s="0" t="inlineStr">
        <is>
          <t>,</t>
        </is>
      </c>
      <c r="BD527" s="2">
        <f>'Control Panel'!R10</f>
        <v/>
      </c>
      <c r="BE527" s="0" t="inlineStr">
        <is>
          <t>)</t>
        </is>
      </c>
      <c r="BF527" s="0" t="inlineStr">
        <is>
          <t>,</t>
        </is>
      </c>
    </row>
    <row r="528">
      <c r="A528" s="151" t="inlineStr">
        <is>
          <t xml:space="preserve">(18, 1, 7, 1000000), (18, 1, 8, 800000), (18, 1, 9, 500000), </t>
        </is>
      </c>
      <c r="B528" s="0">
        <f>CONCATENATE(C527,D527,E527,F527,G527,H527,I527,J527,K527,L527,M527,N527,O527,P527,Q527,R527,S527,T527,U527,V527,W527,X527,Y527,Z527,AA527,AB527,AC527,AD527,AE527,AF527,AG527,AH527,AI527,AJ527,AK527,AL527,AM527,AN527,AO527,AP527,AQ527,AR527,AS527,AT527,AU527,AV527,AW527,AX527,AY527,AZ527,BA527,BB527,BC527,BD527,BE527,BF527,BG527,BH527)</f>
        <v/>
      </c>
      <c r="C528" s="0" t="inlineStr">
        <is>
          <t>(18,</t>
        </is>
      </c>
      <c r="D528" s="0" t="n">
        <v>1</v>
      </c>
      <c r="E528" s="0" t="inlineStr">
        <is>
          <t>,</t>
        </is>
      </c>
      <c r="F528" s="0" t="n">
        <v>7</v>
      </c>
      <c r="G528" s="0" t="inlineStr">
        <is>
          <t>,</t>
        </is>
      </c>
      <c r="H528" s="2">
        <f>'Control Panel'!S10</f>
        <v/>
      </c>
      <c r="I528" s="0" t="inlineStr">
        <is>
          <t>)</t>
        </is>
      </c>
      <c r="J528" s="0" t="inlineStr">
        <is>
          <t>,</t>
        </is>
      </c>
      <c r="K528" s="0" t="inlineStr">
        <is>
          <t>(18,</t>
        </is>
      </c>
      <c r="L528" s="0" t="n">
        <v>1</v>
      </c>
      <c r="M528" s="0" t="inlineStr">
        <is>
          <t>,</t>
        </is>
      </c>
      <c r="N528" s="0" t="n">
        <v>8</v>
      </c>
      <c r="O528" s="0" t="inlineStr">
        <is>
          <t>,</t>
        </is>
      </c>
      <c r="P528" s="2">
        <f>'Control Panel'!T10</f>
        <v/>
      </c>
      <c r="Q528" s="0" t="inlineStr">
        <is>
          <t>)</t>
        </is>
      </c>
      <c r="R528" s="0" t="inlineStr">
        <is>
          <t>,</t>
        </is>
      </c>
      <c r="S528" s="0" t="inlineStr">
        <is>
          <t>(18,</t>
        </is>
      </c>
      <c r="T528" s="0" t="n">
        <v>1</v>
      </c>
      <c r="U528" s="0" t="inlineStr">
        <is>
          <t>,</t>
        </is>
      </c>
      <c r="V528" s="0" t="n">
        <v>9</v>
      </c>
      <c r="W528" s="0" t="inlineStr">
        <is>
          <t>,</t>
        </is>
      </c>
      <c r="X528" s="2">
        <f>'Control Panel'!U10</f>
        <v/>
      </c>
      <c r="Y528" s="0" t="inlineStr">
        <is>
          <t>)</t>
        </is>
      </c>
      <c r="Z528" s="0" t="inlineStr">
        <is>
          <t>,</t>
        </is>
      </c>
    </row>
    <row r="529">
      <c r="B529" s="0">
        <f>CONCATENATE(C528,D528,E528,F528,G528,H528,I528,J528,K528,L528,M528,N528,O528,P528,Q528,R528,S528,T528,U528,V528,W528,X528,Y528,Z528,AA528,AB528,AC528,AD528,AE528,AF528,AG528,AH528,AI528,AJ528,AK528,AL528,AM528,AN528,AO528,AP528,AQ528,AR528,AS528,AT528,AU528,AV528,AW528,AX528,AY528,AZ528,BA528,BB528,BC528,BD528,BE528,BF528,BG528,BH528)</f>
        <v/>
      </c>
    </row>
    <row r="530">
      <c r="A530" s="151" t="inlineStr">
        <is>
          <t xml:space="preserve">(18, 2, 0, 200), (18, 2, 1, 2500000), (18, 2, 2, 10000000), (18, 2, 3, 5000000),(18, 2, 4, 3000000), (18, 2, 5, 2000000), (18, 2, 6, 1000000), </t>
        </is>
      </c>
      <c r="B530" s="0">
        <f>CONCATENATE(C529,D529,E529,F529,G529,H529,I529,J529,K529,L529,M529,N529,O529,P529,Q529,R529,S529,T529,U529,V529,W529,X529,Y529,Z529,AA529,AB529,AC529,AD529,AE529,AF529,AG529,AH529,AI529,AJ529,AK529,AL529,AM529,AN529,AO529,AP529,AQ529,AR529,AS529,AT529,AU529,AV529,AW529,AX529,AY529,AZ529,BA529,BB529,BC529,BD529,BE529,BF529,BG529,BH529)</f>
        <v/>
      </c>
      <c r="C530" s="0" t="inlineStr">
        <is>
          <t>(18,</t>
        </is>
      </c>
      <c r="D530" s="0" t="n">
        <v>2</v>
      </c>
      <c r="E530" s="0" t="inlineStr">
        <is>
          <t>,</t>
        </is>
      </c>
      <c r="F530" s="0" t="n">
        <v>0</v>
      </c>
      <c r="G530" s="0" t="inlineStr">
        <is>
          <t>,</t>
        </is>
      </c>
      <c r="H530" s="0" t="n">
        <v>30</v>
      </c>
      <c r="I530" s="0" t="inlineStr">
        <is>
          <t>)</t>
        </is>
      </c>
      <c r="J530" s="0" t="inlineStr">
        <is>
          <t>,</t>
        </is>
      </c>
      <c r="K530" s="0" t="inlineStr">
        <is>
          <t>(18,</t>
        </is>
      </c>
      <c r="L530" s="0" t="n">
        <v>2</v>
      </c>
      <c r="M530" s="0" t="inlineStr">
        <is>
          <t>,</t>
        </is>
      </c>
      <c r="N530" s="0" t="n">
        <v>1</v>
      </c>
      <c r="O530" s="0" t="inlineStr">
        <is>
          <t>,</t>
        </is>
      </c>
      <c r="P530" s="0">
        <f>P526*2</f>
        <v/>
      </c>
      <c r="Q530" s="0" t="inlineStr">
        <is>
          <t>)</t>
        </is>
      </c>
      <c r="R530" s="0" t="inlineStr">
        <is>
          <t>,</t>
        </is>
      </c>
      <c r="S530" s="0" t="inlineStr">
        <is>
          <t>(18,</t>
        </is>
      </c>
      <c r="T530" s="0" t="n">
        <v>2</v>
      </c>
      <c r="U530" s="0" t="inlineStr">
        <is>
          <t>,</t>
        </is>
      </c>
      <c r="V530" s="0" t="n">
        <v>2</v>
      </c>
      <c r="W530" s="0" t="inlineStr">
        <is>
          <t>,</t>
        </is>
      </c>
      <c r="X530" s="0">
        <f>X526*2</f>
        <v/>
      </c>
      <c r="Y530" s="0" t="inlineStr">
        <is>
          <t>)</t>
        </is>
      </c>
      <c r="Z530" s="0" t="inlineStr">
        <is>
          <t>,</t>
        </is>
      </c>
      <c r="AA530" s="0" t="inlineStr">
        <is>
          <t>(18,</t>
        </is>
      </c>
      <c r="AB530" s="0" t="n">
        <v>2</v>
      </c>
      <c r="AC530" s="0" t="inlineStr">
        <is>
          <t>,</t>
        </is>
      </c>
      <c r="AD530" s="0" t="n">
        <v>3</v>
      </c>
      <c r="AE530" s="0" t="inlineStr">
        <is>
          <t>,</t>
        </is>
      </c>
      <c r="AF530" s="0">
        <f>AF526*2</f>
        <v/>
      </c>
      <c r="AG530" s="0" t="inlineStr">
        <is>
          <t>)</t>
        </is>
      </c>
      <c r="AH530" s="0" t="inlineStr">
        <is>
          <t>,</t>
        </is>
      </c>
      <c r="AI530" s="0" t="inlineStr">
        <is>
          <t>(18,</t>
        </is>
      </c>
      <c r="AJ530" s="0" t="n">
        <v>2</v>
      </c>
      <c r="AK530" s="0" t="inlineStr">
        <is>
          <t>,</t>
        </is>
      </c>
      <c r="AL530" s="0" t="n">
        <v>4</v>
      </c>
      <c r="AM530" s="0" t="inlineStr">
        <is>
          <t>,</t>
        </is>
      </c>
      <c r="AN530" s="0">
        <f>AN526*2</f>
        <v/>
      </c>
      <c r="AO530" s="0" t="inlineStr">
        <is>
          <t>)</t>
        </is>
      </c>
      <c r="AP530" s="0" t="inlineStr">
        <is>
          <t>,</t>
        </is>
      </c>
      <c r="AQ530" s="0" t="inlineStr">
        <is>
          <t>(18,</t>
        </is>
      </c>
      <c r="AR530" s="0" t="n">
        <v>2</v>
      </c>
      <c r="AS530" s="0" t="inlineStr">
        <is>
          <t>,</t>
        </is>
      </c>
      <c r="AT530" s="0" t="n">
        <v>5</v>
      </c>
      <c r="AU530" s="0" t="inlineStr">
        <is>
          <t>,</t>
        </is>
      </c>
      <c r="AV530" s="0">
        <f>AV526*2</f>
        <v/>
      </c>
      <c r="AW530" s="0" t="inlineStr">
        <is>
          <t>)</t>
        </is>
      </c>
      <c r="AX530" s="0" t="inlineStr">
        <is>
          <t>,</t>
        </is>
      </c>
      <c r="AY530" s="0" t="inlineStr">
        <is>
          <t>(18,</t>
        </is>
      </c>
      <c r="AZ530" s="0" t="n">
        <v>2</v>
      </c>
      <c r="BA530" s="0" t="inlineStr">
        <is>
          <t>,</t>
        </is>
      </c>
      <c r="BB530" s="0" t="n">
        <v>6</v>
      </c>
      <c r="BC530" s="0" t="inlineStr">
        <is>
          <t>,</t>
        </is>
      </c>
      <c r="BD530" s="0">
        <f>BD526*2</f>
        <v/>
      </c>
      <c r="BE530" s="0" t="inlineStr">
        <is>
          <t>)</t>
        </is>
      </c>
      <c r="BF530" s="0" t="inlineStr">
        <is>
          <t>,</t>
        </is>
      </c>
    </row>
    <row r="531">
      <c r="A531" s="151" t="inlineStr">
        <is>
          <t xml:space="preserve">(18, 2, 7, 1000000), (18, 2, 8, 800000), (18, 2, 9, 500000), </t>
        </is>
      </c>
      <c r="B531" s="0">
        <f>CONCATENATE(C530,D530,E530,F530,G530,H530,I530,J530,K530,L530,M530,N530,O530,P530,Q530,R530,S530,T530,U530,V530,W530,X530,Y530,Z530,AA530,AB530,AC530,AD530,AE530,AF530,AG530,AH530,AI530,AJ530,AK530,AL530,AM530,AN530,AO530,AP530,AQ530,AR530,AS530,AT530,AU530,AV530,AW530,AX530,AY530,AZ530,BA530,BB530,BC530,BD530,BE530,BF530,BG530,BH530)</f>
        <v/>
      </c>
      <c r="C531" s="0" t="inlineStr">
        <is>
          <t>(18,</t>
        </is>
      </c>
      <c r="D531" s="0" t="n">
        <v>2</v>
      </c>
      <c r="E531" s="0" t="inlineStr">
        <is>
          <t>,</t>
        </is>
      </c>
      <c r="F531" s="0" t="n">
        <v>7</v>
      </c>
      <c r="G531" s="0" t="inlineStr">
        <is>
          <t>,</t>
        </is>
      </c>
      <c r="H531" s="0" t="n">
        <v>100</v>
      </c>
      <c r="I531" s="0" t="inlineStr">
        <is>
          <t>)</t>
        </is>
      </c>
      <c r="J531" s="0" t="inlineStr">
        <is>
          <t>,</t>
        </is>
      </c>
      <c r="K531" s="0" t="inlineStr">
        <is>
          <t>(18,</t>
        </is>
      </c>
      <c r="L531" s="0" t="n">
        <v>2</v>
      </c>
      <c r="M531" s="0" t="inlineStr">
        <is>
          <t>,</t>
        </is>
      </c>
      <c r="N531" s="0" t="n">
        <v>8</v>
      </c>
      <c r="O531" s="0" t="inlineStr">
        <is>
          <t>,</t>
        </is>
      </c>
      <c r="P531" s="0">
        <f>P527*2</f>
        <v/>
      </c>
      <c r="Q531" s="0" t="inlineStr">
        <is>
          <t>)</t>
        </is>
      </c>
      <c r="R531" s="0" t="inlineStr">
        <is>
          <t>,</t>
        </is>
      </c>
      <c r="S531" s="0" t="inlineStr">
        <is>
          <t>(18,</t>
        </is>
      </c>
      <c r="T531" s="0" t="n">
        <v>2</v>
      </c>
      <c r="U531" s="0" t="inlineStr">
        <is>
          <t>,</t>
        </is>
      </c>
      <c r="V531" s="0" t="n">
        <v>9</v>
      </c>
      <c r="W531" s="0" t="inlineStr">
        <is>
          <t>,</t>
        </is>
      </c>
      <c r="X531" s="0">
        <f>X527*2</f>
        <v/>
      </c>
      <c r="Y531" s="0" t="inlineStr">
        <is>
          <t>)</t>
        </is>
      </c>
      <c r="Z531" s="0" t="inlineStr">
        <is>
          <t>,</t>
        </is>
      </c>
    </row>
    <row r="532">
      <c r="B532" s="0">
        <f>CONCATENATE(C531,D531,E531,F531,G531,H531,I531,J531,K531,L531,M531,N531,O531,P531,Q531,R531,S531,T531,U531,V531,W531,X531,Y531,Z531,AA531,AB531,AC531,AD531,AE531,AF531,AG531,AH531,AI531,AJ531,AK531,AL531,AM531,AN531,AO531,AP531,AQ531,AR531,AS531,AT531,AU531,AV531,AW531,AX531,AY531,AZ531,BA531,BB531,BC531,BD531,BE531,BF531,BG531,BH531)</f>
        <v/>
      </c>
    </row>
    <row r="533">
      <c r="A533" s="151" t="inlineStr">
        <is>
          <t xml:space="preserve">(18, 3, 0, 300), (18, 3, 1, 2500000), (18, 3, 2, 10000000), (18, 3, 3, 5000000),(18, 3, 4, 3000000), (18, 3, 5, 2000000), (18, 3, 6, 1000000), </t>
        </is>
      </c>
      <c r="B533" s="0">
        <f>CONCATENATE(C532,D532,E532,F532,G532,H532,I532,J532,K532,L532,M532,N532,O532,P532,Q532,R532,S532,T532,U532,V532,W532,X532,Y532,Z532,AA532,AB532,AC532,AD532,AE532,AF532,AG532,AH532,AI532,AJ532,AK532,AL532,AM532,AN532,AO532,AP532,AQ532,AR532,AS532,AT532,AU532,AV532,AW532,AX532,AY532,AZ532,BA532,BB532,BC532,BD532,BE532,BF532,BG532,BH532)</f>
        <v/>
      </c>
      <c r="C533" s="0" t="inlineStr">
        <is>
          <t>(18,</t>
        </is>
      </c>
      <c r="D533" s="0" t="n">
        <v>3</v>
      </c>
      <c r="E533" s="0" t="inlineStr">
        <is>
          <t>,</t>
        </is>
      </c>
      <c r="F533" s="0" t="n">
        <v>0</v>
      </c>
      <c r="G533" s="0" t="inlineStr">
        <is>
          <t>,</t>
        </is>
      </c>
      <c r="H533" s="0" t="n">
        <v>50</v>
      </c>
      <c r="I533" s="0" t="inlineStr">
        <is>
          <t>)</t>
        </is>
      </c>
      <c r="J533" s="0" t="inlineStr">
        <is>
          <t>,</t>
        </is>
      </c>
      <c r="K533" s="0" t="inlineStr">
        <is>
          <t>(18,</t>
        </is>
      </c>
      <c r="L533" s="0" t="n">
        <v>3</v>
      </c>
      <c r="M533" s="0" t="inlineStr">
        <is>
          <t>,</t>
        </is>
      </c>
      <c r="N533" s="0" t="n">
        <v>1</v>
      </c>
      <c r="O533" s="0" t="inlineStr">
        <is>
          <t>,</t>
        </is>
      </c>
      <c r="P533" s="0">
        <f>P526*3</f>
        <v/>
      </c>
      <c r="Q533" s="0" t="inlineStr">
        <is>
          <t>)</t>
        </is>
      </c>
      <c r="R533" s="0" t="inlineStr">
        <is>
          <t>,</t>
        </is>
      </c>
      <c r="S533" s="0" t="inlineStr">
        <is>
          <t>(18,</t>
        </is>
      </c>
      <c r="T533" s="0" t="n">
        <v>3</v>
      </c>
      <c r="U533" s="0" t="inlineStr">
        <is>
          <t>,</t>
        </is>
      </c>
      <c r="V533" s="0" t="n">
        <v>2</v>
      </c>
      <c r="W533" s="0" t="inlineStr">
        <is>
          <t>,</t>
        </is>
      </c>
      <c r="X533" s="0">
        <f>X526*3</f>
        <v/>
      </c>
      <c r="Y533" s="0" t="inlineStr">
        <is>
          <t>)</t>
        </is>
      </c>
      <c r="Z533" s="0" t="inlineStr">
        <is>
          <t>,</t>
        </is>
      </c>
      <c r="AA533" s="0" t="inlineStr">
        <is>
          <t>(18,</t>
        </is>
      </c>
      <c r="AB533" s="0" t="n">
        <v>3</v>
      </c>
      <c r="AC533" s="0" t="inlineStr">
        <is>
          <t>,</t>
        </is>
      </c>
      <c r="AD533" s="0" t="n">
        <v>3</v>
      </c>
      <c r="AE533" s="0" t="inlineStr">
        <is>
          <t>,</t>
        </is>
      </c>
      <c r="AF533" s="0">
        <f>AF526*3</f>
        <v/>
      </c>
      <c r="AG533" s="0" t="inlineStr">
        <is>
          <t>)</t>
        </is>
      </c>
      <c r="AH533" s="0" t="inlineStr">
        <is>
          <t>,</t>
        </is>
      </c>
      <c r="AI533" s="0" t="inlineStr">
        <is>
          <t>(18,</t>
        </is>
      </c>
      <c r="AJ533" s="0" t="n">
        <v>3</v>
      </c>
      <c r="AK533" s="0" t="inlineStr">
        <is>
          <t>,</t>
        </is>
      </c>
      <c r="AL533" s="0" t="n">
        <v>4</v>
      </c>
      <c r="AM533" s="0" t="inlineStr">
        <is>
          <t>,</t>
        </is>
      </c>
      <c r="AN533" s="0">
        <f>AN526*3</f>
        <v/>
      </c>
      <c r="AO533" s="0" t="inlineStr">
        <is>
          <t>)</t>
        </is>
      </c>
      <c r="AP533" s="0" t="inlineStr">
        <is>
          <t>,</t>
        </is>
      </c>
      <c r="AQ533" s="0" t="inlineStr">
        <is>
          <t>(18,</t>
        </is>
      </c>
      <c r="AR533" s="0" t="n">
        <v>3</v>
      </c>
      <c r="AS533" s="0" t="inlineStr">
        <is>
          <t>,</t>
        </is>
      </c>
      <c r="AT533" s="0" t="n">
        <v>5</v>
      </c>
      <c r="AU533" s="0" t="inlineStr">
        <is>
          <t>,</t>
        </is>
      </c>
      <c r="AV533" s="0">
        <f>AV526*3</f>
        <v/>
      </c>
      <c r="AW533" s="0" t="inlineStr">
        <is>
          <t>)</t>
        </is>
      </c>
      <c r="AX533" s="0" t="inlineStr">
        <is>
          <t>,</t>
        </is>
      </c>
      <c r="AY533" s="0" t="inlineStr">
        <is>
          <t>(18,</t>
        </is>
      </c>
      <c r="AZ533" s="0" t="n">
        <v>3</v>
      </c>
      <c r="BA533" s="0" t="inlineStr">
        <is>
          <t>,</t>
        </is>
      </c>
      <c r="BB533" s="0" t="n">
        <v>6</v>
      </c>
      <c r="BC533" s="0" t="inlineStr">
        <is>
          <t>,</t>
        </is>
      </c>
      <c r="BD533" s="0">
        <f>BD526*3</f>
        <v/>
      </c>
      <c r="BE533" s="0" t="inlineStr">
        <is>
          <t>)</t>
        </is>
      </c>
      <c r="BF533" s="0" t="inlineStr">
        <is>
          <t>,</t>
        </is>
      </c>
    </row>
    <row r="534">
      <c r="A534" s="151" t="inlineStr">
        <is>
          <t xml:space="preserve">(18, 3, 7, 1000000), (18, 3, 8, 800000), (18, 3, 9, 500000), </t>
        </is>
      </c>
      <c r="B534" s="0">
        <f>CONCATENATE(C533,D533,E533,F533,G533,H533,I533,J533,K533,L533,M533,N533,O533,P533,Q533,R533,S533,T533,U533,V533,W533,X533,Y533,Z533,AA533,AB533,AC533,AD533,AE533,AF533,AG533,AH533,AI533,AJ533,AK533,AL533,AM533,AN533,AO533,AP533,AQ533,AR533,AS533,AT533,AU533,AV533,AW533,AX533,AY533,AZ533,BA533,BB533,BC533,BD533,BE533,BF533,BG533,BH533)</f>
        <v/>
      </c>
      <c r="C534" s="0" t="inlineStr">
        <is>
          <t>(18,</t>
        </is>
      </c>
      <c r="D534" s="0" t="n">
        <v>3</v>
      </c>
      <c r="E534" s="0" t="inlineStr">
        <is>
          <t>,</t>
        </is>
      </c>
      <c r="F534" s="0" t="n">
        <v>7</v>
      </c>
      <c r="G534" s="0" t="inlineStr">
        <is>
          <t>,</t>
        </is>
      </c>
      <c r="H534" s="0" t="n">
        <v>100</v>
      </c>
      <c r="I534" s="0" t="inlineStr">
        <is>
          <t>)</t>
        </is>
      </c>
      <c r="J534" s="0" t="inlineStr">
        <is>
          <t>,</t>
        </is>
      </c>
      <c r="K534" s="0" t="inlineStr">
        <is>
          <t>(18,</t>
        </is>
      </c>
      <c r="L534" s="0" t="n">
        <v>3</v>
      </c>
      <c r="M534" s="0" t="inlineStr">
        <is>
          <t>,</t>
        </is>
      </c>
      <c r="N534" s="0" t="n">
        <v>8</v>
      </c>
      <c r="O534" s="0" t="inlineStr">
        <is>
          <t>,</t>
        </is>
      </c>
      <c r="P534" s="0">
        <f>P527*3</f>
        <v/>
      </c>
      <c r="Q534" s="0" t="inlineStr">
        <is>
          <t>)</t>
        </is>
      </c>
      <c r="R534" s="0" t="inlineStr">
        <is>
          <t>,</t>
        </is>
      </c>
      <c r="S534" s="0" t="inlineStr">
        <is>
          <t>(18,</t>
        </is>
      </c>
      <c r="T534" s="0" t="n">
        <v>3</v>
      </c>
      <c r="U534" s="0" t="inlineStr">
        <is>
          <t>,</t>
        </is>
      </c>
      <c r="V534" s="0" t="n">
        <v>9</v>
      </c>
      <c r="W534" s="0" t="inlineStr">
        <is>
          <t>,</t>
        </is>
      </c>
      <c r="X534" s="0">
        <f>X527*3</f>
        <v/>
      </c>
      <c r="Y534" s="0" t="inlineStr">
        <is>
          <t>)</t>
        </is>
      </c>
      <c r="Z534" s="0" t="inlineStr">
        <is>
          <t>,</t>
        </is>
      </c>
    </row>
    <row r="535">
      <c r="B535" s="0">
        <f>CONCATENATE(C534,D534,E534,F534,G534,H534,I534,J534,K534,L534,M534,N534,O534,P534,Q534,R534,S534,T534,U534,V534,W534,X534,Y534,Z534,AA534,AB534,AC534,AD534,AE534,AF534,AG534,AH534,AI534,AJ534,AK534,AL534,AM534,AN534,AO534,AP534,AQ534,AR534,AS534,AT534,AU534,AV534,AW534,AX534,AY534,AZ534,BA534,BB534,BC534,BD534,BE534,BF534,BG534,BH534)</f>
        <v/>
      </c>
    </row>
    <row r="536">
      <c r="A536" s="151" t="inlineStr">
        <is>
          <t xml:space="preserve">(18, 4, 0, 400), (18, 4, 1, 2500000), (18, 4, 2, 10000000), (18, 4, 3, 5000000),(18, 4, 4, 3000000), (18, 4, 5, 2000000), (18, 4, 6, 1000000), </t>
        </is>
      </c>
      <c r="B536" s="0">
        <f>CONCATENATE(C535,D535,E535,F535,G535,H535,I535,J535,K535,L535,M535,N535,O535,P535,Q535,R535,S535,T535,U535,V535,W535,X535,Y535,Z535,AA535,AB535,AC535,AD535,AE535,AF535,AG535,AH535,AI535,AJ535,AK535,AL535,AM535,AN535,AO535,AP535,AQ535,AR535,AS535,AT535,AU535,AV535,AW535,AX535,AY535,AZ535,BA535,BB535,BC535,BD535,BE535,BF535,BG535,BH535)</f>
        <v/>
      </c>
      <c r="C536" s="0" t="inlineStr">
        <is>
          <t>(18,</t>
        </is>
      </c>
      <c r="D536" s="0" t="n">
        <v>4</v>
      </c>
      <c r="E536" s="0" t="inlineStr">
        <is>
          <t>,</t>
        </is>
      </c>
      <c r="F536" s="0" t="n">
        <v>0</v>
      </c>
      <c r="G536" s="0" t="inlineStr">
        <is>
          <t>,</t>
        </is>
      </c>
      <c r="H536" s="0" t="n">
        <v>100</v>
      </c>
      <c r="I536" s="0" t="inlineStr">
        <is>
          <t>)</t>
        </is>
      </c>
      <c r="J536" s="0" t="inlineStr">
        <is>
          <t>,</t>
        </is>
      </c>
      <c r="K536" s="0" t="inlineStr">
        <is>
          <t>(18,</t>
        </is>
      </c>
      <c r="L536" s="0" t="n">
        <v>4</v>
      </c>
      <c r="M536" s="0" t="inlineStr">
        <is>
          <t>,</t>
        </is>
      </c>
      <c r="N536" s="0" t="n">
        <v>1</v>
      </c>
      <c r="O536" s="0" t="inlineStr">
        <is>
          <t>,</t>
        </is>
      </c>
      <c r="P536" s="0">
        <f>P526*5</f>
        <v/>
      </c>
      <c r="Q536" s="0" t="inlineStr">
        <is>
          <t>)</t>
        </is>
      </c>
      <c r="R536" s="0" t="inlineStr">
        <is>
          <t>,</t>
        </is>
      </c>
      <c r="S536" s="0" t="inlineStr">
        <is>
          <t>(18,</t>
        </is>
      </c>
      <c r="T536" s="0" t="n">
        <v>4</v>
      </c>
      <c r="U536" s="0" t="inlineStr">
        <is>
          <t>,</t>
        </is>
      </c>
      <c r="V536" s="0" t="n">
        <v>2</v>
      </c>
      <c r="W536" s="0" t="inlineStr">
        <is>
          <t>,</t>
        </is>
      </c>
      <c r="X536" s="0">
        <f>X526*5</f>
        <v/>
      </c>
      <c r="Y536" s="0" t="inlineStr">
        <is>
          <t>)</t>
        </is>
      </c>
      <c r="Z536" s="0" t="inlineStr">
        <is>
          <t>,</t>
        </is>
      </c>
      <c r="AA536" s="0" t="inlineStr">
        <is>
          <t>(18,</t>
        </is>
      </c>
      <c r="AB536" s="0" t="n">
        <v>4</v>
      </c>
      <c r="AC536" s="0" t="inlineStr">
        <is>
          <t>,</t>
        </is>
      </c>
      <c r="AD536" s="0" t="n">
        <v>3</v>
      </c>
      <c r="AE536" s="0" t="inlineStr">
        <is>
          <t>,</t>
        </is>
      </c>
      <c r="AF536" s="0">
        <f>AF526*5</f>
        <v/>
      </c>
      <c r="AG536" s="0" t="inlineStr">
        <is>
          <t>)</t>
        </is>
      </c>
      <c r="AH536" s="0" t="inlineStr">
        <is>
          <t>,</t>
        </is>
      </c>
      <c r="AI536" s="0" t="inlineStr">
        <is>
          <t>(18,</t>
        </is>
      </c>
      <c r="AJ536" s="0" t="n">
        <v>4</v>
      </c>
      <c r="AK536" s="0" t="inlineStr">
        <is>
          <t>,</t>
        </is>
      </c>
      <c r="AL536" s="0" t="n">
        <v>4</v>
      </c>
      <c r="AM536" s="0" t="inlineStr">
        <is>
          <t>,</t>
        </is>
      </c>
      <c r="AN536" s="0">
        <f>AN526*5</f>
        <v/>
      </c>
      <c r="AO536" s="0" t="inlineStr">
        <is>
          <t>)</t>
        </is>
      </c>
      <c r="AP536" s="0" t="inlineStr">
        <is>
          <t>,</t>
        </is>
      </c>
      <c r="AQ536" s="0" t="inlineStr">
        <is>
          <t>(18,</t>
        </is>
      </c>
      <c r="AR536" s="0" t="n">
        <v>4</v>
      </c>
      <c r="AS536" s="0" t="inlineStr">
        <is>
          <t>,</t>
        </is>
      </c>
      <c r="AT536" s="0" t="n">
        <v>5</v>
      </c>
      <c r="AU536" s="0" t="inlineStr">
        <is>
          <t>,</t>
        </is>
      </c>
      <c r="AV536" s="0">
        <f>AV526*5</f>
        <v/>
      </c>
      <c r="AW536" s="0" t="inlineStr">
        <is>
          <t>)</t>
        </is>
      </c>
      <c r="AX536" s="0" t="inlineStr">
        <is>
          <t>,</t>
        </is>
      </c>
      <c r="AY536" s="0" t="inlineStr">
        <is>
          <t>(18,</t>
        </is>
      </c>
      <c r="AZ536" s="0" t="n">
        <v>4</v>
      </c>
      <c r="BA536" s="0" t="inlineStr">
        <is>
          <t>,</t>
        </is>
      </c>
      <c r="BB536" s="0" t="n">
        <v>6</v>
      </c>
      <c r="BC536" s="0" t="inlineStr">
        <is>
          <t>,</t>
        </is>
      </c>
      <c r="BD536" s="0">
        <f>BD526*5</f>
        <v/>
      </c>
      <c r="BE536" s="0" t="inlineStr">
        <is>
          <t>)</t>
        </is>
      </c>
      <c r="BF536" s="0" t="inlineStr">
        <is>
          <t>,</t>
        </is>
      </c>
    </row>
    <row r="537">
      <c r="A537" s="151" t="inlineStr">
        <is>
          <t xml:space="preserve">(18, 4, 7, 1000000), (18, 4, 8, 800000), (18, 4, 9, 500000), </t>
        </is>
      </c>
      <c r="B537" s="0">
        <f>CONCATENATE(C536,D536,E536,F536,G536,H536,I536,J536,K536,L536,M536,N536,O536,P536,Q536,R536,S536,T536,U536,V536,W536,X536,Y536,Z536,AA536,AB536,AC536,AD536,AE536,AF536,AG536,AH536,AI536,AJ536,AK536,AL536,AM536,AN536,AO536,AP536,AQ536,AR536,AS536,AT536,AU536,AV536,AW536,AX536,AY536,AZ536,BA536,BB536,BC536,BD536,BE536,BF536,BG536,BH536)</f>
        <v/>
      </c>
      <c r="C537" s="0" t="inlineStr">
        <is>
          <t>(18,</t>
        </is>
      </c>
      <c r="D537" s="0" t="n">
        <v>4</v>
      </c>
      <c r="E537" s="0" t="inlineStr">
        <is>
          <t>,</t>
        </is>
      </c>
      <c r="F537" s="0" t="n">
        <v>7</v>
      </c>
      <c r="G537" s="0" t="inlineStr">
        <is>
          <t>,</t>
        </is>
      </c>
      <c r="H537" s="0" t="n">
        <v>100</v>
      </c>
      <c r="I537" s="0" t="inlineStr">
        <is>
          <t>)</t>
        </is>
      </c>
      <c r="J537" s="0" t="inlineStr">
        <is>
          <t>,</t>
        </is>
      </c>
      <c r="K537" s="0" t="inlineStr">
        <is>
          <t>(18,</t>
        </is>
      </c>
      <c r="L537" s="0" t="n">
        <v>4</v>
      </c>
      <c r="M537" s="0" t="inlineStr">
        <is>
          <t>,</t>
        </is>
      </c>
      <c r="N537" s="0" t="n">
        <v>8</v>
      </c>
      <c r="O537" s="0" t="inlineStr">
        <is>
          <t>,</t>
        </is>
      </c>
      <c r="P537" s="0">
        <f>P527*5</f>
        <v/>
      </c>
      <c r="Q537" s="0" t="inlineStr">
        <is>
          <t>)</t>
        </is>
      </c>
      <c r="R537" s="0" t="inlineStr">
        <is>
          <t>,</t>
        </is>
      </c>
      <c r="S537" s="0" t="inlineStr">
        <is>
          <t>(18,</t>
        </is>
      </c>
      <c r="T537" s="0" t="n">
        <v>4</v>
      </c>
      <c r="U537" s="0" t="inlineStr">
        <is>
          <t>,</t>
        </is>
      </c>
      <c r="V537" s="0" t="n">
        <v>9</v>
      </c>
      <c r="W537" s="0" t="inlineStr">
        <is>
          <t>,</t>
        </is>
      </c>
      <c r="X537" s="0">
        <f>X527*5</f>
        <v/>
      </c>
      <c r="Y537" s="0" t="inlineStr">
        <is>
          <t>)</t>
        </is>
      </c>
      <c r="Z537" s="0" t="inlineStr">
        <is>
          <t>,</t>
        </is>
      </c>
    </row>
    <row r="538">
      <c r="B538" s="0">
        <f>CONCATENATE(C537,D537,E537,F537,G537,H537,I537,J537,K537,L537,M537,N537,O537,P537,Q537,R537,S537,T537,U537,V537,W537,X537,Y537,Z537,AA537,AB537,AC537,AD537,AE537,AF537,AG537,AH537,AI537,AJ537,AK537,AL537,AM537,AN537,AO537,AP537,AQ537,AR537,AS537,AT537,AU537,AV537,AW537,AX537,AY537,AZ537,BA537,BB537,BC537,BD537,BE537,BF537,BG537,BH537)</f>
        <v/>
      </c>
    </row>
    <row r="539">
      <c r="A539" s="151" t="inlineStr">
        <is>
          <t xml:space="preserve">(18, 5, 0, 500), (18, 5, 1, 2500000), (18, 5, 2, 10000000), (18, 5, 3, 5000000),(18, 5, 4, 3000000), (18, 5, 5, 2000000), (18, 5, 6, 1000000), </t>
        </is>
      </c>
      <c r="B539" s="0">
        <f>CONCATENATE(C538,D538,E538,F538,G538,H538,I538,J538,K538,L538,M538,N538,O538,P538,Q538,R538,S538,T538,U538,V538,W538,X538,Y538,Z538,AA538,AB538,AC538,AD538,AE538,AF538,AG538,AH538,AI538,AJ538,AK538,AL538,AM538,AN538,AO538,AP538,AQ538,AR538,AS538,AT538,AU538,AV538,AW538,AX538,AY538,AZ538,BA538,BB538,BC538,BD538,BE538,BF538,BG538,BH538)</f>
        <v/>
      </c>
      <c r="C539" s="0" t="inlineStr">
        <is>
          <t>(18,</t>
        </is>
      </c>
      <c r="D539" s="0" t="n">
        <v>5</v>
      </c>
      <c r="E539" s="0" t="inlineStr">
        <is>
          <t>,</t>
        </is>
      </c>
      <c r="F539" s="0" t="n">
        <v>0</v>
      </c>
      <c r="G539" s="0" t="inlineStr">
        <is>
          <t>,</t>
        </is>
      </c>
      <c r="H539" s="0" t="n">
        <v>150</v>
      </c>
      <c r="I539" s="0" t="inlineStr">
        <is>
          <t>)</t>
        </is>
      </c>
      <c r="J539" s="0" t="inlineStr">
        <is>
          <t>,</t>
        </is>
      </c>
      <c r="K539" s="0" t="inlineStr">
        <is>
          <t>(18,</t>
        </is>
      </c>
      <c r="L539" s="0" t="n">
        <v>5</v>
      </c>
      <c r="M539" s="0" t="inlineStr">
        <is>
          <t>,</t>
        </is>
      </c>
      <c r="N539" s="0" t="n">
        <v>1</v>
      </c>
      <c r="O539" s="0" t="inlineStr">
        <is>
          <t>,</t>
        </is>
      </c>
      <c r="P539" s="0">
        <f>P526*6</f>
        <v/>
      </c>
      <c r="Q539" s="0" t="inlineStr">
        <is>
          <t>)</t>
        </is>
      </c>
      <c r="R539" s="0" t="inlineStr">
        <is>
          <t>,</t>
        </is>
      </c>
      <c r="S539" s="0" t="inlineStr">
        <is>
          <t>(18,</t>
        </is>
      </c>
      <c r="T539" s="0" t="n">
        <v>5</v>
      </c>
      <c r="U539" s="0" t="inlineStr">
        <is>
          <t>,</t>
        </is>
      </c>
      <c r="V539" s="0" t="n">
        <v>2</v>
      </c>
      <c r="W539" s="0" t="inlineStr">
        <is>
          <t>,</t>
        </is>
      </c>
      <c r="X539" s="0">
        <f>X526*6</f>
        <v/>
      </c>
      <c r="Y539" s="0" t="inlineStr">
        <is>
          <t>)</t>
        </is>
      </c>
      <c r="Z539" s="0" t="inlineStr">
        <is>
          <t>,</t>
        </is>
      </c>
      <c r="AA539" s="0" t="inlineStr">
        <is>
          <t>(18,</t>
        </is>
      </c>
      <c r="AB539" s="0" t="n">
        <v>5</v>
      </c>
      <c r="AC539" s="0" t="inlineStr">
        <is>
          <t>,</t>
        </is>
      </c>
      <c r="AD539" s="0" t="n">
        <v>3</v>
      </c>
      <c r="AE539" s="0" t="inlineStr">
        <is>
          <t>,</t>
        </is>
      </c>
      <c r="AF539" s="0">
        <f>AF526*6</f>
        <v/>
      </c>
      <c r="AG539" s="0" t="inlineStr">
        <is>
          <t>)</t>
        </is>
      </c>
      <c r="AH539" s="0" t="inlineStr">
        <is>
          <t>,</t>
        </is>
      </c>
      <c r="AI539" s="0" t="inlineStr">
        <is>
          <t>(18,</t>
        </is>
      </c>
      <c r="AJ539" s="0" t="n">
        <v>5</v>
      </c>
      <c r="AK539" s="0" t="inlineStr">
        <is>
          <t>,</t>
        </is>
      </c>
      <c r="AL539" s="0" t="n">
        <v>4</v>
      </c>
      <c r="AM539" s="0" t="inlineStr">
        <is>
          <t>,</t>
        </is>
      </c>
      <c r="AN539" s="0">
        <f>AN526*6</f>
        <v/>
      </c>
      <c r="AO539" s="0" t="inlineStr">
        <is>
          <t>)</t>
        </is>
      </c>
      <c r="AP539" s="0" t="inlineStr">
        <is>
          <t>,</t>
        </is>
      </c>
      <c r="AQ539" s="0" t="inlineStr">
        <is>
          <t>(18,</t>
        </is>
      </c>
      <c r="AR539" s="0" t="n">
        <v>5</v>
      </c>
      <c r="AS539" s="0" t="inlineStr">
        <is>
          <t>,</t>
        </is>
      </c>
      <c r="AT539" s="0" t="n">
        <v>5</v>
      </c>
      <c r="AU539" s="0" t="inlineStr">
        <is>
          <t>,</t>
        </is>
      </c>
      <c r="AV539" s="0">
        <f>AV526*6</f>
        <v/>
      </c>
      <c r="AW539" s="0" t="inlineStr">
        <is>
          <t>)</t>
        </is>
      </c>
      <c r="AX539" s="0" t="inlineStr">
        <is>
          <t>,</t>
        </is>
      </c>
      <c r="AY539" s="0" t="inlineStr">
        <is>
          <t>(18,</t>
        </is>
      </c>
      <c r="AZ539" s="0" t="n">
        <v>5</v>
      </c>
      <c r="BA539" s="0" t="inlineStr">
        <is>
          <t>,</t>
        </is>
      </c>
      <c r="BB539" s="0" t="n">
        <v>6</v>
      </c>
      <c r="BC539" s="0" t="inlineStr">
        <is>
          <t>,</t>
        </is>
      </c>
      <c r="BD539" s="0">
        <f>BD526*6</f>
        <v/>
      </c>
      <c r="BE539" s="0" t="inlineStr">
        <is>
          <t>)</t>
        </is>
      </c>
      <c r="BF539" s="0" t="inlineStr">
        <is>
          <t>,</t>
        </is>
      </c>
    </row>
    <row r="540">
      <c r="A540" s="151" t="inlineStr">
        <is>
          <t xml:space="preserve">(18, 5, 7, 1000000), (18, 5, 8, 800000), (18, 5, 9, 500000), </t>
        </is>
      </c>
      <c r="B540" s="0">
        <f>CONCATENATE(C539,D539,E539,F539,G539,H539,I539,J539,K539,L539,M539,N539,O539,P539,Q539,R539,S539,T539,U539,V539,W539,X539,Y539,Z539,AA539,AB539,AC539,AD539,AE539,AF539,AG539,AH539,AI539,AJ539,AK539,AL539,AM539,AN539,AO539,AP539,AQ539,AR539,AS539,AT539,AU539,AV539,AW539,AX539,AY539,AZ539,BA539,BB539,BC539,BD539,BE539,BF539,BG539,BH539)</f>
        <v/>
      </c>
      <c r="C540" s="0" t="inlineStr">
        <is>
          <t>(18,</t>
        </is>
      </c>
      <c r="D540" s="0" t="n">
        <v>5</v>
      </c>
      <c r="E540" s="0" t="inlineStr">
        <is>
          <t>,</t>
        </is>
      </c>
      <c r="F540" s="0" t="n">
        <v>7</v>
      </c>
      <c r="G540" s="0" t="inlineStr">
        <is>
          <t>,</t>
        </is>
      </c>
      <c r="H540" s="0" t="n">
        <v>100</v>
      </c>
      <c r="I540" s="0" t="inlineStr">
        <is>
          <t>)</t>
        </is>
      </c>
      <c r="J540" s="0" t="inlineStr">
        <is>
          <t>,</t>
        </is>
      </c>
      <c r="K540" s="0" t="inlineStr">
        <is>
          <t>(18,</t>
        </is>
      </c>
      <c r="L540" s="0" t="n">
        <v>5</v>
      </c>
      <c r="M540" s="0" t="inlineStr">
        <is>
          <t>,</t>
        </is>
      </c>
      <c r="N540" s="0" t="n">
        <v>8</v>
      </c>
      <c r="O540" s="0" t="inlineStr">
        <is>
          <t>,</t>
        </is>
      </c>
      <c r="P540" s="0">
        <f>P527*6</f>
        <v/>
      </c>
      <c r="Q540" s="0" t="inlineStr">
        <is>
          <t>)</t>
        </is>
      </c>
      <c r="R540" s="0" t="inlineStr">
        <is>
          <t>,</t>
        </is>
      </c>
      <c r="S540" s="0" t="inlineStr">
        <is>
          <t>(18,</t>
        </is>
      </c>
      <c r="T540" s="0" t="n">
        <v>5</v>
      </c>
      <c r="U540" s="0" t="inlineStr">
        <is>
          <t>,</t>
        </is>
      </c>
      <c r="V540" s="0" t="n">
        <v>9</v>
      </c>
      <c r="W540" s="0" t="inlineStr">
        <is>
          <t>,</t>
        </is>
      </c>
      <c r="X540" s="0">
        <f>X527*6</f>
        <v/>
      </c>
      <c r="Y540" s="0" t="inlineStr">
        <is>
          <t>)</t>
        </is>
      </c>
      <c r="Z540" s="0" t="inlineStr">
        <is>
          <t>,</t>
        </is>
      </c>
    </row>
    <row r="541">
      <c r="B541" s="0">
        <f>CONCATENATE(C540,D540,E540,F540,G540,H540,I540,J540,K540,L540,M540,N540,O540,P540,Q540,R540,S540,T540,U540,V540,W540,X540,Y540,Z540,AA540,AB540,AC540,AD540,AE540,AF540,AG540,AH540,AI540,AJ540,AK540,AL540,AM540,AN540,AO540,AP540,AQ540,AR540,AS540,AT540,AU540,AV540,AW540,AX540,AY540,AZ540,BA540,BB540,BC540,BD540,BE540,BF540,BG540,BH540)</f>
        <v/>
      </c>
    </row>
    <row r="542">
      <c r="A542" s="151" t="inlineStr">
        <is>
          <t xml:space="preserve">(18, 6, 0, 600), (18, 6, 1, 2500000), (18, 6, 2, 10000000), (18, 6, 3, 5000000),(18, 6, 4, 3000000), (18, 6, 5, 2000000), (18, 6, 6, 1000000), </t>
        </is>
      </c>
      <c r="B542" s="0">
        <f>CONCATENATE(C541,D541,E541,F541,G541,H541,I541,J541,K541,L541,M541,N541,O541,P541,Q541,R541,S541,T541,U541,V541,W541,X541,Y541,Z541,AA541,AB541,AC541,AD541,AE541,AF541,AG541,AH541,AI541,AJ541,AK541,AL541,AM541,AN541,AO541,AP541,AQ541,AR541,AS541,AT541,AU541,AV541,AW541,AX541,AY541,AZ541,BA541,BB541,BC541,BD541,BE541,BF541,BG541,BH541)</f>
        <v/>
      </c>
      <c r="C542" s="0" t="inlineStr">
        <is>
          <t>(18,</t>
        </is>
      </c>
      <c r="D542" s="0" t="n">
        <v>6</v>
      </c>
      <c r="E542" s="0" t="inlineStr">
        <is>
          <t>,</t>
        </is>
      </c>
      <c r="F542" s="0" t="n">
        <v>0</v>
      </c>
      <c r="G542" s="0" t="inlineStr">
        <is>
          <t>,</t>
        </is>
      </c>
      <c r="H542" s="0" t="n">
        <v>200</v>
      </c>
      <c r="I542" s="0" t="inlineStr">
        <is>
          <t>)</t>
        </is>
      </c>
      <c r="J542" s="0" t="inlineStr">
        <is>
          <t>,</t>
        </is>
      </c>
      <c r="K542" s="0" t="inlineStr">
        <is>
          <t>(18,</t>
        </is>
      </c>
      <c r="L542" s="0" t="n">
        <v>6</v>
      </c>
      <c r="M542" s="0" t="inlineStr">
        <is>
          <t>,</t>
        </is>
      </c>
      <c r="N542" s="0" t="n">
        <v>1</v>
      </c>
      <c r="O542" s="0" t="inlineStr">
        <is>
          <t>,</t>
        </is>
      </c>
      <c r="P542" s="0">
        <f>P526*7</f>
        <v/>
      </c>
      <c r="Q542" s="0" t="inlineStr">
        <is>
          <t>)</t>
        </is>
      </c>
      <c r="R542" s="0" t="inlineStr">
        <is>
          <t>,</t>
        </is>
      </c>
      <c r="S542" s="0" t="inlineStr">
        <is>
          <t>(18,</t>
        </is>
      </c>
      <c r="T542" s="0" t="n">
        <v>6</v>
      </c>
      <c r="U542" s="0" t="inlineStr">
        <is>
          <t>,</t>
        </is>
      </c>
      <c r="V542" s="0" t="n">
        <v>2</v>
      </c>
      <c r="W542" s="0" t="inlineStr">
        <is>
          <t>,</t>
        </is>
      </c>
      <c r="X542" s="0">
        <f>X526*7</f>
        <v/>
      </c>
      <c r="Y542" s="0" t="inlineStr">
        <is>
          <t>)</t>
        </is>
      </c>
      <c r="Z542" s="0" t="inlineStr">
        <is>
          <t>,</t>
        </is>
      </c>
      <c r="AA542" s="0" t="inlineStr">
        <is>
          <t>(18,</t>
        </is>
      </c>
      <c r="AB542" s="0" t="n">
        <v>6</v>
      </c>
      <c r="AC542" s="0" t="inlineStr">
        <is>
          <t>,</t>
        </is>
      </c>
      <c r="AD542" s="0" t="n">
        <v>3</v>
      </c>
      <c r="AE542" s="0" t="inlineStr">
        <is>
          <t>,</t>
        </is>
      </c>
      <c r="AF542" s="0">
        <f>AF526*7</f>
        <v/>
      </c>
      <c r="AG542" s="0" t="inlineStr">
        <is>
          <t>)</t>
        </is>
      </c>
      <c r="AH542" s="0" t="inlineStr">
        <is>
          <t>,</t>
        </is>
      </c>
      <c r="AI542" s="0" t="inlineStr">
        <is>
          <t>(18,</t>
        </is>
      </c>
      <c r="AJ542" s="0" t="n">
        <v>6</v>
      </c>
      <c r="AK542" s="0" t="inlineStr">
        <is>
          <t>,</t>
        </is>
      </c>
      <c r="AL542" s="0" t="n">
        <v>4</v>
      </c>
      <c r="AM542" s="0" t="inlineStr">
        <is>
          <t>,</t>
        </is>
      </c>
      <c r="AN542" s="0">
        <f>AN526*7</f>
        <v/>
      </c>
      <c r="AO542" s="0" t="inlineStr">
        <is>
          <t>)</t>
        </is>
      </c>
      <c r="AP542" s="0" t="inlineStr">
        <is>
          <t>,</t>
        </is>
      </c>
      <c r="AQ542" s="0" t="inlineStr">
        <is>
          <t>(18,</t>
        </is>
      </c>
      <c r="AR542" s="0" t="n">
        <v>6</v>
      </c>
      <c r="AS542" s="0" t="inlineStr">
        <is>
          <t>,</t>
        </is>
      </c>
      <c r="AT542" s="0" t="n">
        <v>5</v>
      </c>
      <c r="AU542" s="0" t="inlineStr">
        <is>
          <t>,</t>
        </is>
      </c>
      <c r="AV542" s="0">
        <f>AV526*7</f>
        <v/>
      </c>
      <c r="AW542" s="0" t="inlineStr">
        <is>
          <t>)</t>
        </is>
      </c>
      <c r="AX542" s="0" t="inlineStr">
        <is>
          <t>,</t>
        </is>
      </c>
      <c r="AY542" s="0" t="inlineStr">
        <is>
          <t>(18,</t>
        </is>
      </c>
      <c r="AZ542" s="0" t="n">
        <v>6</v>
      </c>
      <c r="BA542" s="0" t="inlineStr">
        <is>
          <t>,</t>
        </is>
      </c>
      <c r="BB542" s="0" t="n">
        <v>6</v>
      </c>
      <c r="BC542" s="0" t="inlineStr">
        <is>
          <t>,</t>
        </is>
      </c>
      <c r="BD542" s="0">
        <f>BD526*7</f>
        <v/>
      </c>
      <c r="BE542" s="0" t="inlineStr">
        <is>
          <t>)</t>
        </is>
      </c>
      <c r="BF542" s="0" t="inlineStr">
        <is>
          <t>,</t>
        </is>
      </c>
    </row>
    <row r="543">
      <c r="A543" s="151" t="inlineStr">
        <is>
          <t xml:space="preserve">(18, 6, 7, 1000000), (18, 6, 8, 800000), (18, 6, 9, 500000), </t>
        </is>
      </c>
      <c r="B543" s="0">
        <f>CONCATENATE(C542,D542,E542,F542,G542,H542,I542,J542,K542,L542,M542,N542,O542,P542,Q542,R542,S542,T542,U542,V542,W542,X542,Y542,Z542,AA542,AB542,AC542,AD542,AE542,AF542,AG542,AH542,AI542,AJ542,AK542,AL542,AM542,AN542,AO542,AP542,AQ542,AR542,AS542,AT542,AU542,AV542,AW542,AX542,AY542,AZ542,BA542,BB542,BC542,BD542,BE542,BF542,BG542,BH542)</f>
        <v/>
      </c>
      <c r="C543" s="0" t="inlineStr">
        <is>
          <t>(18,</t>
        </is>
      </c>
      <c r="D543" s="0" t="n">
        <v>6</v>
      </c>
      <c r="E543" s="0" t="inlineStr">
        <is>
          <t>,</t>
        </is>
      </c>
      <c r="F543" s="0" t="n">
        <v>7</v>
      </c>
      <c r="G543" s="0" t="inlineStr">
        <is>
          <t>,</t>
        </is>
      </c>
      <c r="H543" s="0" t="n">
        <v>100</v>
      </c>
      <c r="I543" s="0" t="inlineStr">
        <is>
          <t>)</t>
        </is>
      </c>
      <c r="J543" s="0" t="inlineStr">
        <is>
          <t>,</t>
        </is>
      </c>
      <c r="K543" s="0" t="inlineStr">
        <is>
          <t>(18,</t>
        </is>
      </c>
      <c r="L543" s="0" t="n">
        <v>6</v>
      </c>
      <c r="M543" s="0" t="inlineStr">
        <is>
          <t>,</t>
        </is>
      </c>
      <c r="N543" s="0" t="n">
        <v>8</v>
      </c>
      <c r="O543" s="0" t="inlineStr">
        <is>
          <t>,</t>
        </is>
      </c>
      <c r="P543" s="0">
        <f>P527*7</f>
        <v/>
      </c>
      <c r="Q543" s="0" t="inlineStr">
        <is>
          <t>)</t>
        </is>
      </c>
      <c r="R543" s="0" t="inlineStr">
        <is>
          <t>,</t>
        </is>
      </c>
      <c r="S543" s="0" t="inlineStr">
        <is>
          <t>(18,</t>
        </is>
      </c>
      <c r="T543" s="0" t="n">
        <v>6</v>
      </c>
      <c r="U543" s="0" t="inlineStr">
        <is>
          <t>,</t>
        </is>
      </c>
      <c r="V543" s="0" t="n">
        <v>9</v>
      </c>
      <c r="W543" s="0" t="inlineStr">
        <is>
          <t>,</t>
        </is>
      </c>
      <c r="X543" s="0">
        <f>X527*7</f>
        <v/>
      </c>
      <c r="Y543" s="0" t="inlineStr">
        <is>
          <t>)</t>
        </is>
      </c>
      <c r="Z543" s="0" t="inlineStr">
        <is>
          <t>,</t>
        </is>
      </c>
    </row>
    <row r="544">
      <c r="B544" s="0">
        <f>CONCATENATE(C543,D543,E543,F543,G543,H543,I543,J543,K543,L543,M543,N543,O543,P543,Q543,R543,S543,T543,U543,V543,W543,X543,Y543,Z543,AA543,AB543,AC543,AD543,AE543,AF543,AG543,AH543,AI543,AJ543,AK543,AL543,AM543,AN543,AO543,AP543,AQ543,AR543,AS543,AT543,AU543,AV543,AW543,AX543,AY543,AZ543,BA543,BB543,BC543,BD543,BE543,BF543,BG543,BH543)</f>
        <v/>
      </c>
    </row>
    <row r="545">
      <c r="A545" s="151" t="inlineStr">
        <is>
          <t xml:space="preserve">(18, 7, 0, 700), (18, 7, 1, 2500000), (18, 7, 2, 10000000), (18, 7, 3, 5000000),(18, 7, 4, 3000000), (18, 7, 5, 2000000), (18, 7, 6, 1000000), </t>
        </is>
      </c>
      <c r="B545" s="0">
        <f>CONCATENATE(C544,D544,E544,F544,G544,H544,I544,J544,K544,L544,M544,N544,O544,P544,Q544,R544,S544,T544,U544,V544,W544,X544,Y544,Z544,AA544,AB544,AC544,AD544,AE544,AF544,AG544,AH544,AI544,AJ544,AK544,AL544,AM544,AN544,AO544,AP544,AQ544,AR544,AS544,AT544,AU544,AV544,AW544,AX544,AY544,AZ544,BA544,BB544,BC544,BD544,BE544,BF544,BG544,BH544)</f>
        <v/>
      </c>
      <c r="C545" s="0" t="inlineStr">
        <is>
          <t>(18,</t>
        </is>
      </c>
      <c r="D545" s="0" t="n">
        <v>7</v>
      </c>
      <c r="E545" s="0" t="inlineStr">
        <is>
          <t>,</t>
        </is>
      </c>
      <c r="F545" s="0" t="n">
        <v>0</v>
      </c>
      <c r="G545" s="0" t="inlineStr">
        <is>
          <t>,</t>
        </is>
      </c>
      <c r="H545" s="0" t="n">
        <v>300</v>
      </c>
      <c r="I545" s="0" t="inlineStr">
        <is>
          <t>)</t>
        </is>
      </c>
      <c r="J545" s="0" t="inlineStr">
        <is>
          <t>,</t>
        </is>
      </c>
      <c r="K545" s="0" t="inlineStr">
        <is>
          <t>(18,</t>
        </is>
      </c>
      <c r="L545" s="0" t="n">
        <v>7</v>
      </c>
      <c r="M545" s="0" t="inlineStr">
        <is>
          <t>,</t>
        </is>
      </c>
      <c r="N545" s="0" t="n">
        <v>1</v>
      </c>
      <c r="O545" s="0" t="inlineStr">
        <is>
          <t>,</t>
        </is>
      </c>
      <c r="P545" s="0">
        <f>P526*8</f>
        <v/>
      </c>
      <c r="Q545" s="0" t="inlineStr">
        <is>
          <t>)</t>
        </is>
      </c>
      <c r="R545" s="0" t="inlineStr">
        <is>
          <t>,</t>
        </is>
      </c>
      <c r="S545" s="0" t="inlineStr">
        <is>
          <t>(18,</t>
        </is>
      </c>
      <c r="T545" s="0" t="n">
        <v>7</v>
      </c>
      <c r="U545" s="0" t="inlineStr">
        <is>
          <t>,</t>
        </is>
      </c>
      <c r="V545" s="0" t="n">
        <v>2</v>
      </c>
      <c r="W545" s="0" t="inlineStr">
        <is>
          <t>,</t>
        </is>
      </c>
      <c r="X545" s="0">
        <f>X526*8</f>
        <v/>
      </c>
      <c r="Y545" s="0" t="inlineStr">
        <is>
          <t>)</t>
        </is>
      </c>
      <c r="Z545" s="0" t="inlineStr">
        <is>
          <t>,</t>
        </is>
      </c>
      <c r="AA545" s="0" t="inlineStr">
        <is>
          <t>(18,</t>
        </is>
      </c>
      <c r="AB545" s="0" t="n">
        <v>7</v>
      </c>
      <c r="AC545" s="0" t="inlineStr">
        <is>
          <t>,</t>
        </is>
      </c>
      <c r="AD545" s="0" t="n">
        <v>3</v>
      </c>
      <c r="AE545" s="0" t="inlineStr">
        <is>
          <t>,</t>
        </is>
      </c>
      <c r="AF545" s="0">
        <f>AF526*8</f>
        <v/>
      </c>
      <c r="AG545" s="0" t="inlineStr">
        <is>
          <t>)</t>
        </is>
      </c>
      <c r="AH545" s="0" t="inlineStr">
        <is>
          <t>,</t>
        </is>
      </c>
      <c r="AI545" s="0" t="inlineStr">
        <is>
          <t>(18,</t>
        </is>
      </c>
      <c r="AJ545" s="0" t="n">
        <v>7</v>
      </c>
      <c r="AK545" s="0" t="inlineStr">
        <is>
          <t>,</t>
        </is>
      </c>
      <c r="AL545" s="0" t="n">
        <v>4</v>
      </c>
      <c r="AM545" s="0" t="inlineStr">
        <is>
          <t>,</t>
        </is>
      </c>
      <c r="AN545" s="0">
        <f>AN526*8</f>
        <v/>
      </c>
      <c r="AO545" s="0" t="inlineStr">
        <is>
          <t>)</t>
        </is>
      </c>
      <c r="AP545" s="0" t="inlineStr">
        <is>
          <t>,</t>
        </is>
      </c>
      <c r="AQ545" s="0" t="inlineStr">
        <is>
          <t>(18,</t>
        </is>
      </c>
      <c r="AR545" s="0" t="n">
        <v>7</v>
      </c>
      <c r="AS545" s="0" t="inlineStr">
        <is>
          <t>,</t>
        </is>
      </c>
      <c r="AT545" s="0" t="n">
        <v>5</v>
      </c>
      <c r="AU545" s="0" t="inlineStr">
        <is>
          <t>,</t>
        </is>
      </c>
      <c r="AV545" s="0">
        <f>AV526*8</f>
        <v/>
      </c>
      <c r="AW545" s="0" t="inlineStr">
        <is>
          <t>)</t>
        </is>
      </c>
      <c r="AX545" s="0" t="inlineStr">
        <is>
          <t>,</t>
        </is>
      </c>
      <c r="AY545" s="0" t="inlineStr">
        <is>
          <t>(18,</t>
        </is>
      </c>
      <c r="AZ545" s="0" t="n">
        <v>7</v>
      </c>
      <c r="BA545" s="0" t="inlineStr">
        <is>
          <t>,</t>
        </is>
      </c>
      <c r="BB545" s="0" t="n">
        <v>6</v>
      </c>
      <c r="BC545" s="0" t="inlineStr">
        <is>
          <t>,</t>
        </is>
      </c>
      <c r="BD545" s="0">
        <f>BD526*8</f>
        <v/>
      </c>
      <c r="BE545" s="0" t="inlineStr">
        <is>
          <t>)</t>
        </is>
      </c>
      <c r="BF545" s="0" t="inlineStr">
        <is>
          <t>,</t>
        </is>
      </c>
    </row>
    <row r="546">
      <c r="A546" s="151" t="inlineStr">
        <is>
          <t xml:space="preserve">(18, 7, 7, 1000000), (18, 7, 8, 800000), (18, 7, 9, 500000), </t>
        </is>
      </c>
      <c r="B546" s="0">
        <f>CONCATENATE(C545,D545,E545,F545,G545,H545,I545,J545,K545,L545,M545,N545,O545,P545,Q545,R545,S545,T545,U545,V545,W545,X545,Y545,Z545,AA545,AB545,AC545,AD545,AE545,AF545,AG545,AH545,AI545,AJ545,AK545,AL545,AM545,AN545,AO545,AP545,AQ545,AR545,AS545,AT545,AU545,AV545,AW545,AX545,AY545,AZ545,BA545,BB545,BC545,BD545,BE545,BF545,BG545,BH545)</f>
        <v/>
      </c>
      <c r="C546" s="0" t="inlineStr">
        <is>
          <t>(18,</t>
        </is>
      </c>
      <c r="D546" s="0" t="n">
        <v>7</v>
      </c>
      <c r="E546" s="0" t="inlineStr">
        <is>
          <t>,</t>
        </is>
      </c>
      <c r="F546" s="0" t="n">
        <v>7</v>
      </c>
      <c r="G546" s="0" t="inlineStr">
        <is>
          <t>,</t>
        </is>
      </c>
      <c r="H546" s="0" t="n">
        <v>100</v>
      </c>
      <c r="I546" s="0" t="inlineStr">
        <is>
          <t>)</t>
        </is>
      </c>
      <c r="J546" s="0" t="inlineStr">
        <is>
          <t>,</t>
        </is>
      </c>
      <c r="K546" s="0" t="inlineStr">
        <is>
          <t>(18,</t>
        </is>
      </c>
      <c r="L546" s="0" t="n">
        <v>7</v>
      </c>
      <c r="M546" s="0" t="inlineStr">
        <is>
          <t>,</t>
        </is>
      </c>
      <c r="N546" s="0" t="n">
        <v>8</v>
      </c>
      <c r="O546" s="0" t="inlineStr">
        <is>
          <t>,</t>
        </is>
      </c>
      <c r="P546" s="0">
        <f>P527*8</f>
        <v/>
      </c>
      <c r="Q546" s="0" t="inlineStr">
        <is>
          <t>)</t>
        </is>
      </c>
      <c r="R546" s="0" t="inlineStr">
        <is>
          <t>,</t>
        </is>
      </c>
      <c r="S546" s="0" t="inlineStr">
        <is>
          <t>(18,</t>
        </is>
      </c>
      <c r="T546" s="0" t="n">
        <v>7</v>
      </c>
      <c r="U546" s="0" t="inlineStr">
        <is>
          <t>,</t>
        </is>
      </c>
      <c r="V546" s="0" t="n">
        <v>9</v>
      </c>
      <c r="W546" s="0" t="inlineStr">
        <is>
          <t>,</t>
        </is>
      </c>
      <c r="X546" s="0">
        <f>X527*8</f>
        <v/>
      </c>
      <c r="Y546" s="0" t="inlineStr">
        <is>
          <t>)</t>
        </is>
      </c>
      <c r="Z546" s="0" t="inlineStr">
        <is>
          <t>,</t>
        </is>
      </c>
    </row>
    <row r="547">
      <c r="B547" s="0">
        <f>CONCATENATE(C546,D546,E546,F546,G546,H546,I546,J546,K546,L546,M546,N546,O546,P546,Q546,R546,S546,T546,U546,V546,W546,X546,Y546,Z546,AA546,AB546,AC546,AD546,AE546,AF546,AG546,AH546,AI546,AJ546,AK546,AL546,AM546,AN546,AO546,AP546,AQ546,AR546,AS546,AT546,AU546,AV546,AW546,AX546,AY546,AZ546,BA546,BB546,BC546,BD546,BE546,BF546,BG546,BH546)</f>
        <v/>
      </c>
    </row>
    <row r="548">
      <c r="A548" s="151" t="inlineStr">
        <is>
          <t xml:space="preserve">(18, 8, 0, 800), (18, 8, 1, 2500000), (18, 8, 2, 10000000), (18, 8, 3, 5000000),(18, 8, 4, 3000000), (18, 8, 5, 2000000), (18, 8, 6, 1000000), </t>
        </is>
      </c>
      <c r="B548" s="0">
        <f>CONCATENATE(C547,D547,E547,F547,G547,H547,I547,J547,K547,L547,M547,N547,O547,P547,Q547,R547,S547,T547,U547,V547,W547,X547,Y547,Z547,AA547,AB547,AC547,AD547,AE547,AF547,AG547,AH547,AI547,AJ547,AK547,AL547,AM547,AN547,AO547,AP547,AQ547,AR547,AS547,AT547,AU547,AV547,AW547,AX547,AY547,AZ547,BA547,BB547,BC547,BD547,BE547,BF547,BG547,BH547)</f>
        <v/>
      </c>
      <c r="C548" s="0" t="inlineStr">
        <is>
          <t>(18,</t>
        </is>
      </c>
      <c r="D548" s="0" t="n">
        <v>8</v>
      </c>
      <c r="E548" s="0" t="inlineStr">
        <is>
          <t>,</t>
        </is>
      </c>
      <c r="F548" s="0" t="n">
        <v>0</v>
      </c>
      <c r="G548" s="0" t="inlineStr">
        <is>
          <t>,</t>
        </is>
      </c>
      <c r="H548" s="0" t="n">
        <v>500</v>
      </c>
      <c r="I548" s="0" t="inlineStr">
        <is>
          <t>)</t>
        </is>
      </c>
      <c r="J548" s="0" t="inlineStr">
        <is>
          <t>,</t>
        </is>
      </c>
      <c r="K548" s="0" t="inlineStr">
        <is>
          <t>(18,</t>
        </is>
      </c>
      <c r="L548" s="0" t="n">
        <v>8</v>
      </c>
      <c r="M548" s="0" t="inlineStr">
        <is>
          <t>,</t>
        </is>
      </c>
      <c r="N548" s="0" t="n">
        <v>1</v>
      </c>
      <c r="O548" s="0" t="inlineStr">
        <is>
          <t>,</t>
        </is>
      </c>
      <c r="P548" s="0">
        <f>P526*10</f>
        <v/>
      </c>
      <c r="Q548" s="0" t="inlineStr">
        <is>
          <t>)</t>
        </is>
      </c>
      <c r="R548" s="0" t="inlineStr">
        <is>
          <t>,</t>
        </is>
      </c>
      <c r="S548" s="0" t="inlineStr">
        <is>
          <t>(18,</t>
        </is>
      </c>
      <c r="T548" s="0" t="n">
        <v>8</v>
      </c>
      <c r="U548" s="0" t="inlineStr">
        <is>
          <t>,</t>
        </is>
      </c>
      <c r="V548" s="0" t="n">
        <v>2</v>
      </c>
      <c r="W548" s="0" t="inlineStr">
        <is>
          <t>,</t>
        </is>
      </c>
      <c r="X548" s="0">
        <f>X526*10</f>
        <v/>
      </c>
      <c r="Y548" s="0" t="inlineStr">
        <is>
          <t>)</t>
        </is>
      </c>
      <c r="Z548" s="0" t="inlineStr">
        <is>
          <t>,</t>
        </is>
      </c>
      <c r="AA548" s="0" t="inlineStr">
        <is>
          <t>(18,</t>
        </is>
      </c>
      <c r="AB548" s="0" t="n">
        <v>8</v>
      </c>
      <c r="AC548" s="0" t="inlineStr">
        <is>
          <t>,</t>
        </is>
      </c>
      <c r="AD548" s="0" t="n">
        <v>3</v>
      </c>
      <c r="AE548" s="0" t="inlineStr">
        <is>
          <t>,</t>
        </is>
      </c>
      <c r="AF548" s="0">
        <f>AF526*10</f>
        <v/>
      </c>
      <c r="AG548" s="0" t="inlineStr">
        <is>
          <t>)</t>
        </is>
      </c>
      <c r="AH548" s="0" t="inlineStr">
        <is>
          <t>,</t>
        </is>
      </c>
      <c r="AI548" s="0" t="inlineStr">
        <is>
          <t>(18,</t>
        </is>
      </c>
      <c r="AJ548" s="0" t="n">
        <v>8</v>
      </c>
      <c r="AK548" s="0" t="inlineStr">
        <is>
          <t>,</t>
        </is>
      </c>
      <c r="AL548" s="0" t="n">
        <v>4</v>
      </c>
      <c r="AM548" s="0" t="inlineStr">
        <is>
          <t>,</t>
        </is>
      </c>
      <c r="AN548" s="0">
        <f>AN526*10</f>
        <v/>
      </c>
      <c r="AO548" s="0" t="inlineStr">
        <is>
          <t>)</t>
        </is>
      </c>
      <c r="AP548" s="0" t="inlineStr">
        <is>
          <t>,</t>
        </is>
      </c>
      <c r="AQ548" s="0" t="inlineStr">
        <is>
          <t>(18,</t>
        </is>
      </c>
      <c r="AR548" s="0" t="n">
        <v>8</v>
      </c>
      <c r="AS548" s="0" t="inlineStr">
        <is>
          <t>,</t>
        </is>
      </c>
      <c r="AT548" s="0" t="n">
        <v>5</v>
      </c>
      <c r="AU548" s="0" t="inlineStr">
        <is>
          <t>,</t>
        </is>
      </c>
      <c r="AV548" s="0">
        <f>AV526*10</f>
        <v/>
      </c>
      <c r="AW548" s="0" t="inlineStr">
        <is>
          <t>)</t>
        </is>
      </c>
      <c r="AX548" s="0" t="inlineStr">
        <is>
          <t>,</t>
        </is>
      </c>
      <c r="AY548" s="0" t="inlineStr">
        <is>
          <t>(18,</t>
        </is>
      </c>
      <c r="AZ548" s="0" t="n">
        <v>8</v>
      </c>
      <c r="BA548" s="0" t="inlineStr">
        <is>
          <t>,</t>
        </is>
      </c>
      <c r="BB548" s="0" t="n">
        <v>6</v>
      </c>
      <c r="BC548" s="0" t="inlineStr">
        <is>
          <t>,</t>
        </is>
      </c>
      <c r="BD548" s="0">
        <f>BD526*10</f>
        <v/>
      </c>
      <c r="BE548" s="0" t="inlineStr">
        <is>
          <t>)</t>
        </is>
      </c>
      <c r="BF548" s="0" t="inlineStr">
        <is>
          <t>,</t>
        </is>
      </c>
    </row>
    <row r="549">
      <c r="A549" s="151" t="inlineStr">
        <is>
          <t xml:space="preserve">(18, 8, 7, 1000000), (18, 8, 8, 800000), (18, 8, 9, 500000), </t>
        </is>
      </c>
      <c r="B549" s="0">
        <f>CONCATENATE(C548,D548,E548,F548,G548,H548,I548,J548,K548,L548,M548,N548,O548,P548,Q548,R548,S548,T548,U548,V548,W548,X548,Y548,Z548,AA548,AB548,AC548,AD548,AE548,AF548,AG548,AH548,AI548,AJ548,AK548,AL548,AM548,AN548,AO548,AP548,AQ548,AR548,AS548,AT548,AU548,AV548,AW548,AX548,AY548,AZ548,BA548,BB548,BC548,BD548,BE548,BF548,BG548,BH548)</f>
        <v/>
      </c>
      <c r="C549" s="0" t="inlineStr">
        <is>
          <t>(18,</t>
        </is>
      </c>
      <c r="D549" s="0" t="n">
        <v>8</v>
      </c>
      <c r="E549" s="0" t="inlineStr">
        <is>
          <t>,</t>
        </is>
      </c>
      <c r="F549" s="0" t="n">
        <v>7</v>
      </c>
      <c r="G549" s="0" t="inlineStr">
        <is>
          <t>,</t>
        </is>
      </c>
      <c r="H549" s="0" t="n">
        <v>100</v>
      </c>
      <c r="I549" s="0" t="inlineStr">
        <is>
          <t>)</t>
        </is>
      </c>
      <c r="J549" s="0" t="inlineStr">
        <is>
          <t>,</t>
        </is>
      </c>
      <c r="K549" s="0" t="inlineStr">
        <is>
          <t>(18,</t>
        </is>
      </c>
      <c r="L549" s="0" t="n">
        <v>8</v>
      </c>
      <c r="M549" s="0" t="inlineStr">
        <is>
          <t>,</t>
        </is>
      </c>
      <c r="N549" s="0" t="n">
        <v>8</v>
      </c>
      <c r="O549" s="0" t="inlineStr">
        <is>
          <t>,</t>
        </is>
      </c>
      <c r="P549" s="0">
        <f>P527*10</f>
        <v/>
      </c>
      <c r="Q549" s="0" t="inlineStr">
        <is>
          <t>)</t>
        </is>
      </c>
      <c r="R549" s="0" t="inlineStr">
        <is>
          <t>,</t>
        </is>
      </c>
      <c r="S549" s="0" t="inlineStr">
        <is>
          <t>(18,</t>
        </is>
      </c>
      <c r="T549" s="0" t="n">
        <v>8</v>
      </c>
      <c r="U549" s="0" t="inlineStr">
        <is>
          <t>,</t>
        </is>
      </c>
      <c r="V549" s="0" t="n">
        <v>9</v>
      </c>
      <c r="W549" s="0" t="inlineStr">
        <is>
          <t>,</t>
        </is>
      </c>
      <c r="X549" s="0">
        <f>X527*10</f>
        <v/>
      </c>
      <c r="Y549" s="0" t="inlineStr">
        <is>
          <t>)</t>
        </is>
      </c>
      <c r="Z549" s="0" t="inlineStr">
        <is>
          <t>,</t>
        </is>
      </c>
    </row>
    <row r="550">
      <c r="B550" s="0">
        <f>CONCATENATE(C549,D549,E549,F549,G549,H549,I549,J549,K549,L549,M549,N549,O549,P549,Q549,R549,S549,T549,U549,V549,W549,X549,Y549,Z549,AA549,AB549,AC549,AD549,AE549,AF549,AG549,AH549,AI549,AJ549,AK549,AL549,AM549,AN549,AO549,AP549,AQ549,AR549,AS549,AT549,AU549,AV549,AW549,AX549,AY549,AZ549,BA549,BB549,BC549,BD549,BE549,BF549,BG549,BH549)</f>
        <v/>
      </c>
    </row>
    <row r="551">
      <c r="A551" s="151" t="inlineStr">
        <is>
          <t xml:space="preserve"># Exchange : by Range Required Diamondmond Count , by Range Base Coin Reward. </t>
        </is>
      </c>
      <c r="B551" s="0">
        <f>CONCATENATE(C550,D550,E550,F550,G550,H550,I550,J550,K550,L550,M550,N550,O550,P550,Q550,R550,S550,T550,U550,V550,W550,X550,Y550,Z550,AA550,AB550,AC550,AD550,AE550,AF550,AG550,AH550,AI550,AJ550,AK550,AL550,AM550,AN550,AO550,AP550,AQ550,AR550,AS550,AT550,AU550,AV550,AW550,AX550,AY550,AZ550,BA550,BB550,BC550,BD550,BE550,BF550,BG550,BH550)</f>
        <v/>
      </c>
      <c r="C551" s="0" t="inlineStr">
        <is>
          <t xml:space="preserve"># Exchange : by Range Required Diamondmond Count , by Range Base Coin Reward. </t>
        </is>
      </c>
    </row>
    <row r="552">
      <c r="A552" s="151" t="inlineStr">
        <is>
          <t xml:space="preserve">(18, 0, 50, 1000000),(18, 0, 100, 2000000),(18, 0, 200, 3000000),(18, 0, 500, 5000000),(18, 0, 1000, 10000000)  </t>
        </is>
      </c>
      <c r="B552" s="0">
        <f>CONCATENATE(C551,D551,E551,F551,G551,H551,I551,J551,K551,L551,M551,N551,O551,P551,Q551,R551,S551,T551,U551,V551,W551,X551,Y551,Z551,AA551,AB551,AC551,AD551,AE551,AF551,AG551,AH551,AI551,AJ551,AK551,AL551,AM551,AN551,AO551,AP551,AQ551,AR551,AS551,AT551,AU551,AV551,AW551,AX551,AY551,AZ551,BA551,BB551,BC551,BD551,BE551,BF551,BG551,BH551)</f>
        <v/>
      </c>
      <c r="C552" s="0" t="inlineStr">
        <is>
          <t>(18, 0,</t>
        </is>
      </c>
      <c r="D552" s="0" t="n">
        <v>50</v>
      </c>
      <c r="E552" s="0" t="inlineStr">
        <is>
          <t>,</t>
        </is>
      </c>
      <c r="F552" s="2">
        <f>RESULT!G29</f>
        <v/>
      </c>
      <c r="G552" s="0" t="inlineStr">
        <is>
          <t>),</t>
        </is>
      </c>
      <c r="H552" s="0" t="inlineStr">
        <is>
          <t>(18, 0,</t>
        </is>
      </c>
      <c r="I552" s="0" t="n">
        <v>100</v>
      </c>
      <c r="J552" s="0" t="inlineStr">
        <is>
          <t>,</t>
        </is>
      </c>
      <c r="K552" s="2">
        <f>RESULT!H29</f>
        <v/>
      </c>
      <c r="L552" s="0" t="inlineStr">
        <is>
          <t>),</t>
        </is>
      </c>
      <c r="M552" s="0" t="inlineStr">
        <is>
          <t>(18, 0,</t>
        </is>
      </c>
      <c r="N552" s="0" t="n">
        <v>200</v>
      </c>
      <c r="O552" s="0" t="inlineStr">
        <is>
          <t>,</t>
        </is>
      </c>
      <c r="P552" s="2">
        <f>RESULT!I29</f>
        <v/>
      </c>
      <c r="Q552" s="0" t="inlineStr">
        <is>
          <t>),</t>
        </is>
      </c>
      <c r="R552" s="0" t="inlineStr">
        <is>
          <t>(18, 0,</t>
        </is>
      </c>
      <c r="S552" s="0" t="n">
        <v>500</v>
      </c>
      <c r="T552" s="0" t="inlineStr">
        <is>
          <t>,</t>
        </is>
      </c>
      <c r="U552" s="2">
        <f>RESULT!J29</f>
        <v/>
      </c>
      <c r="V552" s="0" t="inlineStr">
        <is>
          <t>),</t>
        </is>
      </c>
      <c r="W552" s="0" t="inlineStr">
        <is>
          <t>(18, 0,</t>
        </is>
      </c>
      <c r="X552" s="0" t="n">
        <v>1000</v>
      </c>
      <c r="Y552" s="0" t="inlineStr">
        <is>
          <t>,</t>
        </is>
      </c>
      <c r="Z552" s="2">
        <f>RESULT!K29</f>
        <v/>
      </c>
      <c r="AA552" s="0" t="inlineStr">
        <is>
          <t>),</t>
        </is>
      </c>
    </row>
    <row r="553">
      <c r="A553" s="151" t="inlineStr">
        <is>
          <t xml:space="preserve">; </t>
        </is>
      </c>
      <c r="B553" s="0">
        <f>CONCATENATE(C552,D552,E552,F552,G552,H552,I552,J552,K552,L552,M552,N552,O552,P552,Q552,R552,S552,T552,U552,V552,W552,X552,Y552,Z552,AA552,AB552,AC552,AD552,AE552,AF552,AG552,AH552,AI552,AJ552,AK552,AL552,AM552,AN552,AO552,AP552,AQ552,AR552,AS552,AT552,AU552,AV552,AW552,AX552,AY552,AZ552,BA552,BB552,BC552,BD552,BE552,BF552,BG552,BH552)</f>
        <v/>
      </c>
      <c r="C553" s="0" t="inlineStr">
        <is>
          <t xml:space="preserve">; </t>
        </is>
      </c>
    </row>
    <row r="557">
      <c r="A557" s="151" t="inlineStr">
        <is>
          <t xml:space="preserve">#Exchange Win Count Table </t>
        </is>
      </c>
      <c r="B557" s="0">
        <f>CONCATENATE(C556,D556,E556,F556,G556,H556,I556,J556,K556,L556,M556,N556,O556,P556,Q556,R556,S556,T556,U556,V556,W556,X556,Y556,Z556,AA556,AB556,AC556,AD556,AE556,AF556,AG556,AH556,AI556,AJ556,AK556,AL556,AM556,AN556,AO556,AP556,AQ556,AR556,AS556,AT556,AU556,AV556,AW556,AX556,AY556,AZ556,BA556,BB556,BC556,BD556,BE556,BF556,BG556,BH556)</f>
        <v/>
      </c>
      <c r="C557" s="0" t="inlineStr">
        <is>
          <t xml:space="preserve">#Exchange Win Count Table </t>
        </is>
      </c>
    </row>
    <row r="558">
      <c r="A558" s="151" t="inlineStr">
        <is>
          <t xml:space="preserve">eventBingoConvertCountTable = [ </t>
        </is>
      </c>
      <c r="B558" s="0">
        <f>CONCATENATE(C557,D557,E557,F557,G557,H557,I557,J557,K557,L557,M557,N557,O557,P557,Q557,R557,S557,T557,U557,V557,W557,X557,Y557,Z557,AA557,AB557,AC557,AD557,AE557,AF557,AG557,AH557,AI557,AJ557,AK557,AL557,AM557,AN557,AO557,AP557,AQ557,AR557,AS557,AT557,AU557,AV557,AW557,AX557,AY557,AZ557,BA557,BB557,BC557,BD557,BE557,BF557,BG557,BH557)</f>
        <v/>
      </c>
      <c r="C558" s="0" t="inlineStr">
        <is>
          <t xml:space="preserve">eventBingoConvertCountTable = [ </t>
        </is>
      </c>
    </row>
    <row r="559">
      <c r="A559" s="151" t="inlineStr">
        <is>
          <t xml:space="preserve">[ [1,400], [2,400], [3,200], [4,0], [5,0], [6, 0] ],    </t>
        </is>
      </c>
      <c r="B559" s="0">
        <f>CONCATENATE(C558,D558,E558,F558,G558,H558,I558,J558,K558,L558,M558,N558,O558,P558,Q558,R558,S558,T558,U558,V558,W558,X558,Y558,Z558,AA558,AB558,AC558,AD558,AE558,AF558,AG558,AH558,AI558,AJ558,AK558,AL558,AM558,AN558,AO558,AP558,AQ558,AR558,AS558,AT558,AU558,AV558,AW558,AX558,AY558,AZ558,BA558,BB558,BC558,BD558,BE558,BF558,BG558,BH558)</f>
        <v/>
      </c>
      <c r="C559" s="0" t="inlineStr">
        <is>
          <t xml:space="preserve">[ </t>
        </is>
      </c>
      <c r="D559" s="0" t="inlineStr">
        <is>
          <t>[1,</t>
        </is>
      </c>
      <c r="E559" s="0" t="n">
        <v>400</v>
      </c>
      <c r="F559" s="0" t="inlineStr">
        <is>
          <t>],[2,</t>
        </is>
      </c>
      <c r="G559" s="0" t="n">
        <v>400</v>
      </c>
      <c r="H559" s="0" t="inlineStr">
        <is>
          <t>],[3,</t>
        </is>
      </c>
      <c r="I559" s="0" t="n">
        <v>200</v>
      </c>
      <c r="J559" s="0" t="inlineStr">
        <is>
          <t>],[4,</t>
        </is>
      </c>
      <c r="K559" s="0" t="n">
        <v>0</v>
      </c>
      <c r="L559" s="0" t="inlineStr">
        <is>
          <t>],[5,</t>
        </is>
      </c>
      <c r="M559" s="0" t="n">
        <v>0</v>
      </c>
      <c r="N559" s="0" t="inlineStr">
        <is>
          <t>],[6,</t>
        </is>
      </c>
      <c r="O559" s="0" t="n">
        <v>0</v>
      </c>
      <c r="P559" s="0" t="inlineStr">
        <is>
          <t>]],</t>
        </is>
      </c>
    </row>
    <row r="560">
      <c r="A560" s="151" t="inlineStr">
        <is>
          <t xml:space="preserve">[ [1,300], [2,300], [3,300], [4,100], [5,0], [6, 0] ], </t>
        </is>
      </c>
      <c r="B560" s="0">
        <f>CONCATENATE(C559,D559,E559,F559,G559,H559,I559,J559,K559,L559,M559,N559,O559,P559,Q559,R559,S559,T559,U559,V559,W559,X559,Y559,Z559,AA559,AB559,AC559,AD559,AE559,AF559,AG559,AH559,AI559,AJ559,AK559,AL559,AM559,AN559,AO559,AP559,AQ559,AR559,AS559,AT559,AU559,AV559,AW559,AX559,AY559,AZ559,BA559,BB559,BC559,BD559,BE559,BF559,BG559,BH559)</f>
        <v/>
      </c>
      <c r="C560" s="0" t="inlineStr">
        <is>
          <t xml:space="preserve">[ </t>
        </is>
      </c>
      <c r="D560" s="0" t="inlineStr">
        <is>
          <t>[1,</t>
        </is>
      </c>
      <c r="E560" s="0" t="n">
        <v>300</v>
      </c>
      <c r="F560" s="0" t="inlineStr">
        <is>
          <t>],[2,</t>
        </is>
      </c>
      <c r="G560" s="0" t="n">
        <v>300</v>
      </c>
      <c r="H560" s="0" t="inlineStr">
        <is>
          <t>],[3,</t>
        </is>
      </c>
      <c r="I560" s="0" t="n">
        <v>300</v>
      </c>
      <c r="J560" s="0" t="inlineStr">
        <is>
          <t>],[4,</t>
        </is>
      </c>
      <c r="K560" s="0" t="n">
        <v>100</v>
      </c>
      <c r="L560" s="0" t="inlineStr">
        <is>
          <t>],[5,</t>
        </is>
      </c>
      <c r="M560" s="0" t="n">
        <v>0</v>
      </c>
      <c r="N560" s="0" t="inlineStr">
        <is>
          <t>],[6,</t>
        </is>
      </c>
      <c r="O560" s="0" t="n">
        <v>0</v>
      </c>
      <c r="P560" s="0" t="inlineStr">
        <is>
          <t>]],</t>
        </is>
      </c>
    </row>
    <row r="561">
      <c r="A561" s="151" t="inlineStr">
        <is>
          <t xml:space="preserve">[ [1,150], [2,150], [3,300], [4,200], [5,100], [6, 100] ], </t>
        </is>
      </c>
      <c r="B561" s="0">
        <f>CONCATENATE(C560,D560,E560,F560,G560,H560,I560,J560,K560,L560,M560,N560,O560,P560,Q560,R560,S560,T560,U560,V560,W560,X560,Y560,Z560,AA560,AB560,AC560,AD560,AE560,AF560,AG560,AH560,AI560,AJ560,AK560,AL560,AM560,AN560,AO560,AP560,AQ560,AR560,AS560,AT560,AU560,AV560,AW560,AX560,AY560,AZ560,BA560,BB560,BC560,BD560,BE560,BF560,BG560,BH560)</f>
        <v/>
      </c>
      <c r="C561" s="0" t="inlineStr">
        <is>
          <t xml:space="preserve">[ </t>
        </is>
      </c>
      <c r="D561" s="0" t="inlineStr">
        <is>
          <t>[1,</t>
        </is>
      </c>
      <c r="E561" s="0" t="n">
        <v>150</v>
      </c>
      <c r="F561" s="0" t="inlineStr">
        <is>
          <t>],[2,</t>
        </is>
      </c>
      <c r="G561" s="0" t="n">
        <v>150</v>
      </c>
      <c r="H561" s="0" t="inlineStr">
        <is>
          <t>],[3,</t>
        </is>
      </c>
      <c r="I561" s="0" t="n">
        <v>300</v>
      </c>
      <c r="J561" s="0" t="inlineStr">
        <is>
          <t>],[4,</t>
        </is>
      </c>
      <c r="K561" s="0" t="n">
        <v>200</v>
      </c>
      <c r="L561" s="0" t="inlineStr">
        <is>
          <t>],[5,</t>
        </is>
      </c>
      <c r="M561" s="0" t="n">
        <v>100</v>
      </c>
      <c r="N561" s="0" t="inlineStr">
        <is>
          <t>],[6,</t>
        </is>
      </c>
      <c r="O561" s="0" t="n">
        <v>100</v>
      </c>
      <c r="P561" s="0" t="inlineStr">
        <is>
          <t>]],</t>
        </is>
      </c>
    </row>
    <row r="562">
      <c r="A562" s="151" t="inlineStr">
        <is>
          <t xml:space="preserve">[ [1,0], [2,0], [3,300], [4,300], [5,200], [6, 200] ], </t>
        </is>
      </c>
      <c r="B562" s="0">
        <f>CONCATENATE(C561,D561,E561,F561,G561,H561,I561,J561,K561,L561,M561,N561,O561,P561,Q561,R561,S561,T561,U561,V561,W561,X561,Y561,Z561,AA561,AB561,AC561,AD561,AE561,AF561,AG561,AH561,AI561,AJ561,AK561,AL561,AM561,AN561,AO561,AP561,AQ561,AR561,AS561,AT561,AU561,AV561,AW561,AX561,AY561,AZ561,BA561,BB561,BC561,BD561,BE561,BF561,BG561,BH561)</f>
        <v/>
      </c>
      <c r="C562" s="0" t="inlineStr">
        <is>
          <t xml:space="preserve">[ </t>
        </is>
      </c>
      <c r="D562" s="0" t="inlineStr">
        <is>
          <t>[1,</t>
        </is>
      </c>
      <c r="E562" s="0" t="n">
        <v>0</v>
      </c>
      <c r="F562" s="0" t="inlineStr">
        <is>
          <t>],[2,</t>
        </is>
      </c>
      <c r="G562" s="0" t="n">
        <v>0</v>
      </c>
      <c r="H562" s="0" t="inlineStr">
        <is>
          <t>],[3,</t>
        </is>
      </c>
      <c r="I562" s="0" t="n">
        <v>300</v>
      </c>
      <c r="J562" s="0" t="inlineStr">
        <is>
          <t>],[4,</t>
        </is>
      </c>
      <c r="K562" s="0" t="n">
        <v>400</v>
      </c>
      <c r="L562" s="0" t="inlineStr">
        <is>
          <t>],[5,</t>
        </is>
      </c>
      <c r="M562" s="0" t="n">
        <v>200</v>
      </c>
      <c r="N562" s="0" t="inlineStr">
        <is>
          <t>],[6,</t>
        </is>
      </c>
      <c r="O562" s="0" t="n">
        <v>200</v>
      </c>
      <c r="P562" s="0" t="inlineStr">
        <is>
          <t>]],</t>
        </is>
      </c>
    </row>
    <row r="563">
      <c r="A563" s="151" t="inlineStr">
        <is>
          <t xml:space="preserve">[ [1,0], [2,0], [3,0], [4,300], [5,350], [6, 350] ] </t>
        </is>
      </c>
      <c r="B563" s="0">
        <f>CONCATENATE(C562,D562,E562,F562,G562,H562,I562,J562,K562,L562,M562,N562,O562,P562,Q562,R562,S562,T562,U562,V562,W562,X562,Y562,Z562,AA562,AB562,AC562,AD562,AE562,AF562,AG562,AH562,AI562,AJ562,AK562,AL562,AM562,AN562,AO562,AP562,AQ562,AR562,AS562,AT562,AU562,AV562,AW562,AX562,AY562,AZ562,BA562,BB562,BC562,BD562,BE562,BF562,BG562,BH562)</f>
        <v/>
      </c>
      <c r="C563" s="0" t="inlineStr">
        <is>
          <t xml:space="preserve">[ </t>
        </is>
      </c>
      <c r="D563" s="0" t="inlineStr">
        <is>
          <t>[1,</t>
        </is>
      </c>
      <c r="E563" s="0" t="n">
        <v>0</v>
      </c>
      <c r="F563" s="0" t="inlineStr">
        <is>
          <t>],[2,</t>
        </is>
      </c>
      <c r="G563" s="0" t="n">
        <v>0</v>
      </c>
      <c r="H563" s="0" t="inlineStr">
        <is>
          <t>],[3,</t>
        </is>
      </c>
      <c r="I563" s="0" t="n">
        <v>0</v>
      </c>
      <c r="J563" s="0" t="inlineStr">
        <is>
          <t>],[4,</t>
        </is>
      </c>
      <c r="K563" s="0" t="n">
        <v>300</v>
      </c>
      <c r="L563" s="0" t="inlineStr">
        <is>
          <t>],[5,</t>
        </is>
      </c>
      <c r="M563" s="0" t="n">
        <v>350</v>
      </c>
      <c r="N563" s="0" t="inlineStr">
        <is>
          <t>],[6,</t>
        </is>
      </c>
      <c r="O563" s="0" t="n">
        <v>350</v>
      </c>
      <c r="P563" s="0" t="inlineStr">
        <is>
          <t>]]</t>
        </is>
      </c>
    </row>
    <row r="564">
      <c r="A564" s="151" t="inlineStr">
        <is>
          <t xml:space="preserve">]; </t>
        </is>
      </c>
      <c r="B564" s="0">
        <f>CONCATENATE(C563,D563,E563,F563,G563,H563,I563,J563,K563,L563,M563,N563,O563,P563,Q563,R563,S563,T563,U563,V563,W563,X563,Y563,Z563,AA563,AB563,AC563,AD563,AE563,AF563,AG563,AH563,AI563,AJ563,AK563,AL563,AM563,AN563,AO563,AP563,AQ563,AR563,AS563,AT563,AU563,AV563,AW563,AX563,AY563,AZ563,BA563,BB563,BC563,BD563,BE563,BF563,BG563,BH563)</f>
        <v/>
      </c>
      <c r="C564" s="0" t="inlineStr">
        <is>
          <t xml:space="preserve">]; </t>
        </is>
      </c>
    </row>
  </sheetData>
  <mergeCells count="1">
    <mergeCell ref="A1:B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selection activeCell="A1" sqref="A1"/>
    </sheetView>
  </sheetViews>
  <sheetFormatPr baseColWidth="8" defaultRowHeight="16.5"/>
  <cols>
    <col width="11" bestFit="1" customWidth="1" style="161" min="11" max="11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A2" s="0" t="inlineStr">
        <is>
          <t>New</t>
        </is>
      </c>
      <c r="B2" s="0" t="inlineStr">
        <is>
          <t>Item</t>
        </is>
      </c>
      <c r="C2" s="0" t="inlineStr">
        <is>
          <t>Acquired</t>
        </is>
      </c>
      <c r="D2" s="0" t="inlineStr">
        <is>
          <t>:</t>
        </is>
      </c>
      <c r="E2" s="0" t="inlineStr">
        <is>
          <t>210.00K</t>
        </is>
      </c>
      <c r="F2" s="0" t="inlineStr">
        <is>
          <t>(7,</t>
        </is>
      </c>
      <c r="G2" s="0" t="inlineStr">
        <is>
          <t>8)</t>
        </is>
      </c>
      <c r="K2" s="0" t="inlineStr">
        <is>
          <t>Spins</t>
        </is>
      </c>
      <c r="L2" s="0" t="n">
        <v>3000</v>
      </c>
    </row>
    <row r="3">
      <c r="A3" s="0" t="inlineStr">
        <is>
          <t>New</t>
        </is>
      </c>
      <c r="B3" s="0" t="inlineStr">
        <is>
          <t>Item</t>
        </is>
      </c>
      <c r="C3" s="0" t="inlineStr">
        <is>
          <t>Acquired</t>
        </is>
      </c>
      <c r="D3" s="0" t="inlineStr">
        <is>
          <t>:</t>
        </is>
      </c>
      <c r="E3" s="0" t="inlineStr">
        <is>
          <t>75.00K</t>
        </is>
      </c>
      <c r="F3" s="0" t="inlineStr">
        <is>
          <t>(6,</t>
        </is>
      </c>
      <c r="G3" s="0" t="inlineStr">
        <is>
          <t>24)</t>
        </is>
      </c>
      <c r="K3" s="0" t="inlineStr">
        <is>
          <t>Symbol Pick</t>
        </is>
      </c>
      <c r="L3" s="0">
        <f>COUNTIF(A:A,"")</f>
        <v/>
      </c>
      <c r="M3" s="0">
        <f>L1/L2</f>
        <v/>
      </c>
    </row>
    <row r="4">
      <c r="A4" s="0" t="inlineStr">
        <is>
          <t>New</t>
        </is>
      </c>
      <c r="B4" s="0" t="inlineStr">
        <is>
          <t>Item</t>
        </is>
      </c>
      <c r="C4" s="0" t="inlineStr">
        <is>
          <t>Acquired</t>
        </is>
      </c>
      <c r="D4" s="0" t="inlineStr">
        <is>
          <t>:</t>
        </is>
      </c>
      <c r="E4" s="0" t="inlineStr">
        <is>
          <t>Mini</t>
        </is>
      </c>
      <c r="F4" s="0" t="inlineStr">
        <is>
          <t>(8,</t>
        </is>
      </c>
      <c r="G4" s="0" t="inlineStr">
        <is>
          <t>16)</t>
        </is>
      </c>
      <c r="K4" s="0" t="inlineStr">
        <is>
          <t>Bingo Wins</t>
        </is>
      </c>
      <c r="L4" s="0">
        <f>COUNTIF(A:A,"Line")</f>
        <v/>
      </c>
      <c r="M4" s="0">
        <f>L1/L3</f>
        <v/>
      </c>
    </row>
    <row r="5">
      <c r="A5" s="0" t="inlineStr">
        <is>
          <t>New</t>
        </is>
      </c>
      <c r="B5" s="0" t="inlineStr">
        <is>
          <t>Item</t>
        </is>
      </c>
      <c r="C5" s="0" t="inlineStr">
        <is>
          <t>Acquired</t>
        </is>
      </c>
      <c r="D5" s="0" t="inlineStr">
        <is>
          <t>:</t>
        </is>
      </c>
      <c r="E5" s="0" t="inlineStr">
        <is>
          <t>105.00K</t>
        </is>
      </c>
      <c r="F5" s="0" t="inlineStr">
        <is>
          <t>(4,</t>
        </is>
      </c>
      <c r="G5" s="0" t="inlineStr">
        <is>
          <t>10)</t>
        </is>
      </c>
      <c r="L5" s="2">
        <f>L2/L3</f>
        <v/>
      </c>
    </row>
    <row r="6">
      <c r="A6" s="0" t="inlineStr">
        <is>
          <t>New</t>
        </is>
      </c>
      <c r="B6" s="0" t="inlineStr">
        <is>
          <t>Item</t>
        </is>
      </c>
      <c r="C6" s="0" t="inlineStr">
        <is>
          <t>Acquired</t>
        </is>
      </c>
      <c r="D6" s="0" t="inlineStr">
        <is>
          <t>:</t>
        </is>
      </c>
      <c r="E6" s="0" t="inlineStr">
        <is>
          <t>125.00K</t>
        </is>
      </c>
      <c r="F6" s="0" t="inlineStr">
        <is>
          <t>(6,</t>
        </is>
      </c>
      <c r="G6" s="0" t="inlineStr">
        <is>
          <t>7)</t>
        </is>
      </c>
    </row>
    <row r="7">
      <c r="A7" s="0" t="inlineStr">
        <is>
          <t>New</t>
        </is>
      </c>
      <c r="B7" s="0" t="inlineStr">
        <is>
          <t>Item</t>
        </is>
      </c>
      <c r="C7" s="0" t="inlineStr">
        <is>
          <t>Acquired</t>
        </is>
      </c>
      <c r="D7" s="0" t="inlineStr">
        <is>
          <t>:</t>
        </is>
      </c>
      <c r="E7" s="0" t="inlineStr">
        <is>
          <t>210.00K</t>
        </is>
      </c>
      <c r="F7" s="0" t="inlineStr">
        <is>
          <t>(7,</t>
        </is>
      </c>
      <c r="G7" s="0" t="inlineStr">
        <is>
          <t>14)</t>
        </is>
      </c>
    </row>
    <row r="8">
      <c r="A8" s="0" t="inlineStr">
        <is>
          <t>New</t>
        </is>
      </c>
      <c r="B8" s="0" t="inlineStr">
        <is>
          <t>Item</t>
        </is>
      </c>
      <c r="C8" s="0" t="inlineStr">
        <is>
          <t>Acquired</t>
        </is>
      </c>
      <c r="D8" s="0" t="inlineStr">
        <is>
          <t>:</t>
        </is>
      </c>
      <c r="E8" s="0" t="inlineStr">
        <is>
          <t>90.00K</t>
        </is>
      </c>
      <c r="F8" s="0" t="inlineStr">
        <is>
          <t>(7,</t>
        </is>
      </c>
      <c r="G8" s="0" t="inlineStr">
        <is>
          <t>23)</t>
        </is>
      </c>
    </row>
    <row r="9">
      <c r="A9" s="0" t="inlineStr">
        <is>
          <t>New</t>
        </is>
      </c>
      <c r="B9" s="0" t="inlineStr">
        <is>
          <t>Item</t>
        </is>
      </c>
      <c r="C9" s="0" t="inlineStr">
        <is>
          <t>Acquired</t>
        </is>
      </c>
      <c r="D9" s="0" t="inlineStr">
        <is>
          <t>:</t>
        </is>
      </c>
      <c r="E9" s="0" t="inlineStr">
        <is>
          <t>280.00K</t>
        </is>
      </c>
      <c r="F9" s="0" t="inlineStr">
        <is>
          <t>(8,</t>
        </is>
      </c>
      <c r="G9" s="0" t="inlineStr">
        <is>
          <t>6)</t>
        </is>
      </c>
    </row>
    <row r="10">
      <c r="A10" s="0" t="inlineStr">
        <is>
          <t>New</t>
        </is>
      </c>
      <c r="B10" s="0" t="inlineStr">
        <is>
          <t>Item</t>
        </is>
      </c>
      <c r="C10" s="0" t="inlineStr">
        <is>
          <t>Acquired</t>
        </is>
      </c>
      <c r="D10" s="0" t="inlineStr">
        <is>
          <t>:</t>
        </is>
      </c>
      <c r="E10" s="0" t="inlineStr">
        <is>
          <t>90.00K</t>
        </is>
      </c>
      <c r="F10" s="0" t="inlineStr">
        <is>
          <t>(7,</t>
        </is>
      </c>
      <c r="G10" s="0" t="inlineStr">
        <is>
          <t>1)</t>
        </is>
      </c>
    </row>
    <row r="11">
      <c r="A11" s="0" t="inlineStr">
        <is>
          <t>New</t>
        </is>
      </c>
      <c r="B11" s="0" t="inlineStr">
        <is>
          <t>Item</t>
        </is>
      </c>
      <c r="C11" s="0" t="inlineStr">
        <is>
          <t>Acquired</t>
        </is>
      </c>
      <c r="D11" s="0" t="inlineStr">
        <is>
          <t>:</t>
        </is>
      </c>
      <c r="E11" s="0" t="inlineStr">
        <is>
          <t>120.00K</t>
        </is>
      </c>
      <c r="F11" s="0" t="inlineStr">
        <is>
          <t>(8,</t>
        </is>
      </c>
      <c r="G11" s="0" t="inlineStr">
        <is>
          <t>23)</t>
        </is>
      </c>
    </row>
    <row r="12">
      <c r="A12" s="0" t="inlineStr">
        <is>
          <t>New</t>
        </is>
      </c>
      <c r="B12" s="0" t="inlineStr">
        <is>
          <t>Item</t>
        </is>
      </c>
      <c r="C12" s="0" t="inlineStr">
        <is>
          <t>Acquired</t>
        </is>
      </c>
      <c r="D12" s="0" t="inlineStr">
        <is>
          <t>:</t>
        </is>
      </c>
      <c r="E12" s="0" t="inlineStr">
        <is>
          <t>75.00K</t>
        </is>
      </c>
      <c r="F12" s="0" t="inlineStr">
        <is>
          <t>(6,</t>
        </is>
      </c>
      <c r="G12" s="0" t="inlineStr">
        <is>
          <t>15)</t>
        </is>
      </c>
    </row>
    <row r="13">
      <c r="A13" s="0" t="inlineStr">
        <is>
          <t>New</t>
        </is>
      </c>
      <c r="B13" s="0" t="inlineStr">
        <is>
          <t>Item</t>
        </is>
      </c>
      <c r="C13" s="0" t="inlineStr">
        <is>
          <t>Acquired</t>
        </is>
      </c>
      <c r="D13" s="0" t="inlineStr">
        <is>
          <t>:</t>
        </is>
      </c>
      <c r="E13" s="0" t="inlineStr">
        <is>
          <t>210.00K</t>
        </is>
      </c>
      <c r="F13" s="0" t="inlineStr">
        <is>
          <t>(7,</t>
        </is>
      </c>
      <c r="G13" s="0" t="inlineStr">
        <is>
          <t>24)</t>
        </is>
      </c>
    </row>
    <row r="14">
      <c r="A14" s="0" t="inlineStr">
        <is>
          <t>New</t>
        </is>
      </c>
      <c r="B14" s="0" t="inlineStr">
        <is>
          <t>Item</t>
        </is>
      </c>
      <c r="C14" s="0" t="inlineStr">
        <is>
          <t>Acquired</t>
        </is>
      </c>
      <c r="D14" s="0" t="inlineStr">
        <is>
          <t>:</t>
        </is>
      </c>
      <c r="E14" s="0" t="inlineStr">
        <is>
          <t>75.00K</t>
        </is>
      </c>
      <c r="F14" s="0" t="inlineStr">
        <is>
          <t>(6,</t>
        </is>
      </c>
      <c r="G14" s="0" t="inlineStr">
        <is>
          <t>2)</t>
        </is>
      </c>
    </row>
    <row r="15">
      <c r="A15" s="0" t="inlineStr">
        <is>
          <t>New</t>
        </is>
      </c>
      <c r="B15" s="0" t="inlineStr">
        <is>
          <t>Item</t>
        </is>
      </c>
      <c r="C15" s="0" t="inlineStr">
        <is>
          <t>Acquired</t>
        </is>
      </c>
      <c r="D15" s="0" t="inlineStr">
        <is>
          <t>:</t>
        </is>
      </c>
      <c r="E15" s="0" t="inlineStr">
        <is>
          <t>Minor</t>
        </is>
      </c>
      <c r="F15" s="0" t="inlineStr">
        <is>
          <t>(8,</t>
        </is>
      </c>
      <c r="G15" s="0" t="inlineStr">
        <is>
          <t>18)</t>
        </is>
      </c>
    </row>
    <row r="16">
      <c r="A16" s="0" t="inlineStr">
        <is>
          <t>New</t>
        </is>
      </c>
      <c r="B16" s="0" t="inlineStr">
        <is>
          <t>Item</t>
        </is>
      </c>
      <c r="C16" s="0" t="inlineStr">
        <is>
          <t>Acquired</t>
        </is>
      </c>
      <c r="D16" s="0" t="inlineStr">
        <is>
          <t>:</t>
        </is>
      </c>
      <c r="E16" s="0" t="inlineStr">
        <is>
          <t>90.00K</t>
        </is>
      </c>
      <c r="F16" s="0" t="inlineStr">
        <is>
          <t>(7,</t>
        </is>
      </c>
      <c r="G16" s="0" t="inlineStr">
        <is>
          <t>7)</t>
        </is>
      </c>
    </row>
    <row r="17">
      <c r="A17" s="0" t="inlineStr">
        <is>
          <t>New</t>
        </is>
      </c>
      <c r="B17" s="0" t="inlineStr">
        <is>
          <t>Item</t>
        </is>
      </c>
      <c r="C17" s="0" t="inlineStr">
        <is>
          <t>Acquired</t>
        </is>
      </c>
      <c r="D17" s="0" t="inlineStr">
        <is>
          <t>:</t>
        </is>
      </c>
      <c r="E17" s="0" t="inlineStr">
        <is>
          <t>280.00K</t>
        </is>
      </c>
      <c r="F17" s="0" t="inlineStr">
        <is>
          <t>(8,</t>
        </is>
      </c>
      <c r="G17" s="0" t="inlineStr">
        <is>
          <t>14)</t>
        </is>
      </c>
    </row>
    <row r="18">
      <c r="A18" s="0" t="inlineStr">
        <is>
          <t>New</t>
        </is>
      </c>
      <c r="B18" s="0" t="inlineStr">
        <is>
          <t>Item</t>
        </is>
      </c>
      <c r="C18" s="0" t="inlineStr">
        <is>
          <t>Acquired</t>
        </is>
      </c>
      <c r="D18" s="0" t="inlineStr">
        <is>
          <t>:</t>
        </is>
      </c>
      <c r="E18" s="0" t="inlineStr">
        <is>
          <t>75.00K</t>
        </is>
      </c>
      <c r="F18" s="0" t="inlineStr">
        <is>
          <t>(6,</t>
        </is>
      </c>
      <c r="G18" s="0" t="inlineStr">
        <is>
          <t>10)</t>
        </is>
      </c>
    </row>
    <row r="19">
      <c r="A19" s="0" t="inlineStr">
        <is>
          <t>New</t>
        </is>
      </c>
      <c r="B19" s="0" t="inlineStr">
        <is>
          <t>Item</t>
        </is>
      </c>
      <c r="C19" s="0" t="inlineStr">
        <is>
          <t>Acquired</t>
        </is>
      </c>
      <c r="D19" s="0" t="inlineStr">
        <is>
          <t>:</t>
        </is>
      </c>
      <c r="E19" s="0" t="inlineStr">
        <is>
          <t>200.00K</t>
        </is>
      </c>
      <c r="F19" s="0" t="inlineStr">
        <is>
          <t>(8,</t>
        </is>
      </c>
      <c r="G19" s="0" t="inlineStr">
        <is>
          <t>7)</t>
        </is>
      </c>
    </row>
    <row r="20">
      <c r="A20" s="0" t="inlineStr">
        <is>
          <t>New</t>
        </is>
      </c>
      <c r="B20" s="0" t="inlineStr">
        <is>
          <t>Item</t>
        </is>
      </c>
      <c r="C20" s="0" t="inlineStr">
        <is>
          <t>Acquired</t>
        </is>
      </c>
      <c r="D20" s="0" t="inlineStr">
        <is>
          <t>:</t>
        </is>
      </c>
      <c r="E20" s="0" t="inlineStr">
        <is>
          <t>210.00K</t>
        </is>
      </c>
      <c r="F20" s="0" t="inlineStr">
        <is>
          <t>(7,</t>
        </is>
      </c>
      <c r="G20" s="0" t="inlineStr">
        <is>
          <t>15)</t>
        </is>
      </c>
    </row>
    <row r="21">
      <c r="A21" s="0" t="inlineStr">
        <is>
          <t>New</t>
        </is>
      </c>
      <c r="B21" s="0" t="inlineStr">
        <is>
          <t>Item</t>
        </is>
      </c>
      <c r="C21" s="0" t="inlineStr">
        <is>
          <t>Acquired</t>
        </is>
      </c>
      <c r="D21" s="0" t="inlineStr">
        <is>
          <t>:</t>
        </is>
      </c>
      <c r="E21" s="0" t="inlineStr">
        <is>
          <t>87.50K</t>
        </is>
      </c>
      <c r="F21" s="0" t="inlineStr">
        <is>
          <t>(2,</t>
        </is>
      </c>
      <c r="G21" s="0" t="inlineStr">
        <is>
          <t>14)</t>
        </is>
      </c>
    </row>
    <row r="22">
      <c r="A22" s="0" t="inlineStr">
        <is>
          <t>New</t>
        </is>
      </c>
      <c r="B22" s="0" t="inlineStr">
        <is>
          <t>Item</t>
        </is>
      </c>
      <c r="C22" s="0" t="inlineStr">
        <is>
          <t>Acquired</t>
        </is>
      </c>
      <c r="D22" s="0" t="inlineStr">
        <is>
          <t>:</t>
        </is>
      </c>
      <c r="E22" s="0" t="inlineStr">
        <is>
          <t>75.00K</t>
        </is>
      </c>
      <c r="F22" s="0" t="inlineStr">
        <is>
          <t>(6,</t>
        </is>
      </c>
      <c r="G22" s="0" t="inlineStr">
        <is>
          <t>11)</t>
        </is>
      </c>
    </row>
    <row r="23">
      <c r="A23" s="0" t="inlineStr">
        <is>
          <t>New</t>
        </is>
      </c>
      <c r="B23" s="0" t="inlineStr">
        <is>
          <t>Item</t>
        </is>
      </c>
      <c r="C23" s="0" t="inlineStr">
        <is>
          <t>Acquired</t>
        </is>
      </c>
      <c r="D23" s="0" t="inlineStr">
        <is>
          <t>:</t>
        </is>
      </c>
      <c r="E23" s="0" t="inlineStr">
        <is>
          <t>150.00K</t>
        </is>
      </c>
      <c r="F23" s="0" t="inlineStr">
        <is>
          <t>(7,</t>
        </is>
      </c>
      <c r="G23" s="0" t="inlineStr">
        <is>
          <t>18)</t>
        </is>
      </c>
    </row>
    <row r="24">
      <c r="A24" s="0" t="inlineStr">
        <is>
          <t>New</t>
        </is>
      </c>
      <c r="B24" s="0" t="inlineStr">
        <is>
          <t>Item</t>
        </is>
      </c>
      <c r="C24" s="0" t="inlineStr">
        <is>
          <t>Acquired</t>
        </is>
      </c>
      <c r="D24" s="0" t="inlineStr">
        <is>
          <t>:</t>
        </is>
      </c>
      <c r="E24" s="0" t="inlineStr">
        <is>
          <t>75.00K</t>
        </is>
      </c>
      <c r="F24" s="0" t="inlineStr">
        <is>
          <t>(6,</t>
        </is>
      </c>
      <c r="G24" s="0" t="inlineStr">
        <is>
          <t>8)</t>
        </is>
      </c>
    </row>
    <row r="25">
      <c r="A25" s="0" t="inlineStr">
        <is>
          <t>New</t>
        </is>
      </c>
      <c r="B25" s="0" t="inlineStr">
        <is>
          <t>Item</t>
        </is>
      </c>
      <c r="C25" s="0" t="inlineStr">
        <is>
          <t>Acquired</t>
        </is>
      </c>
      <c r="D25" s="0" t="inlineStr">
        <is>
          <t>:</t>
        </is>
      </c>
      <c r="E25" s="0" t="inlineStr">
        <is>
          <t>60.00K</t>
        </is>
      </c>
      <c r="F25" s="0" t="inlineStr">
        <is>
          <t>(4,</t>
        </is>
      </c>
      <c r="G25" s="0" t="inlineStr">
        <is>
          <t>20)</t>
        </is>
      </c>
    </row>
    <row r="26">
      <c r="A26" s="0" t="inlineStr">
        <is>
          <t>New</t>
        </is>
      </c>
      <c r="B26" s="0" t="inlineStr">
        <is>
          <t>Item</t>
        </is>
      </c>
      <c r="C26" s="0" t="inlineStr">
        <is>
          <t>Acquired</t>
        </is>
      </c>
      <c r="D26" s="0" t="inlineStr">
        <is>
          <t>:</t>
        </is>
      </c>
      <c r="E26" s="0" t="inlineStr">
        <is>
          <t>105.00K</t>
        </is>
      </c>
      <c r="F26" s="0" t="inlineStr">
        <is>
          <t>(4,</t>
        </is>
      </c>
      <c r="G26" s="0" t="inlineStr">
        <is>
          <t>11)</t>
        </is>
      </c>
    </row>
    <row r="27">
      <c r="A27" s="0" t="inlineStr">
        <is>
          <t>New</t>
        </is>
      </c>
      <c r="B27" s="0" t="inlineStr">
        <is>
          <t>Item</t>
        </is>
      </c>
      <c r="C27" s="0" t="inlineStr">
        <is>
          <t>Acquired</t>
        </is>
      </c>
      <c r="D27" s="0" t="inlineStr">
        <is>
          <t>:</t>
        </is>
      </c>
      <c r="E27" s="0" t="inlineStr">
        <is>
          <t>120.00K</t>
        </is>
      </c>
      <c r="F27" s="0" t="inlineStr">
        <is>
          <t>(8,</t>
        </is>
      </c>
      <c r="G27" s="0" t="inlineStr">
        <is>
          <t>21)</t>
        </is>
      </c>
    </row>
    <row r="28">
      <c r="A28" s="0" t="inlineStr">
        <is>
          <t>New</t>
        </is>
      </c>
      <c r="B28" s="0" t="inlineStr">
        <is>
          <t>Item</t>
        </is>
      </c>
      <c r="C28" s="0" t="inlineStr">
        <is>
          <t>Acquired</t>
        </is>
      </c>
      <c r="D28" s="0" t="inlineStr">
        <is>
          <t>:</t>
        </is>
      </c>
      <c r="E28" s="0" t="inlineStr">
        <is>
          <t>120.00K</t>
        </is>
      </c>
      <c r="F28" s="0" t="inlineStr">
        <is>
          <t>(8,</t>
        </is>
      </c>
      <c r="G28" s="0" t="inlineStr">
        <is>
          <t>4)</t>
        </is>
      </c>
    </row>
    <row r="29">
      <c r="A29" s="0" t="inlineStr">
        <is>
          <t>New</t>
        </is>
      </c>
      <c r="B29" s="0" t="inlineStr">
        <is>
          <t>Item</t>
        </is>
      </c>
      <c r="C29" s="0" t="inlineStr">
        <is>
          <t>Acquired</t>
        </is>
      </c>
      <c r="D29" s="0" t="inlineStr">
        <is>
          <t>:</t>
        </is>
      </c>
      <c r="E29" s="0" t="inlineStr">
        <is>
          <t>210.00K</t>
        </is>
      </c>
      <c r="F29" s="0" t="inlineStr">
        <is>
          <t>(7,</t>
        </is>
      </c>
      <c r="G29" s="0" t="inlineStr">
        <is>
          <t>3)</t>
        </is>
      </c>
    </row>
    <row r="30">
      <c r="A30" s="0" t="inlineStr">
        <is>
          <t>Line</t>
        </is>
      </c>
      <c r="B30" s="0" t="inlineStr">
        <is>
          <t>Prize</t>
        </is>
      </c>
      <c r="C30" s="0" t="inlineStr">
        <is>
          <t>Acquired</t>
        </is>
      </c>
      <c r="D30" s="0" t="inlineStr">
        <is>
          <t>:</t>
        </is>
      </c>
      <c r="E30" s="0" t="inlineStr">
        <is>
          <t>1.26M</t>
        </is>
      </c>
      <c r="F30" s="0" t="inlineStr">
        <is>
          <t>(Stage</t>
        </is>
      </c>
      <c r="G30" s="0" t="inlineStr">
        <is>
          <t>:</t>
        </is>
      </c>
      <c r="H30" s="0" t="inlineStr">
        <is>
          <t>7)</t>
        </is>
      </c>
      <c r="I30" s="0" t="inlineStr">
        <is>
          <t>-</t>
        </is>
      </c>
      <c r="J30" s="0" t="n">
        <v>1260000</v>
      </c>
    </row>
    <row r="31">
      <c r="A31" s="0" t="inlineStr">
        <is>
          <t>Clear</t>
        </is>
      </c>
      <c r="B31" s="0" t="inlineStr">
        <is>
          <t>Gem</t>
        </is>
      </c>
      <c r="C31" s="0" t="inlineStr">
        <is>
          <t>Acquired</t>
        </is>
      </c>
      <c r="D31" s="0" t="inlineStr">
        <is>
          <t>:</t>
        </is>
      </c>
      <c r="E31" s="0" t="n">
        <v>0</v>
      </c>
      <c r="F31" s="0" t="inlineStr">
        <is>
          <t>-&gt;</t>
        </is>
      </c>
      <c r="G31" s="0" t="n">
        <v>100</v>
      </c>
      <c r="H31" s="0" t="inlineStr">
        <is>
          <t>(Stage</t>
        </is>
      </c>
      <c r="I31" s="0" t="inlineStr">
        <is>
          <t>:</t>
        </is>
      </c>
      <c r="J31" s="0" t="inlineStr">
        <is>
          <t>7)</t>
        </is>
      </c>
    </row>
    <row r="32">
      <c r="A32" s="0" t="inlineStr">
        <is>
          <t>Item</t>
        </is>
      </c>
      <c r="B32" s="0" t="inlineStr">
        <is>
          <t>ReSelect</t>
        </is>
      </c>
      <c r="C32" s="0" t="inlineStr">
        <is>
          <t>Failed</t>
        </is>
      </c>
      <c r="D32" s="0" t="inlineStr">
        <is>
          <t>:</t>
        </is>
      </c>
      <c r="E32" s="0" t="inlineStr">
        <is>
          <t>Attempt</t>
        </is>
      </c>
      <c r="F32" s="0" t="inlineStr">
        <is>
          <t>Count</t>
        </is>
      </c>
      <c r="G32" s="0" t="inlineStr">
        <is>
          <t>-</t>
        </is>
      </c>
      <c r="H32" s="0" t="n">
        <v>3</v>
      </c>
    </row>
    <row r="33">
      <c r="A33" s="0" t="inlineStr">
        <is>
          <t>New</t>
        </is>
      </c>
      <c r="B33" s="0" t="inlineStr">
        <is>
          <t>Item</t>
        </is>
      </c>
      <c r="C33" s="0" t="inlineStr">
        <is>
          <t>Acquired</t>
        </is>
      </c>
      <c r="D33" s="0" t="inlineStr">
        <is>
          <t>:</t>
        </is>
      </c>
      <c r="E33" s="0" t="inlineStr">
        <is>
          <t>75.00K</t>
        </is>
      </c>
      <c r="F33" s="0" t="inlineStr">
        <is>
          <t>(6,</t>
        </is>
      </c>
      <c r="G33" s="0" t="inlineStr">
        <is>
          <t>12)</t>
        </is>
      </c>
    </row>
    <row r="34">
      <c r="A34" s="0" t="inlineStr">
        <is>
          <t>New</t>
        </is>
      </c>
      <c r="B34" s="0" t="inlineStr">
        <is>
          <t>Item</t>
        </is>
      </c>
      <c r="C34" s="0" t="inlineStr">
        <is>
          <t>Acquired</t>
        </is>
      </c>
      <c r="D34" s="0" t="inlineStr">
        <is>
          <t>:</t>
        </is>
      </c>
      <c r="E34" s="0" t="inlineStr">
        <is>
          <t>75.00K</t>
        </is>
      </c>
      <c r="F34" s="0" t="inlineStr">
        <is>
          <t>(6,</t>
        </is>
      </c>
      <c r="G34" s="0" t="inlineStr">
        <is>
          <t>22)</t>
        </is>
      </c>
    </row>
    <row r="35">
      <c r="A35" s="0" t="inlineStr">
        <is>
          <t>New</t>
        </is>
      </c>
      <c r="B35" s="0" t="inlineStr">
        <is>
          <t>Item</t>
        </is>
      </c>
      <c r="C35" s="0" t="inlineStr">
        <is>
          <t>Acquired</t>
        </is>
      </c>
      <c r="D35" s="0" t="inlineStr">
        <is>
          <t>:</t>
        </is>
      </c>
      <c r="E35" s="0" t="inlineStr">
        <is>
          <t>90.00K</t>
        </is>
      </c>
      <c r="F35" s="0" t="inlineStr">
        <is>
          <t>(7,</t>
        </is>
      </c>
      <c r="G35" s="0" t="inlineStr">
        <is>
          <t>5)</t>
        </is>
      </c>
    </row>
    <row r="36">
      <c r="A36" s="0" t="inlineStr">
        <is>
          <t>New</t>
        </is>
      </c>
      <c r="B36" s="0" t="inlineStr">
        <is>
          <t>Item</t>
        </is>
      </c>
      <c r="C36" s="0" t="inlineStr">
        <is>
          <t>Acquired</t>
        </is>
      </c>
      <c r="D36" s="0" t="inlineStr">
        <is>
          <t>:</t>
        </is>
      </c>
      <c r="E36" s="0" t="inlineStr">
        <is>
          <t>90.00K</t>
        </is>
      </c>
      <c r="F36" s="0" t="inlineStr">
        <is>
          <t>(7,</t>
        </is>
      </c>
      <c r="G36" s="0" t="inlineStr">
        <is>
          <t>9)</t>
        </is>
      </c>
    </row>
    <row r="37">
      <c r="A37" s="0" t="inlineStr">
        <is>
          <t>New</t>
        </is>
      </c>
      <c r="B37" s="0" t="inlineStr">
        <is>
          <t>Item</t>
        </is>
      </c>
      <c r="C37" s="0" t="inlineStr">
        <is>
          <t>Acquired</t>
        </is>
      </c>
      <c r="D37" s="0" t="inlineStr">
        <is>
          <t>:</t>
        </is>
      </c>
      <c r="E37" s="0" t="inlineStr">
        <is>
          <t>125.00K</t>
        </is>
      </c>
      <c r="F37" s="0" t="inlineStr">
        <is>
          <t>(6,</t>
        </is>
      </c>
      <c r="G37" s="0" t="inlineStr">
        <is>
          <t>5)</t>
        </is>
      </c>
    </row>
    <row r="38">
      <c r="A38" s="0" t="inlineStr">
        <is>
          <t>New</t>
        </is>
      </c>
      <c r="B38" s="0" t="inlineStr">
        <is>
          <t>Item</t>
        </is>
      </c>
      <c r="C38" s="0" t="inlineStr">
        <is>
          <t>Acquired</t>
        </is>
      </c>
      <c r="D38" s="0" t="inlineStr">
        <is>
          <t>:</t>
        </is>
      </c>
      <c r="E38" s="0" t="inlineStr">
        <is>
          <t>90.00K</t>
        </is>
      </c>
      <c r="F38" s="0" t="inlineStr">
        <is>
          <t>(7,</t>
        </is>
      </c>
      <c r="G38" s="0" t="inlineStr">
        <is>
          <t>19)</t>
        </is>
      </c>
    </row>
    <row r="39">
      <c r="A39" s="0" t="inlineStr">
        <is>
          <t>New</t>
        </is>
      </c>
      <c r="B39" s="0" t="inlineStr">
        <is>
          <t>Item</t>
        </is>
      </c>
      <c r="C39" s="0" t="inlineStr">
        <is>
          <t>Acquired</t>
        </is>
      </c>
      <c r="D39" s="0" t="inlineStr">
        <is>
          <t>:</t>
        </is>
      </c>
      <c r="E39" s="0" t="inlineStr">
        <is>
          <t>Mini</t>
        </is>
      </c>
      <c r="F39" s="0" t="inlineStr">
        <is>
          <t>(8,</t>
        </is>
      </c>
      <c r="G39" s="0" t="inlineStr">
        <is>
          <t>24)</t>
        </is>
      </c>
    </row>
    <row r="40">
      <c r="A40" s="0" t="inlineStr">
        <is>
          <t>New</t>
        </is>
      </c>
      <c r="B40" s="0" t="inlineStr">
        <is>
          <t>Item</t>
        </is>
      </c>
      <c r="C40" s="0" t="inlineStr">
        <is>
          <t>Acquired</t>
        </is>
      </c>
      <c r="D40" s="0" t="inlineStr">
        <is>
          <t>:</t>
        </is>
      </c>
      <c r="E40" s="0" t="inlineStr">
        <is>
          <t>175.00K</t>
        </is>
      </c>
      <c r="F40" s="0" t="inlineStr">
        <is>
          <t>(6,</t>
        </is>
      </c>
      <c r="G40" s="0" t="inlineStr">
        <is>
          <t>23)</t>
        </is>
      </c>
    </row>
    <row r="41">
      <c r="A41" s="0" t="inlineStr">
        <is>
          <t>New</t>
        </is>
      </c>
      <c r="B41" s="0" t="inlineStr">
        <is>
          <t>Item</t>
        </is>
      </c>
      <c r="C41" s="0" t="inlineStr">
        <is>
          <t>Acquired</t>
        </is>
      </c>
      <c r="D41" s="0" t="inlineStr">
        <is>
          <t>:</t>
        </is>
      </c>
      <c r="E41" s="0" t="inlineStr">
        <is>
          <t>120.00K</t>
        </is>
      </c>
      <c r="F41" s="0" t="inlineStr">
        <is>
          <t>(8,</t>
        </is>
      </c>
      <c r="G41" s="0" t="inlineStr">
        <is>
          <t>1)</t>
        </is>
      </c>
    </row>
    <row r="42">
      <c r="A42" s="0" t="inlineStr">
        <is>
          <t>New</t>
        </is>
      </c>
      <c r="B42" s="0" t="inlineStr">
        <is>
          <t>Item</t>
        </is>
      </c>
      <c r="C42" s="0" t="inlineStr">
        <is>
          <t>Acquired</t>
        </is>
      </c>
      <c r="D42" s="0" t="inlineStr">
        <is>
          <t>:</t>
        </is>
      </c>
      <c r="E42" s="0" t="inlineStr">
        <is>
          <t>150.00K</t>
        </is>
      </c>
      <c r="F42" s="0" t="inlineStr">
        <is>
          <t>(7,</t>
        </is>
      </c>
      <c r="G42" s="0" t="inlineStr">
        <is>
          <t>17)</t>
        </is>
      </c>
    </row>
    <row r="43">
      <c r="A43" s="0" t="inlineStr">
        <is>
          <t>New</t>
        </is>
      </c>
      <c r="B43" s="0" t="inlineStr">
        <is>
          <t>Item</t>
        </is>
      </c>
      <c r="C43" s="0" t="inlineStr">
        <is>
          <t>Acquired</t>
        </is>
      </c>
      <c r="D43" s="0" t="inlineStr">
        <is>
          <t>:</t>
        </is>
      </c>
      <c r="E43" s="0" t="inlineStr">
        <is>
          <t>280.00K</t>
        </is>
      </c>
      <c r="F43" s="0" t="inlineStr">
        <is>
          <t>(8,</t>
        </is>
      </c>
      <c r="G43" s="0" t="inlineStr">
        <is>
          <t>12)</t>
        </is>
      </c>
    </row>
    <row r="44">
      <c r="A44" s="0" t="inlineStr">
        <is>
          <t>New</t>
        </is>
      </c>
      <c r="B44" s="0" t="inlineStr">
        <is>
          <t>Item</t>
        </is>
      </c>
      <c r="C44" s="0" t="inlineStr">
        <is>
          <t>Acquired</t>
        </is>
      </c>
      <c r="D44" s="0" t="inlineStr">
        <is>
          <t>:</t>
        </is>
      </c>
      <c r="E44" s="0" t="inlineStr">
        <is>
          <t>90.00K</t>
        </is>
      </c>
      <c r="F44" s="0" t="inlineStr">
        <is>
          <t>(7,</t>
        </is>
      </c>
      <c r="G44" s="0" t="inlineStr">
        <is>
          <t>15)</t>
        </is>
      </c>
    </row>
    <row r="45">
      <c r="A45" s="0" t="inlineStr">
        <is>
          <t>New</t>
        </is>
      </c>
      <c r="B45" s="0" t="inlineStr">
        <is>
          <t>Item</t>
        </is>
      </c>
      <c r="C45" s="0" t="inlineStr">
        <is>
          <t>Acquired</t>
        </is>
      </c>
      <c r="D45" s="0" t="inlineStr">
        <is>
          <t>:</t>
        </is>
      </c>
      <c r="E45" s="0" t="inlineStr">
        <is>
          <t>120.00K</t>
        </is>
      </c>
      <c r="F45" s="0" t="inlineStr">
        <is>
          <t>(8,</t>
        </is>
      </c>
      <c r="G45" s="0" t="inlineStr">
        <is>
          <t>11)</t>
        </is>
      </c>
    </row>
    <row r="46">
      <c r="A46" s="0" t="inlineStr">
        <is>
          <t>Line</t>
        </is>
      </c>
      <c r="B46" s="0" t="inlineStr">
        <is>
          <t>Prize</t>
        </is>
      </c>
      <c r="C46" s="0" t="inlineStr">
        <is>
          <t>Acquired</t>
        </is>
      </c>
      <c r="D46" s="0" t="inlineStr">
        <is>
          <t>:</t>
        </is>
      </c>
      <c r="E46" s="0" t="inlineStr">
        <is>
          <t>1.44M</t>
        </is>
      </c>
      <c r="F46" s="0" t="inlineStr">
        <is>
          <t>(Stage</t>
        </is>
      </c>
      <c r="G46" s="0" t="inlineStr">
        <is>
          <t>:</t>
        </is>
      </c>
      <c r="H46" s="0" t="inlineStr">
        <is>
          <t>8)</t>
        </is>
      </c>
      <c r="I46" s="0" t="inlineStr">
        <is>
          <t>-</t>
        </is>
      </c>
      <c r="J46" s="0" t="n">
        <v>1440000</v>
      </c>
    </row>
    <row r="47">
      <c r="A47" s="0" t="inlineStr">
        <is>
          <t>Clear</t>
        </is>
      </c>
      <c r="B47" s="0" t="inlineStr">
        <is>
          <t>Gem</t>
        </is>
      </c>
      <c r="C47" s="0" t="inlineStr">
        <is>
          <t>Acquired</t>
        </is>
      </c>
      <c r="D47" s="0" t="inlineStr">
        <is>
          <t>:</t>
        </is>
      </c>
      <c r="E47" s="0" t="n">
        <v>100</v>
      </c>
      <c r="F47" s="0" t="inlineStr">
        <is>
          <t>-&gt;</t>
        </is>
      </c>
      <c r="G47" s="0" t="n">
        <v>200</v>
      </c>
      <c r="H47" s="0" t="inlineStr">
        <is>
          <t>(Stage</t>
        </is>
      </c>
      <c r="I47" s="0" t="inlineStr">
        <is>
          <t>:</t>
        </is>
      </c>
      <c r="J47" s="0" t="inlineStr">
        <is>
          <t>8)</t>
        </is>
      </c>
    </row>
    <row r="48">
      <c r="A48" s="0" t="inlineStr">
        <is>
          <t>New</t>
        </is>
      </c>
      <c r="B48" s="0" t="inlineStr">
        <is>
          <t>Item</t>
        </is>
      </c>
      <c r="C48" s="0" t="inlineStr">
        <is>
          <t>Acquired</t>
        </is>
      </c>
      <c r="D48" s="0" t="inlineStr">
        <is>
          <t>:</t>
        </is>
      </c>
      <c r="E48" s="0" t="inlineStr">
        <is>
          <t>200.00K</t>
        </is>
      </c>
      <c r="F48" s="0" t="inlineStr">
        <is>
          <t>(8,</t>
        </is>
      </c>
      <c r="G48" s="0" t="inlineStr">
        <is>
          <t>9)</t>
        </is>
      </c>
    </row>
    <row r="49">
      <c r="A49" s="0" t="inlineStr">
        <is>
          <t>New</t>
        </is>
      </c>
      <c r="B49" s="0" t="inlineStr">
        <is>
          <t>Item</t>
        </is>
      </c>
      <c r="C49" s="0" t="inlineStr">
        <is>
          <t>Acquired</t>
        </is>
      </c>
      <c r="D49" s="0" t="inlineStr">
        <is>
          <t>:</t>
        </is>
      </c>
      <c r="E49" s="0" t="inlineStr">
        <is>
          <t>120.00K</t>
        </is>
      </c>
      <c r="F49" s="0" t="inlineStr">
        <is>
          <t>(8,</t>
        </is>
      </c>
      <c r="G49" s="0" t="inlineStr">
        <is>
          <t>21)</t>
        </is>
      </c>
    </row>
    <row r="50">
      <c r="A50" s="0" t="inlineStr">
        <is>
          <t>New</t>
        </is>
      </c>
      <c r="B50" s="0" t="inlineStr">
        <is>
          <t>Item</t>
        </is>
      </c>
      <c r="C50" s="0" t="inlineStr">
        <is>
          <t>Acquired</t>
        </is>
      </c>
      <c r="D50" s="0" t="inlineStr">
        <is>
          <t>:</t>
        </is>
      </c>
      <c r="E50" s="0" t="inlineStr">
        <is>
          <t>90.00K</t>
        </is>
      </c>
      <c r="F50" s="0" t="inlineStr">
        <is>
          <t>(7,</t>
        </is>
      </c>
      <c r="G50" s="0" t="inlineStr">
        <is>
          <t>14)</t>
        </is>
      </c>
    </row>
    <row r="51">
      <c r="A51" s="0" t="inlineStr">
        <is>
          <t>New</t>
        </is>
      </c>
      <c r="B51" s="0" t="inlineStr">
        <is>
          <t>Item</t>
        </is>
      </c>
      <c r="C51" s="0" t="inlineStr">
        <is>
          <t>Acquired</t>
        </is>
      </c>
      <c r="D51" s="0" t="inlineStr">
        <is>
          <t>:</t>
        </is>
      </c>
      <c r="E51" s="0" t="inlineStr">
        <is>
          <t>90.00K</t>
        </is>
      </c>
      <c r="F51" s="0" t="inlineStr">
        <is>
          <t>(7,</t>
        </is>
      </c>
      <c r="G51" s="0" t="inlineStr">
        <is>
          <t>22)</t>
        </is>
      </c>
    </row>
    <row r="52">
      <c r="A52" s="0" t="inlineStr">
        <is>
          <t>New</t>
        </is>
      </c>
      <c r="B52" s="0" t="inlineStr">
        <is>
          <t>Item</t>
        </is>
      </c>
      <c r="C52" s="0" t="inlineStr">
        <is>
          <t>Acquired</t>
        </is>
      </c>
      <c r="D52" s="0" t="inlineStr">
        <is>
          <t>:</t>
        </is>
      </c>
      <c r="E52" s="0" t="inlineStr">
        <is>
          <t>280.00K</t>
        </is>
      </c>
      <c r="F52" s="0" t="inlineStr">
        <is>
          <t>(8,</t>
        </is>
      </c>
      <c r="G52" s="0" t="inlineStr">
        <is>
          <t>8)</t>
        </is>
      </c>
    </row>
    <row r="53">
      <c r="A53" s="0" t="inlineStr">
        <is>
          <t>New</t>
        </is>
      </c>
      <c r="B53" s="0" t="inlineStr">
        <is>
          <t>Item</t>
        </is>
      </c>
      <c r="C53" s="0" t="inlineStr">
        <is>
          <t>Acquired</t>
        </is>
      </c>
      <c r="D53" s="0" t="inlineStr">
        <is>
          <t>:</t>
        </is>
      </c>
      <c r="E53" s="0" t="inlineStr">
        <is>
          <t>150.00K</t>
        </is>
      </c>
      <c r="F53" s="0" t="inlineStr">
        <is>
          <t>(7,</t>
        </is>
      </c>
      <c r="G53" s="0" t="inlineStr">
        <is>
          <t>21)</t>
        </is>
      </c>
    </row>
    <row r="54">
      <c r="A54" s="0" t="inlineStr">
        <is>
          <t>Line</t>
        </is>
      </c>
      <c r="B54" s="0" t="inlineStr">
        <is>
          <t>Prize</t>
        </is>
      </c>
      <c r="C54" s="0" t="inlineStr">
        <is>
          <t>Acquired</t>
        </is>
      </c>
      <c r="D54" s="0" t="inlineStr">
        <is>
          <t>:</t>
        </is>
      </c>
      <c r="E54" s="0" t="inlineStr">
        <is>
          <t>1.08M</t>
        </is>
      </c>
      <c r="F54" s="0" t="inlineStr">
        <is>
          <t>(Stage</t>
        </is>
      </c>
      <c r="G54" s="0" t="inlineStr">
        <is>
          <t>:</t>
        </is>
      </c>
      <c r="H54" s="0" t="inlineStr">
        <is>
          <t>7)</t>
        </is>
      </c>
      <c r="I54" s="0" t="inlineStr">
        <is>
          <t>-</t>
        </is>
      </c>
      <c r="J54" s="0" t="n">
        <v>1080000</v>
      </c>
    </row>
    <row r="55">
      <c r="A55" s="0" t="inlineStr">
        <is>
          <t>Clear</t>
        </is>
      </c>
      <c r="B55" s="0" t="inlineStr">
        <is>
          <t>Gem</t>
        </is>
      </c>
      <c r="C55" s="0" t="inlineStr">
        <is>
          <t>Acquired</t>
        </is>
      </c>
      <c r="D55" s="0" t="inlineStr">
        <is>
          <t>:</t>
        </is>
      </c>
      <c r="E55" s="0" t="n">
        <v>200</v>
      </c>
      <c r="F55" s="0" t="inlineStr">
        <is>
          <t>-&gt;</t>
        </is>
      </c>
      <c r="G55" s="0" t="n">
        <v>300</v>
      </c>
      <c r="H55" s="0" t="inlineStr">
        <is>
          <t>(Stage</t>
        </is>
      </c>
      <c r="I55" s="0" t="inlineStr">
        <is>
          <t>:</t>
        </is>
      </c>
      <c r="J55" s="0" t="inlineStr">
        <is>
          <t>7)</t>
        </is>
      </c>
    </row>
    <row r="56">
      <c r="A56" s="0" t="inlineStr">
        <is>
          <t>New</t>
        </is>
      </c>
      <c r="B56" s="0" t="inlineStr">
        <is>
          <t>Item</t>
        </is>
      </c>
      <c r="C56" s="0" t="inlineStr">
        <is>
          <t>Acquired</t>
        </is>
      </c>
      <c r="D56" s="0" t="inlineStr">
        <is>
          <t>:</t>
        </is>
      </c>
      <c r="E56" s="0" t="inlineStr">
        <is>
          <t>Mini</t>
        </is>
      </c>
      <c r="F56" s="0" t="inlineStr">
        <is>
          <t>(8,</t>
        </is>
      </c>
      <c r="G56" s="0" t="inlineStr">
        <is>
          <t>19)</t>
        </is>
      </c>
    </row>
    <row r="57">
      <c r="A57" s="0" t="inlineStr">
        <is>
          <t>New</t>
        </is>
      </c>
      <c r="B57" s="0" t="inlineStr">
        <is>
          <t>Item</t>
        </is>
      </c>
      <c r="C57" s="0" t="inlineStr">
        <is>
          <t>Acquired</t>
        </is>
      </c>
      <c r="D57" s="0" t="inlineStr">
        <is>
          <t>:</t>
        </is>
      </c>
      <c r="E57" s="0" t="inlineStr">
        <is>
          <t>120.00K</t>
        </is>
      </c>
      <c r="F57" s="0" t="inlineStr">
        <is>
          <t>(8,</t>
        </is>
      </c>
      <c r="G57" s="0" t="inlineStr">
        <is>
          <t>18)</t>
        </is>
      </c>
    </row>
    <row r="58">
      <c r="A58" s="0" t="inlineStr">
        <is>
          <t>New</t>
        </is>
      </c>
      <c r="B58" s="0" t="inlineStr">
        <is>
          <t>Item</t>
        </is>
      </c>
      <c r="C58" s="0" t="inlineStr">
        <is>
          <t>Acquired</t>
        </is>
      </c>
      <c r="D58" s="0" t="inlineStr">
        <is>
          <t>:</t>
        </is>
      </c>
      <c r="E58" s="0" t="inlineStr">
        <is>
          <t>Mega</t>
        </is>
      </c>
      <c r="F58" s="0" t="inlineStr">
        <is>
          <t>(7,</t>
        </is>
      </c>
      <c r="G58" s="0" t="inlineStr">
        <is>
          <t>15)</t>
        </is>
      </c>
    </row>
    <row r="59">
      <c r="A59" s="0" t="inlineStr">
        <is>
          <t>New</t>
        </is>
      </c>
      <c r="B59" s="0" t="inlineStr">
        <is>
          <t>Item</t>
        </is>
      </c>
      <c r="C59" s="0" t="inlineStr">
        <is>
          <t>Acquired</t>
        </is>
      </c>
      <c r="D59" s="0" t="inlineStr">
        <is>
          <t>:</t>
        </is>
      </c>
      <c r="E59" s="0" t="inlineStr">
        <is>
          <t>150.00K</t>
        </is>
      </c>
      <c r="F59" s="0" t="inlineStr">
        <is>
          <t>(7,</t>
        </is>
      </c>
      <c r="G59" s="0" t="inlineStr">
        <is>
          <t>10)</t>
        </is>
      </c>
    </row>
    <row r="60">
      <c r="A60" s="0" t="inlineStr">
        <is>
          <t>New</t>
        </is>
      </c>
      <c r="B60" s="0" t="inlineStr">
        <is>
          <t>Item</t>
        </is>
      </c>
      <c r="C60" s="0" t="inlineStr">
        <is>
          <t>Acquired</t>
        </is>
      </c>
      <c r="D60" s="0" t="inlineStr">
        <is>
          <t>:</t>
        </is>
      </c>
      <c r="E60" s="0" t="inlineStr">
        <is>
          <t>120.00K</t>
        </is>
      </c>
      <c r="F60" s="0" t="inlineStr">
        <is>
          <t>(8,</t>
        </is>
      </c>
      <c r="G60" s="0" t="inlineStr">
        <is>
          <t>23)</t>
        </is>
      </c>
    </row>
    <row r="61">
      <c r="A61" s="0" t="inlineStr">
        <is>
          <t>New</t>
        </is>
      </c>
      <c r="B61" s="0" t="inlineStr">
        <is>
          <t>Item</t>
        </is>
      </c>
      <c r="C61" s="0" t="inlineStr">
        <is>
          <t>Acquired</t>
        </is>
      </c>
      <c r="D61" s="0" t="inlineStr">
        <is>
          <t>:</t>
        </is>
      </c>
      <c r="E61" s="0" t="inlineStr">
        <is>
          <t>150.00K</t>
        </is>
      </c>
      <c r="F61" s="0" t="inlineStr">
        <is>
          <t>(7,</t>
        </is>
      </c>
      <c r="G61" s="0" t="inlineStr">
        <is>
          <t>6)</t>
        </is>
      </c>
    </row>
    <row r="62">
      <c r="A62" s="0" t="inlineStr">
        <is>
          <t>New</t>
        </is>
      </c>
      <c r="B62" s="0" t="inlineStr">
        <is>
          <t>Item</t>
        </is>
      </c>
      <c r="C62" s="0" t="inlineStr">
        <is>
          <t>Acquired</t>
        </is>
      </c>
      <c r="D62" s="0" t="inlineStr">
        <is>
          <t>:</t>
        </is>
      </c>
      <c r="E62" s="0" t="inlineStr">
        <is>
          <t>210.00K</t>
        </is>
      </c>
      <c r="F62" s="0" t="inlineStr">
        <is>
          <t>(7,</t>
        </is>
      </c>
      <c r="G62" s="0" t="inlineStr">
        <is>
          <t>19)</t>
        </is>
      </c>
    </row>
    <row r="63">
      <c r="A63" s="0" t="inlineStr">
        <is>
          <t>New</t>
        </is>
      </c>
      <c r="B63" s="0" t="inlineStr">
        <is>
          <t>Item</t>
        </is>
      </c>
      <c r="C63" s="0" t="inlineStr">
        <is>
          <t>Acquired</t>
        </is>
      </c>
      <c r="D63" s="0" t="inlineStr">
        <is>
          <t>:</t>
        </is>
      </c>
      <c r="E63" s="0" t="inlineStr">
        <is>
          <t>200.00K</t>
        </is>
      </c>
      <c r="F63" s="0" t="inlineStr">
        <is>
          <t>(8,</t>
        </is>
      </c>
      <c r="G63" s="0" t="inlineStr">
        <is>
          <t>12)</t>
        </is>
      </c>
    </row>
    <row r="64">
      <c r="A64" s="0" t="inlineStr">
        <is>
          <t>New</t>
        </is>
      </c>
      <c r="B64" s="0" t="inlineStr">
        <is>
          <t>Item</t>
        </is>
      </c>
      <c r="C64" s="0" t="inlineStr">
        <is>
          <t>Acquired</t>
        </is>
      </c>
      <c r="D64" s="0" t="inlineStr">
        <is>
          <t>:</t>
        </is>
      </c>
      <c r="E64" s="0" t="inlineStr">
        <is>
          <t>150.00K</t>
        </is>
      </c>
      <c r="F64" s="0" t="inlineStr">
        <is>
          <t>(7,</t>
        </is>
      </c>
      <c r="G64" s="0" t="inlineStr">
        <is>
          <t>11)</t>
        </is>
      </c>
    </row>
    <row r="65">
      <c r="A65" s="0" t="inlineStr">
        <is>
          <t>New</t>
        </is>
      </c>
      <c r="B65" s="0" t="inlineStr">
        <is>
          <t>Item</t>
        </is>
      </c>
      <c r="C65" s="0" t="inlineStr">
        <is>
          <t>Acquired</t>
        </is>
      </c>
      <c r="D65" s="0" t="inlineStr">
        <is>
          <t>:</t>
        </is>
      </c>
      <c r="E65" s="0" t="inlineStr">
        <is>
          <t>90.00K</t>
        </is>
      </c>
      <c r="F65" s="0" t="inlineStr">
        <is>
          <t>(7,</t>
        </is>
      </c>
      <c r="G65" s="0" t="inlineStr">
        <is>
          <t>25)</t>
        </is>
      </c>
    </row>
    <row r="66">
      <c r="A66" s="0" t="inlineStr">
        <is>
          <t>New</t>
        </is>
      </c>
      <c r="B66" s="0" t="inlineStr">
        <is>
          <t>Item</t>
        </is>
      </c>
      <c r="C66" s="0" t="inlineStr">
        <is>
          <t>Acquired</t>
        </is>
      </c>
      <c r="D66" s="0" t="inlineStr">
        <is>
          <t>:</t>
        </is>
      </c>
      <c r="E66" s="0" t="inlineStr">
        <is>
          <t>200.00K</t>
        </is>
      </c>
      <c r="F66" s="0" t="inlineStr">
        <is>
          <t>(8,</t>
        </is>
      </c>
      <c r="G66" s="0" t="inlineStr">
        <is>
          <t>10)</t>
        </is>
      </c>
    </row>
    <row r="67">
      <c r="A67" s="0" t="inlineStr">
        <is>
          <t>New</t>
        </is>
      </c>
      <c r="B67" s="0" t="inlineStr">
        <is>
          <t>Item</t>
        </is>
      </c>
      <c r="C67" s="0" t="inlineStr">
        <is>
          <t>Acquired</t>
        </is>
      </c>
      <c r="D67" s="0" t="inlineStr">
        <is>
          <t>:</t>
        </is>
      </c>
      <c r="E67" s="0" t="inlineStr">
        <is>
          <t>90.00K</t>
        </is>
      </c>
      <c r="F67" s="0" t="inlineStr">
        <is>
          <t>(7,</t>
        </is>
      </c>
      <c r="G67" s="0" t="inlineStr">
        <is>
          <t>18)</t>
        </is>
      </c>
    </row>
    <row r="68">
      <c r="A68" s="0" t="inlineStr">
        <is>
          <t>New</t>
        </is>
      </c>
      <c r="B68" s="0" t="inlineStr">
        <is>
          <t>Item</t>
        </is>
      </c>
      <c r="C68" s="0" t="inlineStr">
        <is>
          <t>Acquired</t>
        </is>
      </c>
      <c r="D68" s="0" t="inlineStr">
        <is>
          <t>:</t>
        </is>
      </c>
      <c r="E68" s="0" t="inlineStr">
        <is>
          <t>280.00K</t>
        </is>
      </c>
      <c r="F68" s="0" t="inlineStr">
        <is>
          <t>(8,</t>
        </is>
      </c>
      <c r="G68" s="0" t="inlineStr">
        <is>
          <t>15)</t>
        </is>
      </c>
    </row>
    <row r="69">
      <c r="A69" s="0" t="inlineStr">
        <is>
          <t>New</t>
        </is>
      </c>
      <c r="B69" s="0" t="inlineStr">
        <is>
          <t>Item</t>
        </is>
      </c>
      <c r="C69" s="0" t="inlineStr">
        <is>
          <t>Acquired</t>
        </is>
      </c>
      <c r="D69" s="0" t="inlineStr">
        <is>
          <t>:</t>
        </is>
      </c>
      <c r="E69" s="0" t="inlineStr">
        <is>
          <t>90.00K</t>
        </is>
      </c>
      <c r="F69" s="0" t="inlineStr">
        <is>
          <t>(7,</t>
        </is>
      </c>
      <c r="G69" s="0" t="inlineStr">
        <is>
          <t>9)</t>
        </is>
      </c>
    </row>
    <row r="70">
      <c r="A70" s="0" t="inlineStr">
        <is>
          <t>New</t>
        </is>
      </c>
      <c r="B70" s="0" t="inlineStr">
        <is>
          <t>Item</t>
        </is>
      </c>
      <c r="C70" s="0" t="inlineStr">
        <is>
          <t>Acquired</t>
        </is>
      </c>
      <c r="D70" s="0" t="inlineStr">
        <is>
          <t>:</t>
        </is>
      </c>
      <c r="E70" s="0" t="inlineStr">
        <is>
          <t>125.00K</t>
        </is>
      </c>
      <c r="F70" s="0" t="inlineStr">
        <is>
          <t>(6,</t>
        </is>
      </c>
      <c r="G70" s="0" t="inlineStr">
        <is>
          <t>14)</t>
        </is>
      </c>
    </row>
    <row r="71">
      <c r="A71" s="0" t="inlineStr">
        <is>
          <t>Line</t>
        </is>
      </c>
      <c r="B71" s="0" t="inlineStr">
        <is>
          <t>Prize</t>
        </is>
      </c>
      <c r="C71" s="0" t="inlineStr">
        <is>
          <t>Acquired</t>
        </is>
      </c>
      <c r="D71" s="0" t="inlineStr">
        <is>
          <t>:</t>
        </is>
      </c>
      <c r="E71" s="0" t="inlineStr">
        <is>
          <t>850.00K</t>
        </is>
      </c>
      <c r="F71" s="0" t="inlineStr">
        <is>
          <t>(Stage</t>
        </is>
      </c>
      <c r="G71" s="0" t="inlineStr">
        <is>
          <t>:</t>
        </is>
      </c>
      <c r="H71" s="0" t="inlineStr">
        <is>
          <t>6)</t>
        </is>
      </c>
      <c r="I71" s="0" t="inlineStr">
        <is>
          <t>-</t>
        </is>
      </c>
      <c r="J71" s="0" t="n">
        <v>850000</v>
      </c>
    </row>
    <row r="72">
      <c r="A72" s="0" t="inlineStr">
        <is>
          <t>Clear</t>
        </is>
      </c>
      <c r="B72" s="0" t="inlineStr">
        <is>
          <t>Gem</t>
        </is>
      </c>
      <c r="C72" s="0" t="inlineStr">
        <is>
          <t>Acquired</t>
        </is>
      </c>
      <c r="D72" s="0" t="inlineStr">
        <is>
          <t>:</t>
        </is>
      </c>
      <c r="E72" s="0" t="n">
        <v>300</v>
      </c>
      <c r="F72" s="0" t="inlineStr">
        <is>
          <t>-&gt;</t>
        </is>
      </c>
      <c r="G72" s="0" t="n">
        <v>400</v>
      </c>
      <c r="H72" s="0" t="inlineStr">
        <is>
          <t>(Stage</t>
        </is>
      </c>
      <c r="I72" s="0" t="inlineStr">
        <is>
          <t>:</t>
        </is>
      </c>
      <c r="J72" s="0" t="inlineStr">
        <is>
          <t>6)</t>
        </is>
      </c>
    </row>
    <row r="73">
      <c r="A73" s="0" t="inlineStr">
        <is>
          <t>New</t>
        </is>
      </c>
      <c r="B73" s="0" t="inlineStr">
        <is>
          <t>Item</t>
        </is>
      </c>
      <c r="C73" s="0" t="inlineStr">
        <is>
          <t>Acquired</t>
        </is>
      </c>
      <c r="D73" s="0" t="inlineStr">
        <is>
          <t>:</t>
        </is>
      </c>
      <c r="E73" s="0" t="inlineStr">
        <is>
          <t>75.00K</t>
        </is>
      </c>
      <c r="F73" s="0" t="inlineStr">
        <is>
          <t>(6,</t>
        </is>
      </c>
      <c r="G73" s="0" t="inlineStr">
        <is>
          <t>5)</t>
        </is>
      </c>
    </row>
    <row r="74">
      <c r="A74" s="0" t="inlineStr">
        <is>
          <t>New</t>
        </is>
      </c>
      <c r="B74" s="0" t="inlineStr">
        <is>
          <t>Item</t>
        </is>
      </c>
      <c r="C74" s="0" t="inlineStr">
        <is>
          <t>Acquired</t>
        </is>
      </c>
      <c r="D74" s="0" t="inlineStr">
        <is>
          <t>:</t>
        </is>
      </c>
      <c r="E74" s="0" t="inlineStr">
        <is>
          <t>125.00K</t>
        </is>
      </c>
      <c r="F74" s="0" t="inlineStr">
        <is>
          <t>(6,</t>
        </is>
      </c>
      <c r="G74" s="0" t="inlineStr">
        <is>
          <t>2)</t>
        </is>
      </c>
    </row>
    <row r="75">
      <c r="A75" s="0" t="inlineStr">
        <is>
          <t>New</t>
        </is>
      </c>
      <c r="B75" s="0" t="inlineStr">
        <is>
          <t>Item</t>
        </is>
      </c>
      <c r="C75" s="0" t="inlineStr">
        <is>
          <t>Acquired</t>
        </is>
      </c>
      <c r="D75" s="0" t="inlineStr">
        <is>
          <t>:</t>
        </is>
      </c>
      <c r="E75" s="0" t="inlineStr">
        <is>
          <t>120.00K</t>
        </is>
      </c>
      <c r="F75" s="0" t="inlineStr">
        <is>
          <t>(8,</t>
        </is>
      </c>
      <c r="G75" s="0" t="inlineStr">
        <is>
          <t>22)</t>
        </is>
      </c>
    </row>
    <row r="76">
      <c r="A76" s="0" t="inlineStr">
        <is>
          <t>New</t>
        </is>
      </c>
      <c r="B76" s="0" t="inlineStr">
        <is>
          <t>Item</t>
        </is>
      </c>
      <c r="C76" s="0" t="inlineStr">
        <is>
          <t>Acquired</t>
        </is>
      </c>
      <c r="D76" s="0" t="inlineStr">
        <is>
          <t>:</t>
        </is>
      </c>
      <c r="E76" s="0" t="inlineStr">
        <is>
          <t>175.00K</t>
        </is>
      </c>
      <c r="F76" s="0" t="inlineStr">
        <is>
          <t>(6,</t>
        </is>
      </c>
      <c r="G76" s="0" t="inlineStr">
        <is>
          <t>18)</t>
        </is>
      </c>
    </row>
    <row r="77">
      <c r="A77" s="0" t="inlineStr">
        <is>
          <t>New</t>
        </is>
      </c>
      <c r="B77" s="0" t="inlineStr">
        <is>
          <t>Item</t>
        </is>
      </c>
      <c r="C77" s="0" t="inlineStr">
        <is>
          <t>Acquired</t>
        </is>
      </c>
      <c r="D77" s="0" t="inlineStr">
        <is>
          <t>:</t>
        </is>
      </c>
      <c r="E77" s="0" t="inlineStr">
        <is>
          <t>Minor</t>
        </is>
      </c>
      <c r="F77" s="0" t="inlineStr">
        <is>
          <t>(6,</t>
        </is>
      </c>
      <c r="G77" s="0" t="inlineStr">
        <is>
          <t>7)</t>
        </is>
      </c>
    </row>
    <row r="78">
      <c r="A78" s="0" t="inlineStr">
        <is>
          <t>New</t>
        </is>
      </c>
      <c r="B78" s="0" t="inlineStr">
        <is>
          <t>Item</t>
        </is>
      </c>
      <c r="C78" s="0" t="inlineStr">
        <is>
          <t>Acquired</t>
        </is>
      </c>
      <c r="D78" s="0" t="inlineStr">
        <is>
          <t>:</t>
        </is>
      </c>
      <c r="E78" s="0" t="inlineStr">
        <is>
          <t>150.00K</t>
        </is>
      </c>
      <c r="F78" s="0" t="inlineStr">
        <is>
          <t>(7,</t>
        </is>
      </c>
      <c r="G78" s="0" t="inlineStr">
        <is>
          <t>22)</t>
        </is>
      </c>
    </row>
    <row r="79">
      <c r="A79" s="0" t="inlineStr">
        <is>
          <t>New</t>
        </is>
      </c>
      <c r="B79" s="0" t="inlineStr">
        <is>
          <t>Item</t>
        </is>
      </c>
      <c r="C79" s="0" t="inlineStr">
        <is>
          <t>Acquired</t>
        </is>
      </c>
      <c r="D79" s="0" t="inlineStr">
        <is>
          <t>:</t>
        </is>
      </c>
      <c r="E79" s="0" t="inlineStr">
        <is>
          <t>90.00K</t>
        </is>
      </c>
      <c r="F79" s="0" t="inlineStr">
        <is>
          <t>(7,</t>
        </is>
      </c>
      <c r="G79" s="0" t="inlineStr">
        <is>
          <t>3)</t>
        </is>
      </c>
    </row>
    <row r="80">
      <c r="A80" s="0" t="inlineStr">
        <is>
          <t>New</t>
        </is>
      </c>
      <c r="B80" s="0" t="inlineStr">
        <is>
          <t>Item</t>
        </is>
      </c>
      <c r="C80" s="0" t="inlineStr">
        <is>
          <t>Acquired</t>
        </is>
      </c>
      <c r="D80" s="0" t="inlineStr">
        <is>
          <t>:</t>
        </is>
      </c>
      <c r="E80" s="0" t="inlineStr">
        <is>
          <t>150.00K</t>
        </is>
      </c>
      <c r="F80" s="0" t="inlineStr">
        <is>
          <t>(7,</t>
        </is>
      </c>
      <c r="G80" s="0" t="inlineStr">
        <is>
          <t>8)</t>
        </is>
      </c>
    </row>
    <row r="81">
      <c r="A81" s="0" t="inlineStr">
        <is>
          <t>New</t>
        </is>
      </c>
      <c r="B81" s="0" t="inlineStr">
        <is>
          <t>Item</t>
        </is>
      </c>
      <c r="C81" s="0" t="inlineStr">
        <is>
          <t>Acquired</t>
        </is>
      </c>
      <c r="D81" s="0" t="inlineStr">
        <is>
          <t>:</t>
        </is>
      </c>
      <c r="E81" s="0" t="inlineStr">
        <is>
          <t>90.00K</t>
        </is>
      </c>
      <c r="F81" s="0" t="inlineStr">
        <is>
          <t>(7,</t>
        </is>
      </c>
      <c r="G81" s="0" t="inlineStr">
        <is>
          <t>12)</t>
        </is>
      </c>
    </row>
    <row r="82">
      <c r="A82" s="0" t="inlineStr">
        <is>
          <t>New</t>
        </is>
      </c>
      <c r="B82" s="0" t="inlineStr">
        <is>
          <t>Item</t>
        </is>
      </c>
      <c r="C82" s="0" t="inlineStr">
        <is>
          <t>Acquired</t>
        </is>
      </c>
      <c r="D82" s="0" t="inlineStr">
        <is>
          <t>:</t>
        </is>
      </c>
      <c r="E82" s="0" t="inlineStr">
        <is>
          <t>280.00K</t>
        </is>
      </c>
      <c r="F82" s="0" t="inlineStr">
        <is>
          <t>(8,</t>
        </is>
      </c>
      <c r="G82" s="0" t="inlineStr">
        <is>
          <t>7)</t>
        </is>
      </c>
    </row>
    <row r="83">
      <c r="A83" s="0" t="inlineStr">
        <is>
          <t>New</t>
        </is>
      </c>
      <c r="B83" s="0" t="inlineStr">
        <is>
          <t>Item</t>
        </is>
      </c>
      <c r="C83" s="0" t="inlineStr">
        <is>
          <t>Acquired</t>
        </is>
      </c>
      <c r="D83" s="0" t="inlineStr">
        <is>
          <t>:</t>
        </is>
      </c>
      <c r="E83" s="0" t="inlineStr">
        <is>
          <t>Minor</t>
        </is>
      </c>
      <c r="F83" s="0" t="inlineStr">
        <is>
          <t>(7,</t>
        </is>
      </c>
      <c r="G83" s="0" t="inlineStr">
        <is>
          <t>17)</t>
        </is>
      </c>
    </row>
    <row r="84">
      <c r="A84" s="0" t="inlineStr">
        <is>
          <t>New</t>
        </is>
      </c>
      <c r="B84" s="0" t="inlineStr">
        <is>
          <t>Item</t>
        </is>
      </c>
      <c r="C84" s="0" t="inlineStr">
        <is>
          <t>Acquired</t>
        </is>
      </c>
      <c r="D84" s="0" t="inlineStr">
        <is>
          <t>:</t>
        </is>
      </c>
      <c r="E84" s="0" t="inlineStr">
        <is>
          <t>Mini</t>
        </is>
      </c>
      <c r="F84" s="0" t="inlineStr">
        <is>
          <t>(8,</t>
        </is>
      </c>
      <c r="G84" s="0" t="inlineStr">
        <is>
          <t>20)</t>
        </is>
      </c>
    </row>
    <row r="85">
      <c r="A85" s="0" t="inlineStr">
        <is>
          <t>New</t>
        </is>
      </c>
      <c r="B85" s="0" t="inlineStr">
        <is>
          <t>Item</t>
        </is>
      </c>
      <c r="C85" s="0" t="inlineStr">
        <is>
          <t>Acquired</t>
        </is>
      </c>
      <c r="D85" s="0" t="inlineStr">
        <is>
          <t>:</t>
        </is>
      </c>
      <c r="E85" s="0" t="inlineStr">
        <is>
          <t>175.00K</t>
        </is>
      </c>
      <c r="F85" s="0" t="inlineStr">
        <is>
          <t>(6,</t>
        </is>
      </c>
      <c r="G85" s="0" t="inlineStr">
        <is>
          <t>12)</t>
        </is>
      </c>
    </row>
    <row r="86">
      <c r="A86" s="0" t="inlineStr">
        <is>
          <t>New</t>
        </is>
      </c>
      <c r="B86" s="0" t="inlineStr">
        <is>
          <t>Item</t>
        </is>
      </c>
      <c r="C86" s="0" t="inlineStr">
        <is>
          <t>Acquired</t>
        </is>
      </c>
      <c r="D86" s="0" t="inlineStr">
        <is>
          <t>:</t>
        </is>
      </c>
      <c r="E86" s="0" t="inlineStr">
        <is>
          <t>175.00K</t>
        </is>
      </c>
      <c r="F86" s="0" t="inlineStr">
        <is>
          <t>(6,</t>
        </is>
      </c>
      <c r="G86" s="0" t="inlineStr">
        <is>
          <t>14)</t>
        </is>
      </c>
    </row>
    <row r="87">
      <c r="A87" s="0" t="inlineStr">
        <is>
          <t>New</t>
        </is>
      </c>
      <c r="B87" s="0" t="inlineStr">
        <is>
          <t>Item</t>
        </is>
      </c>
      <c r="C87" s="0" t="inlineStr">
        <is>
          <t>Acquired</t>
        </is>
      </c>
      <c r="D87" s="0" t="inlineStr">
        <is>
          <t>:</t>
        </is>
      </c>
      <c r="E87" s="0" t="inlineStr">
        <is>
          <t>75.00K</t>
        </is>
      </c>
      <c r="F87" s="0" t="inlineStr">
        <is>
          <t>(6,</t>
        </is>
      </c>
      <c r="G87" s="0" t="inlineStr">
        <is>
          <t>4)</t>
        </is>
      </c>
    </row>
    <row r="88">
      <c r="A88" s="0" t="inlineStr">
        <is>
          <t>New</t>
        </is>
      </c>
      <c r="B88" s="0" t="inlineStr">
        <is>
          <t>Item</t>
        </is>
      </c>
      <c r="C88" s="0" t="inlineStr">
        <is>
          <t>Acquired</t>
        </is>
      </c>
      <c r="D88" s="0" t="inlineStr">
        <is>
          <t>:</t>
        </is>
      </c>
      <c r="E88" s="0" t="inlineStr">
        <is>
          <t>Mini</t>
        </is>
      </c>
      <c r="F88" s="0" t="inlineStr">
        <is>
          <t>(6,</t>
        </is>
      </c>
      <c r="G88" s="0" t="inlineStr">
        <is>
          <t>15)</t>
        </is>
      </c>
    </row>
    <row r="89">
      <c r="A89" s="0" t="inlineStr">
        <is>
          <t>New</t>
        </is>
      </c>
      <c r="B89" s="0" t="inlineStr">
        <is>
          <t>Item</t>
        </is>
      </c>
      <c r="C89" s="0" t="inlineStr">
        <is>
          <t>Acquired</t>
        </is>
      </c>
      <c r="D89" s="0" t="inlineStr">
        <is>
          <t>:</t>
        </is>
      </c>
      <c r="E89" s="0" t="inlineStr">
        <is>
          <t>200.00K</t>
        </is>
      </c>
      <c r="F89" s="0" t="inlineStr">
        <is>
          <t>(8,</t>
        </is>
      </c>
      <c r="G89" s="0" t="inlineStr">
        <is>
          <t>1)</t>
        </is>
      </c>
    </row>
    <row r="90">
      <c r="A90" s="0" t="inlineStr">
        <is>
          <t>New</t>
        </is>
      </c>
      <c r="B90" s="0" t="inlineStr">
        <is>
          <t>Item</t>
        </is>
      </c>
      <c r="C90" s="0" t="inlineStr">
        <is>
          <t>Acquired</t>
        </is>
      </c>
      <c r="D90" s="0" t="inlineStr">
        <is>
          <t>:</t>
        </is>
      </c>
      <c r="E90" s="0" t="inlineStr">
        <is>
          <t>125.00K</t>
        </is>
      </c>
      <c r="F90" s="0" t="inlineStr">
        <is>
          <t>(6,</t>
        </is>
      </c>
      <c r="G90" s="0" t="inlineStr">
        <is>
          <t>23)</t>
        </is>
      </c>
    </row>
    <row r="91">
      <c r="A91" s="0" t="inlineStr">
        <is>
          <t>New</t>
        </is>
      </c>
      <c r="B91" s="0" t="inlineStr">
        <is>
          <t>Item</t>
        </is>
      </c>
      <c r="C91" s="0" t="inlineStr">
        <is>
          <t>Acquired</t>
        </is>
      </c>
      <c r="D91" s="0" t="inlineStr">
        <is>
          <t>:</t>
        </is>
      </c>
      <c r="E91" s="0" t="inlineStr">
        <is>
          <t>67.50K</t>
        </is>
      </c>
      <c r="F91" s="0" t="inlineStr">
        <is>
          <t>(5,</t>
        </is>
      </c>
      <c r="G91" s="0" t="inlineStr">
        <is>
          <t>16)</t>
        </is>
      </c>
    </row>
    <row r="92">
      <c r="A92" s="0" t="inlineStr">
        <is>
          <t>New</t>
        </is>
      </c>
      <c r="B92" s="0" t="inlineStr">
        <is>
          <t>Item</t>
        </is>
      </c>
      <c r="C92" s="0" t="inlineStr">
        <is>
          <t>Acquired</t>
        </is>
      </c>
      <c r="D92" s="0" t="inlineStr">
        <is>
          <t>:</t>
        </is>
      </c>
      <c r="E92" s="0" t="inlineStr">
        <is>
          <t>75.00K</t>
        </is>
      </c>
      <c r="F92" s="0" t="inlineStr">
        <is>
          <t>(6,</t>
        </is>
      </c>
      <c r="G92" s="0" t="inlineStr">
        <is>
          <t>9)</t>
        </is>
      </c>
    </row>
    <row r="93">
      <c r="A93" s="0" t="inlineStr">
        <is>
          <t>New</t>
        </is>
      </c>
      <c r="B93" s="0" t="inlineStr">
        <is>
          <t>Item</t>
        </is>
      </c>
      <c r="C93" s="0" t="inlineStr">
        <is>
          <t>Acquired</t>
        </is>
      </c>
      <c r="D93" s="0" t="inlineStr">
        <is>
          <t>:</t>
        </is>
      </c>
      <c r="E93" s="0" t="inlineStr">
        <is>
          <t>Minor</t>
        </is>
      </c>
      <c r="F93" s="0" t="inlineStr">
        <is>
          <t>(6,</t>
        </is>
      </c>
      <c r="G93" s="0" t="inlineStr">
        <is>
          <t>10)</t>
        </is>
      </c>
    </row>
    <row r="94">
      <c r="A94" s="0" t="inlineStr">
        <is>
          <t>New</t>
        </is>
      </c>
      <c r="B94" s="0" t="inlineStr">
        <is>
          <t>Item</t>
        </is>
      </c>
      <c r="C94" s="0" t="inlineStr">
        <is>
          <t>Acquired</t>
        </is>
      </c>
      <c r="D94" s="0" t="inlineStr">
        <is>
          <t>:</t>
        </is>
      </c>
      <c r="E94" s="0" t="inlineStr">
        <is>
          <t>175.00K</t>
        </is>
      </c>
      <c r="F94" s="0" t="inlineStr">
        <is>
          <t>(6,</t>
        </is>
      </c>
      <c r="G94" s="0" t="inlineStr">
        <is>
          <t>20)</t>
        </is>
      </c>
    </row>
    <row r="95">
      <c r="A95" s="0" t="inlineStr">
        <is>
          <t>New</t>
        </is>
      </c>
      <c r="B95" s="0" t="inlineStr">
        <is>
          <t>Item</t>
        </is>
      </c>
      <c r="C95" s="0" t="inlineStr">
        <is>
          <t>Acquired</t>
        </is>
      </c>
      <c r="D95" s="0" t="inlineStr">
        <is>
          <t>:</t>
        </is>
      </c>
      <c r="E95" s="0" t="inlineStr">
        <is>
          <t>37.50K</t>
        </is>
      </c>
      <c r="F95" s="0" t="inlineStr">
        <is>
          <t>(2,</t>
        </is>
      </c>
      <c r="G95" s="0" t="inlineStr">
        <is>
          <t>22)</t>
        </is>
      </c>
    </row>
    <row r="96">
      <c r="A96" s="0" t="inlineStr">
        <is>
          <t>New</t>
        </is>
      </c>
      <c r="B96" s="0" t="inlineStr">
        <is>
          <t>Item</t>
        </is>
      </c>
      <c r="C96" s="0" t="inlineStr">
        <is>
          <t>Acquired</t>
        </is>
      </c>
      <c r="D96" s="0" t="inlineStr">
        <is>
          <t>:</t>
        </is>
      </c>
      <c r="E96" s="0" t="inlineStr">
        <is>
          <t>120.00K</t>
        </is>
      </c>
      <c r="F96" s="0" t="inlineStr">
        <is>
          <t>(8,</t>
        </is>
      </c>
      <c r="G96" s="0" t="inlineStr">
        <is>
          <t>17)</t>
        </is>
      </c>
    </row>
    <row r="97">
      <c r="A97" s="0" t="inlineStr">
        <is>
          <t>New</t>
        </is>
      </c>
      <c r="B97" s="0" t="inlineStr">
        <is>
          <t>Item</t>
        </is>
      </c>
      <c r="C97" s="0" t="inlineStr">
        <is>
          <t>Acquired</t>
        </is>
      </c>
      <c r="D97" s="0" t="inlineStr">
        <is>
          <t>:</t>
        </is>
      </c>
      <c r="E97" s="0" t="inlineStr">
        <is>
          <t>175.00K</t>
        </is>
      </c>
      <c r="F97" s="0" t="inlineStr">
        <is>
          <t>(6,</t>
        </is>
      </c>
      <c r="G97" s="0" t="inlineStr">
        <is>
          <t>25)</t>
        </is>
      </c>
    </row>
    <row r="98">
      <c r="A98" s="0" t="inlineStr">
        <is>
          <t>Line</t>
        </is>
      </c>
      <c r="B98" s="0" t="inlineStr">
        <is>
          <t>Prize</t>
        </is>
      </c>
      <c r="C98" s="0" t="inlineStr">
        <is>
          <t>Acquired</t>
        </is>
      </c>
      <c r="D98" s="0" t="inlineStr">
        <is>
          <t>:</t>
        </is>
      </c>
      <c r="E98" s="0" t="inlineStr">
        <is>
          <t>1.68M</t>
        </is>
      </c>
      <c r="F98" s="0" t="inlineStr">
        <is>
          <t>(Stage</t>
        </is>
      </c>
      <c r="G98" s="0" t="inlineStr">
        <is>
          <t>:</t>
        </is>
      </c>
      <c r="H98" s="0" t="inlineStr">
        <is>
          <t>6)</t>
        </is>
      </c>
      <c r="I98" s="0" t="inlineStr">
        <is>
          <t>-</t>
        </is>
      </c>
      <c r="J98" s="0" t="n">
        <v>1675000</v>
      </c>
    </row>
    <row r="99">
      <c r="A99" s="0" t="inlineStr">
        <is>
          <t>Clear</t>
        </is>
      </c>
      <c r="B99" s="0" t="inlineStr">
        <is>
          <t>Gem</t>
        </is>
      </c>
      <c r="C99" s="0" t="inlineStr">
        <is>
          <t>Acquired</t>
        </is>
      </c>
      <c r="D99" s="0" t="inlineStr">
        <is>
          <t>:</t>
        </is>
      </c>
      <c r="E99" s="0" t="n">
        <v>400</v>
      </c>
      <c r="F99" s="0" t="inlineStr">
        <is>
          <t>-&gt;</t>
        </is>
      </c>
      <c r="G99" s="0" t="n">
        <v>500</v>
      </c>
      <c r="H99" s="0" t="inlineStr">
        <is>
          <t>(Stage</t>
        </is>
      </c>
      <c r="I99" s="0" t="inlineStr">
        <is>
          <t>:</t>
        </is>
      </c>
      <c r="J99" s="0" t="inlineStr">
        <is>
          <t>6)</t>
        </is>
      </c>
    </row>
    <row r="100">
      <c r="A100" s="0" t="inlineStr">
        <is>
          <t>New</t>
        </is>
      </c>
      <c r="B100" s="0" t="inlineStr">
        <is>
          <t>Item</t>
        </is>
      </c>
      <c r="C100" s="0" t="inlineStr">
        <is>
          <t>Acquired</t>
        </is>
      </c>
      <c r="D100" s="0" t="inlineStr">
        <is>
          <t>:</t>
        </is>
      </c>
      <c r="E100" s="0" t="inlineStr">
        <is>
          <t>200.00K</t>
        </is>
      </c>
      <c r="F100" s="0" t="inlineStr">
        <is>
          <t>(8,</t>
        </is>
      </c>
      <c r="G100" s="0" t="inlineStr">
        <is>
          <t>4)</t>
        </is>
      </c>
    </row>
    <row r="101">
      <c r="A101" s="0" t="inlineStr">
        <is>
          <t>New</t>
        </is>
      </c>
      <c r="B101" s="0" t="inlineStr">
        <is>
          <t>Item</t>
        </is>
      </c>
      <c r="C101" s="0" t="inlineStr">
        <is>
          <t>Acquired</t>
        </is>
      </c>
      <c r="D101" s="0" t="inlineStr">
        <is>
          <t>:</t>
        </is>
      </c>
      <c r="E101" s="0" t="inlineStr">
        <is>
          <t>75.00K</t>
        </is>
      </c>
      <c r="F101" s="0" t="inlineStr">
        <is>
          <t>(3,</t>
        </is>
      </c>
      <c r="G101" s="0" t="inlineStr">
        <is>
          <t>6)</t>
        </is>
      </c>
    </row>
    <row r="102">
      <c r="A102" s="0" t="inlineStr">
        <is>
          <t>New</t>
        </is>
      </c>
      <c r="B102" s="0" t="inlineStr">
        <is>
          <t>Item</t>
        </is>
      </c>
      <c r="C102" s="0" t="inlineStr">
        <is>
          <t>Acquired</t>
        </is>
      </c>
      <c r="D102" s="0" t="inlineStr">
        <is>
          <t>:</t>
        </is>
      </c>
      <c r="E102" s="0" t="inlineStr">
        <is>
          <t>210.00K</t>
        </is>
      </c>
      <c r="F102" s="0" t="inlineStr">
        <is>
          <t>(7,</t>
        </is>
      </c>
      <c r="G102" s="0" t="inlineStr">
        <is>
          <t>2)</t>
        </is>
      </c>
    </row>
    <row r="103">
      <c r="A103" s="0" t="inlineStr">
        <is>
          <t>New</t>
        </is>
      </c>
      <c r="B103" s="0" t="inlineStr">
        <is>
          <t>Item</t>
        </is>
      </c>
      <c r="C103" s="0" t="inlineStr">
        <is>
          <t>Acquired</t>
        </is>
      </c>
      <c r="D103" s="0" t="inlineStr">
        <is>
          <t>:</t>
        </is>
      </c>
      <c r="E103" s="0" t="inlineStr">
        <is>
          <t>120.00K</t>
        </is>
      </c>
      <c r="F103" s="0" t="inlineStr">
        <is>
          <t>(8,</t>
        </is>
      </c>
      <c r="G103" s="0" t="inlineStr">
        <is>
          <t>2)</t>
        </is>
      </c>
    </row>
    <row r="104">
      <c r="A104" s="0" t="inlineStr">
        <is>
          <t>Line</t>
        </is>
      </c>
      <c r="B104" s="0" t="inlineStr">
        <is>
          <t>Prize</t>
        </is>
      </c>
      <c r="C104" s="0" t="inlineStr">
        <is>
          <t>Acquired</t>
        </is>
      </c>
      <c r="D104" s="0" t="inlineStr">
        <is>
          <t>:</t>
        </is>
      </c>
      <c r="E104" s="0" t="inlineStr">
        <is>
          <t>840.00K</t>
        </is>
      </c>
      <c r="F104" s="0" t="inlineStr">
        <is>
          <t>(Stage</t>
        </is>
      </c>
      <c r="G104" s="0" t="inlineStr">
        <is>
          <t>:</t>
        </is>
      </c>
      <c r="H104" s="0" t="inlineStr">
        <is>
          <t>8)</t>
        </is>
      </c>
      <c r="I104" s="0" t="inlineStr">
        <is>
          <t>-</t>
        </is>
      </c>
      <c r="J104" s="0" t="n">
        <v>840000</v>
      </c>
    </row>
    <row r="105">
      <c r="A105" s="0" t="inlineStr">
        <is>
          <t>Clear</t>
        </is>
      </c>
      <c r="B105" s="0" t="inlineStr">
        <is>
          <t>Gem</t>
        </is>
      </c>
      <c r="C105" s="0" t="inlineStr">
        <is>
          <t>Acquired</t>
        </is>
      </c>
      <c r="D105" s="0" t="inlineStr">
        <is>
          <t>:</t>
        </is>
      </c>
      <c r="E105" s="0" t="n">
        <v>500</v>
      </c>
      <c r="F105" s="0" t="inlineStr">
        <is>
          <t>-&gt;</t>
        </is>
      </c>
      <c r="G105" s="0" t="n">
        <v>600</v>
      </c>
      <c r="H105" s="0" t="inlineStr">
        <is>
          <t>(Stage</t>
        </is>
      </c>
      <c r="I105" s="0" t="inlineStr">
        <is>
          <t>:</t>
        </is>
      </c>
      <c r="J105" s="0" t="inlineStr">
        <is>
          <t>8)</t>
        </is>
      </c>
    </row>
    <row r="106">
      <c r="A106" s="0" t="inlineStr">
        <is>
          <t>New</t>
        </is>
      </c>
      <c r="B106" s="0" t="inlineStr">
        <is>
          <t>Item</t>
        </is>
      </c>
      <c r="C106" s="0" t="inlineStr">
        <is>
          <t>Acquired</t>
        </is>
      </c>
      <c r="D106" s="0" t="inlineStr">
        <is>
          <t>:</t>
        </is>
      </c>
      <c r="E106" s="0" t="inlineStr">
        <is>
          <t>Mini</t>
        </is>
      </c>
      <c r="F106" s="0" t="inlineStr">
        <is>
          <t>(4,</t>
        </is>
      </c>
      <c r="G106" s="0" t="inlineStr">
        <is>
          <t>4)</t>
        </is>
      </c>
    </row>
    <row r="107">
      <c r="A107" s="0" t="inlineStr">
        <is>
          <t>New</t>
        </is>
      </c>
      <c r="B107" s="0" t="inlineStr">
        <is>
          <t>Item</t>
        </is>
      </c>
      <c r="C107" s="0" t="inlineStr">
        <is>
          <t>Acquired</t>
        </is>
      </c>
      <c r="D107" s="0" t="inlineStr">
        <is>
          <t>:</t>
        </is>
      </c>
      <c r="E107" s="0" t="inlineStr">
        <is>
          <t>120.00K</t>
        </is>
      </c>
      <c r="F107" s="0" t="inlineStr">
        <is>
          <t>(8,</t>
        </is>
      </c>
      <c r="G107" s="0" t="inlineStr">
        <is>
          <t>14)</t>
        </is>
      </c>
    </row>
    <row r="108">
      <c r="A108" s="0" t="inlineStr">
        <is>
          <t>New</t>
        </is>
      </c>
      <c r="B108" s="0" t="inlineStr">
        <is>
          <t>Item</t>
        </is>
      </c>
      <c r="C108" s="0" t="inlineStr">
        <is>
          <t>Acquired</t>
        </is>
      </c>
      <c r="D108" s="0" t="inlineStr">
        <is>
          <t>:</t>
        </is>
      </c>
      <c r="E108" s="0" t="inlineStr">
        <is>
          <t>Minor</t>
        </is>
      </c>
      <c r="F108" s="0" t="inlineStr">
        <is>
          <t>(8,</t>
        </is>
      </c>
      <c r="G108" s="0" t="inlineStr">
        <is>
          <t>12)</t>
        </is>
      </c>
    </row>
    <row r="109">
      <c r="A109" s="0" t="inlineStr">
        <is>
          <t>New</t>
        </is>
      </c>
      <c r="B109" s="0" t="inlineStr">
        <is>
          <t>Item</t>
        </is>
      </c>
      <c r="C109" s="0" t="inlineStr">
        <is>
          <t>Acquired</t>
        </is>
      </c>
      <c r="D109" s="0" t="inlineStr">
        <is>
          <t>:</t>
        </is>
      </c>
      <c r="E109" s="0" t="inlineStr">
        <is>
          <t>90.00K</t>
        </is>
      </c>
      <c r="F109" s="0" t="inlineStr">
        <is>
          <t>(7,</t>
        </is>
      </c>
      <c r="G109" s="0" t="inlineStr">
        <is>
          <t>14)</t>
        </is>
      </c>
    </row>
    <row r="110">
      <c r="A110" s="0" t="inlineStr">
        <is>
          <t>Line</t>
        </is>
      </c>
      <c r="B110" s="0" t="inlineStr">
        <is>
          <t>Prize</t>
        </is>
      </c>
      <c r="C110" s="0" t="inlineStr">
        <is>
          <t>Acquired</t>
        </is>
      </c>
      <c r="D110" s="0" t="inlineStr">
        <is>
          <t>:</t>
        </is>
      </c>
      <c r="E110" s="0" t="inlineStr">
        <is>
          <t>15.93M</t>
        </is>
      </c>
      <c r="F110" s="0" t="inlineStr">
        <is>
          <t>(Stage</t>
        </is>
      </c>
      <c r="G110" s="0" t="inlineStr">
        <is>
          <t>:</t>
        </is>
      </c>
      <c r="H110" s="0" t="inlineStr">
        <is>
          <t>7)</t>
        </is>
      </c>
      <c r="I110" s="0" t="inlineStr">
        <is>
          <t>-</t>
        </is>
      </c>
      <c r="J110" s="0" t="n">
        <v>15930000</v>
      </c>
    </row>
    <row r="111">
      <c r="A111" s="0" t="inlineStr">
        <is>
          <t>Clear</t>
        </is>
      </c>
      <c r="B111" s="0" t="inlineStr">
        <is>
          <t>Gem</t>
        </is>
      </c>
      <c r="C111" s="0" t="inlineStr">
        <is>
          <t>Acquired</t>
        </is>
      </c>
      <c r="D111" s="0" t="inlineStr">
        <is>
          <t>:</t>
        </is>
      </c>
      <c r="E111" s="0" t="n">
        <v>600</v>
      </c>
      <c r="F111" s="0" t="inlineStr">
        <is>
          <t>-&gt;</t>
        </is>
      </c>
      <c r="G111" s="0" t="n">
        <v>700</v>
      </c>
      <c r="H111" s="0" t="inlineStr">
        <is>
          <t>(Stage</t>
        </is>
      </c>
      <c r="I111" s="0" t="inlineStr">
        <is>
          <t>:</t>
        </is>
      </c>
      <c r="J111" s="0" t="inlineStr">
        <is>
          <t>7)</t>
        </is>
      </c>
    </row>
    <row r="112">
      <c r="A112" s="0" t="inlineStr">
        <is>
          <t>New</t>
        </is>
      </c>
      <c r="B112" s="0" t="inlineStr">
        <is>
          <t>Item</t>
        </is>
      </c>
      <c r="C112" s="0" t="inlineStr">
        <is>
          <t>Acquired</t>
        </is>
      </c>
      <c r="D112" s="0" t="inlineStr">
        <is>
          <t>:</t>
        </is>
      </c>
      <c r="E112" s="0" t="inlineStr">
        <is>
          <t>75.00K</t>
        </is>
      </c>
      <c r="F112" s="0" t="inlineStr">
        <is>
          <t>(6,</t>
        </is>
      </c>
      <c r="G112" s="0" t="inlineStr">
        <is>
          <t>18)</t>
        </is>
      </c>
    </row>
    <row r="113">
      <c r="A113" s="0" t="inlineStr">
        <is>
          <t>New</t>
        </is>
      </c>
      <c r="B113" s="0" t="inlineStr">
        <is>
          <t>Item</t>
        </is>
      </c>
      <c r="C113" s="0" t="inlineStr">
        <is>
          <t>Acquired</t>
        </is>
      </c>
      <c r="D113" s="0" t="inlineStr">
        <is>
          <t>:</t>
        </is>
      </c>
      <c r="E113" s="0" t="inlineStr">
        <is>
          <t>125.00K</t>
        </is>
      </c>
      <c r="F113" s="0" t="inlineStr">
        <is>
          <t>(6,</t>
        </is>
      </c>
      <c r="G113" s="0" t="inlineStr">
        <is>
          <t>1)</t>
        </is>
      </c>
    </row>
    <row r="114">
      <c r="A114" s="0" t="inlineStr">
        <is>
          <t>New</t>
        </is>
      </c>
      <c r="B114" s="0" t="inlineStr">
        <is>
          <t>Item</t>
        </is>
      </c>
      <c r="C114" s="0" t="inlineStr">
        <is>
          <t>Acquired</t>
        </is>
      </c>
      <c r="D114" s="0" t="inlineStr">
        <is>
          <t>:</t>
        </is>
      </c>
      <c r="E114" s="0" t="inlineStr">
        <is>
          <t>90.00K</t>
        </is>
      </c>
      <c r="F114" s="0" t="inlineStr">
        <is>
          <t>(7,</t>
        </is>
      </c>
      <c r="G114" s="0" t="inlineStr">
        <is>
          <t>9)</t>
        </is>
      </c>
    </row>
    <row r="115">
      <c r="A115" s="0" t="inlineStr">
        <is>
          <t>New</t>
        </is>
      </c>
      <c r="B115" s="0" t="inlineStr">
        <is>
          <t>Item</t>
        </is>
      </c>
      <c r="C115" s="0" t="inlineStr">
        <is>
          <t>Acquired</t>
        </is>
      </c>
      <c r="D115" s="0" t="inlineStr">
        <is>
          <t>:</t>
        </is>
      </c>
      <c r="E115" s="0" t="inlineStr">
        <is>
          <t>120.00K</t>
        </is>
      </c>
      <c r="F115" s="0" t="inlineStr">
        <is>
          <t>(8,</t>
        </is>
      </c>
      <c r="G115" s="0" t="inlineStr">
        <is>
          <t>9)</t>
        </is>
      </c>
    </row>
    <row r="116">
      <c r="A116" s="0" t="inlineStr">
        <is>
          <t>New</t>
        </is>
      </c>
      <c r="B116" s="0" t="inlineStr">
        <is>
          <t>Item</t>
        </is>
      </c>
      <c r="C116" s="0" t="inlineStr">
        <is>
          <t>Acquired</t>
        </is>
      </c>
      <c r="D116" s="0" t="inlineStr">
        <is>
          <t>:</t>
        </is>
      </c>
      <c r="E116" s="0" t="inlineStr">
        <is>
          <t>200.00K</t>
        </is>
      </c>
      <c r="F116" s="0" t="inlineStr">
        <is>
          <t>(8,</t>
        </is>
      </c>
      <c r="G116" s="0" t="inlineStr">
        <is>
          <t>10)</t>
        </is>
      </c>
    </row>
    <row r="117">
      <c r="A117" s="0" t="inlineStr">
        <is>
          <t>New</t>
        </is>
      </c>
      <c r="B117" s="0" t="inlineStr">
        <is>
          <t>Item</t>
        </is>
      </c>
      <c r="C117" s="0" t="inlineStr">
        <is>
          <t>Acquired</t>
        </is>
      </c>
      <c r="D117" s="0" t="inlineStr">
        <is>
          <t>:</t>
        </is>
      </c>
      <c r="E117" s="0" t="inlineStr">
        <is>
          <t>200.00K</t>
        </is>
      </c>
      <c r="F117" s="0" t="inlineStr">
        <is>
          <t>(8,</t>
        </is>
      </c>
      <c r="G117" s="0" t="inlineStr">
        <is>
          <t>1)</t>
        </is>
      </c>
    </row>
    <row r="118">
      <c r="A118" s="0" t="inlineStr">
        <is>
          <t>New</t>
        </is>
      </c>
      <c r="B118" s="0" t="inlineStr">
        <is>
          <t>Item</t>
        </is>
      </c>
      <c r="C118" s="0" t="inlineStr">
        <is>
          <t>Acquired</t>
        </is>
      </c>
      <c r="D118" s="0" t="inlineStr">
        <is>
          <t>:</t>
        </is>
      </c>
      <c r="E118" s="0" t="inlineStr">
        <is>
          <t>45.00K</t>
        </is>
      </c>
      <c r="F118" s="0" t="inlineStr">
        <is>
          <t>(3,</t>
        </is>
      </c>
      <c r="G118" s="0" t="inlineStr">
        <is>
          <t>10)</t>
        </is>
      </c>
    </row>
    <row r="119">
      <c r="A119" s="0" t="inlineStr">
        <is>
          <t>New</t>
        </is>
      </c>
      <c r="B119" s="0" t="inlineStr">
        <is>
          <t>Item</t>
        </is>
      </c>
      <c r="C119" s="0" t="inlineStr">
        <is>
          <t>Acquired</t>
        </is>
      </c>
      <c r="D119" s="0" t="inlineStr">
        <is>
          <t>:</t>
        </is>
      </c>
      <c r="E119" s="0" t="inlineStr">
        <is>
          <t>150.00K</t>
        </is>
      </c>
      <c r="F119" s="0" t="inlineStr">
        <is>
          <t>(7,</t>
        </is>
      </c>
      <c r="G119" s="0" t="inlineStr">
        <is>
          <t>24)</t>
        </is>
      </c>
    </row>
    <row r="120">
      <c r="A120" s="0" t="inlineStr">
        <is>
          <t>New</t>
        </is>
      </c>
      <c r="B120" s="0" t="inlineStr">
        <is>
          <t>Item</t>
        </is>
      </c>
      <c r="C120" s="0" t="inlineStr">
        <is>
          <t>Acquired</t>
        </is>
      </c>
      <c r="D120" s="0" t="inlineStr">
        <is>
          <t>:</t>
        </is>
      </c>
      <c r="E120" s="0" t="inlineStr">
        <is>
          <t>280.00K</t>
        </is>
      </c>
      <c r="F120" s="0" t="inlineStr">
        <is>
          <t>(8,</t>
        </is>
      </c>
      <c r="G120" s="0" t="inlineStr">
        <is>
          <t>8)</t>
        </is>
      </c>
    </row>
    <row r="121">
      <c r="A121" s="0" t="inlineStr">
        <is>
          <t>New</t>
        </is>
      </c>
      <c r="B121" s="0" t="inlineStr">
        <is>
          <t>Item</t>
        </is>
      </c>
      <c r="C121" s="0" t="inlineStr">
        <is>
          <t>Acquired</t>
        </is>
      </c>
      <c r="D121" s="0" t="inlineStr">
        <is>
          <t>:</t>
        </is>
      </c>
      <c r="E121" s="0" t="inlineStr">
        <is>
          <t>37.50K</t>
        </is>
      </c>
      <c r="F121" s="0" t="inlineStr">
        <is>
          <t>(2,</t>
        </is>
      </c>
      <c r="G121" s="0" t="inlineStr">
        <is>
          <t>1)</t>
        </is>
      </c>
    </row>
    <row r="122">
      <c r="A122" s="0" t="inlineStr">
        <is>
          <t>New</t>
        </is>
      </c>
      <c r="B122" s="0" t="inlineStr">
        <is>
          <t>Item</t>
        </is>
      </c>
      <c r="C122" s="0" t="inlineStr">
        <is>
          <t>Acquired</t>
        </is>
      </c>
      <c r="D122" s="0" t="inlineStr">
        <is>
          <t>:</t>
        </is>
      </c>
      <c r="E122" s="0" t="inlineStr">
        <is>
          <t>Major</t>
        </is>
      </c>
      <c r="F122" s="0" t="inlineStr">
        <is>
          <t>(6,</t>
        </is>
      </c>
      <c r="G122" s="0" t="inlineStr">
        <is>
          <t>5)</t>
        </is>
      </c>
    </row>
    <row r="123">
      <c r="A123" s="0" t="inlineStr">
        <is>
          <t>New</t>
        </is>
      </c>
      <c r="B123" s="0" t="inlineStr">
        <is>
          <t>Item</t>
        </is>
      </c>
      <c r="C123" s="0" t="inlineStr">
        <is>
          <t>Acquired</t>
        </is>
      </c>
      <c r="D123" s="0" t="inlineStr">
        <is>
          <t>:</t>
        </is>
      </c>
      <c r="E123" s="0" t="inlineStr">
        <is>
          <t>125.00K</t>
        </is>
      </c>
      <c r="F123" s="0" t="inlineStr">
        <is>
          <t>(6,</t>
        </is>
      </c>
      <c r="G123" s="0" t="inlineStr">
        <is>
          <t>15)</t>
        </is>
      </c>
    </row>
    <row r="124">
      <c r="A124" s="0" t="inlineStr">
        <is>
          <t>New</t>
        </is>
      </c>
      <c r="B124" s="0" t="inlineStr">
        <is>
          <t>Item</t>
        </is>
      </c>
      <c r="C124" s="0" t="inlineStr">
        <is>
          <t>Acquired</t>
        </is>
      </c>
      <c r="D124" s="0" t="inlineStr">
        <is>
          <t>:</t>
        </is>
      </c>
      <c r="E124" s="0" t="inlineStr">
        <is>
          <t>Minor</t>
        </is>
      </c>
      <c r="F124" s="0" t="inlineStr">
        <is>
          <t>(6,</t>
        </is>
      </c>
      <c r="G124" s="0" t="inlineStr">
        <is>
          <t>22)</t>
        </is>
      </c>
    </row>
    <row r="125">
      <c r="A125" s="0" t="inlineStr">
        <is>
          <t>New</t>
        </is>
      </c>
      <c r="B125" s="0" t="inlineStr">
        <is>
          <t>Item</t>
        </is>
      </c>
      <c r="C125" s="0" t="inlineStr">
        <is>
          <t>Acquired</t>
        </is>
      </c>
      <c r="D125" s="0" t="inlineStr">
        <is>
          <t>:</t>
        </is>
      </c>
      <c r="E125" s="0" t="inlineStr">
        <is>
          <t>75.00K</t>
        </is>
      </c>
      <c r="F125" s="0" t="inlineStr">
        <is>
          <t>(6,</t>
        </is>
      </c>
      <c r="G125" s="0" t="inlineStr">
        <is>
          <t>12)</t>
        </is>
      </c>
    </row>
    <row r="126">
      <c r="A126" s="0" t="inlineStr">
        <is>
          <t>New</t>
        </is>
      </c>
      <c r="B126" s="0" t="inlineStr">
        <is>
          <t>Item</t>
        </is>
      </c>
      <c r="C126" s="0" t="inlineStr">
        <is>
          <t>Acquired</t>
        </is>
      </c>
      <c r="D126" s="0" t="inlineStr">
        <is>
          <t>:</t>
        </is>
      </c>
      <c r="E126" s="0" t="inlineStr">
        <is>
          <t>175.00K</t>
        </is>
      </c>
      <c r="F126" s="0" t="inlineStr">
        <is>
          <t>(6,</t>
        </is>
      </c>
      <c r="G126" s="0" t="inlineStr">
        <is>
          <t>17)</t>
        </is>
      </c>
    </row>
    <row r="127">
      <c r="A127" s="0" t="inlineStr">
        <is>
          <t>New</t>
        </is>
      </c>
      <c r="B127" s="0" t="inlineStr">
        <is>
          <t>Item</t>
        </is>
      </c>
      <c r="C127" s="0" t="inlineStr">
        <is>
          <t>Acquired</t>
        </is>
      </c>
      <c r="D127" s="0" t="inlineStr">
        <is>
          <t>:</t>
        </is>
      </c>
      <c r="E127" s="0" t="inlineStr">
        <is>
          <t>150.00K</t>
        </is>
      </c>
      <c r="F127" s="0" t="inlineStr">
        <is>
          <t>(7,</t>
        </is>
      </c>
      <c r="G127" s="0" t="inlineStr">
        <is>
          <t>21)</t>
        </is>
      </c>
    </row>
    <row r="128">
      <c r="A128" s="0" t="inlineStr">
        <is>
          <t>New</t>
        </is>
      </c>
      <c r="B128" s="0" t="inlineStr">
        <is>
          <t>Item</t>
        </is>
      </c>
      <c r="C128" s="0" t="inlineStr">
        <is>
          <t>Acquired</t>
        </is>
      </c>
      <c r="D128" s="0" t="inlineStr">
        <is>
          <t>:</t>
        </is>
      </c>
      <c r="E128" s="0" t="inlineStr">
        <is>
          <t>150.00K</t>
        </is>
      </c>
      <c r="F128" s="0" t="inlineStr">
        <is>
          <t>(7,</t>
        </is>
      </c>
      <c r="G128" s="0" t="inlineStr">
        <is>
          <t>22)</t>
        </is>
      </c>
    </row>
    <row r="129">
      <c r="A129" s="0" t="inlineStr">
        <is>
          <t>New</t>
        </is>
      </c>
      <c r="B129" s="0" t="inlineStr">
        <is>
          <t>Item</t>
        </is>
      </c>
      <c r="C129" s="0" t="inlineStr">
        <is>
          <t>Acquired</t>
        </is>
      </c>
      <c r="D129" s="0" t="inlineStr">
        <is>
          <t>:</t>
        </is>
      </c>
      <c r="E129" s="0" t="inlineStr">
        <is>
          <t>150.00K</t>
        </is>
      </c>
      <c r="F129" s="0" t="inlineStr">
        <is>
          <t>(7,</t>
        </is>
      </c>
      <c r="G129" s="0" t="inlineStr">
        <is>
          <t>12)</t>
        </is>
      </c>
    </row>
    <row r="130">
      <c r="A130" s="0" t="inlineStr">
        <is>
          <t>New</t>
        </is>
      </c>
      <c r="B130" s="0" t="inlineStr">
        <is>
          <t>Item</t>
        </is>
      </c>
      <c r="C130" s="0" t="inlineStr">
        <is>
          <t>Acquired</t>
        </is>
      </c>
      <c r="D130" s="0" t="inlineStr">
        <is>
          <t>:</t>
        </is>
      </c>
      <c r="E130" s="0" t="inlineStr">
        <is>
          <t>200.00K</t>
        </is>
      </c>
      <c r="F130" s="0" t="inlineStr">
        <is>
          <t>(8,</t>
        </is>
      </c>
      <c r="G130" s="0" t="inlineStr">
        <is>
          <t>11)</t>
        </is>
      </c>
    </row>
    <row r="131">
      <c r="A131" s="0" t="inlineStr">
        <is>
          <t>New</t>
        </is>
      </c>
      <c r="B131" s="0" t="inlineStr">
        <is>
          <t>Item</t>
        </is>
      </c>
      <c r="C131" s="0" t="inlineStr">
        <is>
          <t>Acquired</t>
        </is>
      </c>
      <c r="D131" s="0" t="inlineStr">
        <is>
          <t>:</t>
        </is>
      </c>
      <c r="E131" s="0" t="inlineStr">
        <is>
          <t>Major</t>
        </is>
      </c>
      <c r="F131" s="0" t="inlineStr">
        <is>
          <t>(6,</t>
        </is>
      </c>
      <c r="G131" s="0" t="inlineStr">
        <is>
          <t>10)</t>
        </is>
      </c>
    </row>
    <row r="132">
      <c r="A132" s="0" t="inlineStr">
        <is>
          <t>New</t>
        </is>
      </c>
      <c r="B132" s="0" t="inlineStr">
        <is>
          <t>Item</t>
        </is>
      </c>
      <c r="C132" s="0" t="inlineStr">
        <is>
          <t>Acquired</t>
        </is>
      </c>
      <c r="D132" s="0" t="inlineStr">
        <is>
          <t>:</t>
        </is>
      </c>
      <c r="E132" s="0" t="inlineStr">
        <is>
          <t>90.00K</t>
        </is>
      </c>
      <c r="F132" s="0" t="inlineStr">
        <is>
          <t>(7,</t>
        </is>
      </c>
      <c r="G132" s="0" t="inlineStr">
        <is>
          <t>3)</t>
        </is>
      </c>
    </row>
    <row r="133">
      <c r="A133" s="0" t="inlineStr">
        <is>
          <t>New</t>
        </is>
      </c>
      <c r="B133" s="0" t="inlineStr">
        <is>
          <t>Item</t>
        </is>
      </c>
      <c r="C133" s="0" t="inlineStr">
        <is>
          <t>Acquired</t>
        </is>
      </c>
      <c r="D133" s="0" t="inlineStr">
        <is>
          <t>:</t>
        </is>
      </c>
      <c r="E133" s="0" t="inlineStr">
        <is>
          <t>90.00K</t>
        </is>
      </c>
      <c r="F133" s="0" t="inlineStr">
        <is>
          <t>(7,</t>
        </is>
      </c>
      <c r="G133" s="0" t="inlineStr">
        <is>
          <t>18)</t>
        </is>
      </c>
    </row>
    <row r="134">
      <c r="A134" s="0" t="inlineStr">
        <is>
          <t>New</t>
        </is>
      </c>
      <c r="B134" s="0" t="inlineStr">
        <is>
          <t>Item</t>
        </is>
      </c>
      <c r="C134" s="0" t="inlineStr">
        <is>
          <t>Acquired</t>
        </is>
      </c>
      <c r="D134" s="0" t="inlineStr">
        <is>
          <t>:</t>
        </is>
      </c>
      <c r="E134" s="0" t="inlineStr">
        <is>
          <t>75.00K</t>
        </is>
      </c>
      <c r="F134" s="0" t="inlineStr">
        <is>
          <t>(3,</t>
        </is>
      </c>
      <c r="G134" s="0" t="inlineStr">
        <is>
          <t>20)</t>
        </is>
      </c>
    </row>
    <row r="135">
      <c r="A135" s="0" t="inlineStr">
        <is>
          <t>New</t>
        </is>
      </c>
      <c r="B135" s="0" t="inlineStr">
        <is>
          <t>Item</t>
        </is>
      </c>
      <c r="C135" s="0" t="inlineStr">
        <is>
          <t>Acquired</t>
        </is>
      </c>
      <c r="D135" s="0" t="inlineStr">
        <is>
          <t>:</t>
        </is>
      </c>
      <c r="E135" s="0" t="inlineStr">
        <is>
          <t>60.00K</t>
        </is>
      </c>
      <c r="F135" s="0" t="inlineStr">
        <is>
          <t>(4,</t>
        </is>
      </c>
      <c r="G135" s="0" t="inlineStr">
        <is>
          <t>16)</t>
        </is>
      </c>
    </row>
    <row r="136">
      <c r="A136" s="0" t="inlineStr">
        <is>
          <t>New</t>
        </is>
      </c>
      <c r="B136" s="0" t="inlineStr">
        <is>
          <t>Item</t>
        </is>
      </c>
      <c r="C136" s="0" t="inlineStr">
        <is>
          <t>Acquired</t>
        </is>
      </c>
      <c r="D136" s="0" t="inlineStr">
        <is>
          <t>:</t>
        </is>
      </c>
      <c r="E136" s="0" t="inlineStr">
        <is>
          <t>Minor</t>
        </is>
      </c>
      <c r="F136" s="0" t="inlineStr">
        <is>
          <t>(6,</t>
        </is>
      </c>
      <c r="G136" s="0" t="inlineStr">
        <is>
          <t>11)</t>
        </is>
      </c>
    </row>
    <row r="137">
      <c r="A137" s="0" t="inlineStr">
        <is>
          <t>New</t>
        </is>
      </c>
      <c r="B137" s="0" t="inlineStr">
        <is>
          <t>Item</t>
        </is>
      </c>
      <c r="C137" s="0" t="inlineStr">
        <is>
          <t>Acquired</t>
        </is>
      </c>
      <c r="D137" s="0" t="inlineStr">
        <is>
          <t>:</t>
        </is>
      </c>
      <c r="E137" s="0" t="inlineStr">
        <is>
          <t>75.00K</t>
        </is>
      </c>
      <c r="F137" s="0" t="inlineStr">
        <is>
          <t>(6,</t>
        </is>
      </c>
      <c r="G137" s="0" t="inlineStr">
        <is>
          <t>20)</t>
        </is>
      </c>
    </row>
    <row r="138">
      <c r="A138" s="0" t="inlineStr">
        <is>
          <t>New</t>
        </is>
      </c>
      <c r="B138" s="0" t="inlineStr">
        <is>
          <t>Item</t>
        </is>
      </c>
      <c r="C138" s="0" t="inlineStr">
        <is>
          <t>Acquired</t>
        </is>
      </c>
      <c r="D138" s="0" t="inlineStr">
        <is>
          <t>:</t>
        </is>
      </c>
      <c r="E138" s="0" t="inlineStr">
        <is>
          <t>90.00K</t>
        </is>
      </c>
      <c r="F138" s="0" t="inlineStr">
        <is>
          <t>(7,</t>
        </is>
      </c>
      <c r="G138" s="0" t="inlineStr">
        <is>
          <t>11)</t>
        </is>
      </c>
    </row>
    <row r="139">
      <c r="A139" s="0" t="inlineStr">
        <is>
          <t>New</t>
        </is>
      </c>
      <c r="B139" s="0" t="inlineStr">
        <is>
          <t>Item</t>
        </is>
      </c>
      <c r="C139" s="0" t="inlineStr">
        <is>
          <t>Acquired</t>
        </is>
      </c>
      <c r="D139" s="0" t="inlineStr">
        <is>
          <t>:</t>
        </is>
      </c>
      <c r="E139" s="0" t="inlineStr">
        <is>
          <t>90.00K</t>
        </is>
      </c>
      <c r="F139" s="0" t="inlineStr">
        <is>
          <t>(7,</t>
        </is>
      </c>
      <c r="G139" s="0" t="inlineStr">
        <is>
          <t>20)</t>
        </is>
      </c>
    </row>
    <row r="140">
      <c r="A140" s="0" t="inlineStr">
        <is>
          <t>New</t>
        </is>
      </c>
      <c r="B140" s="0" t="inlineStr">
        <is>
          <t>Item</t>
        </is>
      </c>
      <c r="C140" s="0" t="inlineStr">
        <is>
          <t>Acquired</t>
        </is>
      </c>
      <c r="D140" s="0" t="inlineStr">
        <is>
          <t>:</t>
        </is>
      </c>
      <c r="E140" s="0" t="inlineStr">
        <is>
          <t>200.00K</t>
        </is>
      </c>
      <c r="F140" s="0" t="inlineStr">
        <is>
          <t>(8,</t>
        </is>
      </c>
      <c r="G140" s="0" t="inlineStr">
        <is>
          <t>22)</t>
        </is>
      </c>
    </row>
  </sheetData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selection activeCell="A1" sqref="A1"/>
    </sheetView>
  </sheetViews>
  <sheetFormatPr baseColWidth="8" defaultRowHeight="16.5"/>
  <cols>
    <col width="11" bestFit="1" customWidth="1" style="161" min="11" max="11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A2" s="0" t="inlineStr">
        <is>
          <t>New</t>
        </is>
      </c>
      <c r="B2" s="0" t="inlineStr">
        <is>
          <t>Item</t>
        </is>
      </c>
      <c r="C2" s="0" t="inlineStr">
        <is>
          <t>Acquired</t>
        </is>
      </c>
      <c r="D2" s="0" t="inlineStr">
        <is>
          <t>:</t>
        </is>
      </c>
      <c r="E2" s="0" t="inlineStr">
        <is>
          <t>Mini</t>
        </is>
      </c>
      <c r="F2" s="0" t="inlineStr">
        <is>
          <t>(8,</t>
        </is>
      </c>
      <c r="G2" s="0" t="inlineStr">
        <is>
          <t>7)</t>
        </is>
      </c>
      <c r="K2" s="0" t="inlineStr">
        <is>
          <t>Spins</t>
        </is>
      </c>
      <c r="L2" s="0" t="n">
        <v>3000</v>
      </c>
    </row>
    <row r="3">
      <c r="A3" s="0" t="inlineStr">
        <is>
          <t>New</t>
        </is>
      </c>
      <c r="B3" s="0" t="inlineStr">
        <is>
          <t>Item</t>
        </is>
      </c>
      <c r="C3" s="0" t="inlineStr">
        <is>
          <t>Acquired</t>
        </is>
      </c>
      <c r="D3" s="0" t="inlineStr">
        <is>
          <t>:</t>
        </is>
      </c>
      <c r="E3" s="0" t="inlineStr">
        <is>
          <t>120.00K</t>
        </is>
      </c>
      <c r="F3" s="0" t="inlineStr">
        <is>
          <t>(8,</t>
        </is>
      </c>
      <c r="G3" s="0" t="inlineStr">
        <is>
          <t>12)</t>
        </is>
      </c>
      <c r="K3" s="0" t="inlineStr">
        <is>
          <t>Symbol Pick</t>
        </is>
      </c>
      <c r="L3" s="0">
        <f>COUNTIF(A:A,"")</f>
        <v/>
      </c>
      <c r="M3" s="0">
        <f>L1/L2</f>
        <v/>
      </c>
    </row>
    <row r="4">
      <c r="A4" s="0" t="inlineStr">
        <is>
          <t>New</t>
        </is>
      </c>
      <c r="B4" s="0" t="inlineStr">
        <is>
          <t>Item</t>
        </is>
      </c>
      <c r="C4" s="0" t="inlineStr">
        <is>
          <t>Acquired</t>
        </is>
      </c>
      <c r="D4" s="0" t="inlineStr">
        <is>
          <t>:</t>
        </is>
      </c>
      <c r="E4" s="0" t="inlineStr">
        <is>
          <t>120.00K</t>
        </is>
      </c>
      <c r="F4" s="0" t="inlineStr">
        <is>
          <t>(8,</t>
        </is>
      </c>
      <c r="G4" s="0" t="inlineStr">
        <is>
          <t>23)</t>
        </is>
      </c>
      <c r="K4" s="0" t="inlineStr">
        <is>
          <t>Bingo Wins</t>
        </is>
      </c>
      <c r="L4" s="0">
        <f>COUNTIF(A:A,"Line")</f>
        <v/>
      </c>
      <c r="M4" s="0">
        <f>L1/L3</f>
        <v/>
      </c>
    </row>
    <row r="5">
      <c r="A5" s="0" t="inlineStr">
        <is>
          <t>New</t>
        </is>
      </c>
      <c r="B5" s="0" t="inlineStr">
        <is>
          <t>Item</t>
        </is>
      </c>
      <c r="C5" s="0" t="inlineStr">
        <is>
          <t>Acquired</t>
        </is>
      </c>
      <c r="D5" s="0" t="inlineStr">
        <is>
          <t>:</t>
        </is>
      </c>
      <c r="E5" s="0" t="inlineStr">
        <is>
          <t>150.00K</t>
        </is>
      </c>
      <c r="F5" s="0" t="inlineStr">
        <is>
          <t>(7,</t>
        </is>
      </c>
      <c r="G5" s="0" t="inlineStr">
        <is>
          <t>24)</t>
        </is>
      </c>
      <c r="L5" s="2">
        <f>L2/L3</f>
        <v/>
      </c>
    </row>
    <row r="6">
      <c r="A6" s="0" t="inlineStr">
        <is>
          <t>New</t>
        </is>
      </c>
      <c r="B6" s="0" t="inlineStr">
        <is>
          <t>Item</t>
        </is>
      </c>
      <c r="C6" s="0" t="inlineStr">
        <is>
          <t>Acquired</t>
        </is>
      </c>
      <c r="D6" s="0" t="inlineStr">
        <is>
          <t>:</t>
        </is>
      </c>
      <c r="E6" s="0" t="inlineStr">
        <is>
          <t>200.00K</t>
        </is>
      </c>
      <c r="F6" s="0" t="inlineStr">
        <is>
          <t>(8,</t>
        </is>
      </c>
      <c r="G6" s="0" t="inlineStr">
        <is>
          <t>25)</t>
        </is>
      </c>
    </row>
    <row r="7">
      <c r="A7" s="0" t="inlineStr">
        <is>
          <t>New</t>
        </is>
      </c>
      <c r="B7" s="0" t="inlineStr">
        <is>
          <t>Item</t>
        </is>
      </c>
      <c r="C7" s="0" t="inlineStr">
        <is>
          <t>Acquired</t>
        </is>
      </c>
      <c r="D7" s="0" t="inlineStr">
        <is>
          <t>:</t>
        </is>
      </c>
      <c r="E7" s="0" t="inlineStr">
        <is>
          <t>150.00K</t>
        </is>
      </c>
      <c r="F7" s="0" t="inlineStr">
        <is>
          <t>(7,</t>
        </is>
      </c>
      <c r="G7" s="0" t="inlineStr">
        <is>
          <t>25)</t>
        </is>
      </c>
    </row>
    <row r="8">
      <c r="A8" s="0" t="inlineStr">
        <is>
          <t>New</t>
        </is>
      </c>
      <c r="B8" s="0" t="inlineStr">
        <is>
          <t>Item</t>
        </is>
      </c>
      <c r="C8" s="0" t="inlineStr">
        <is>
          <t>Acquired</t>
        </is>
      </c>
      <c r="D8" s="0" t="inlineStr">
        <is>
          <t>:</t>
        </is>
      </c>
      <c r="E8" s="0" t="inlineStr">
        <is>
          <t>Mini</t>
        </is>
      </c>
      <c r="F8" s="0" t="inlineStr">
        <is>
          <t>(7,</t>
        </is>
      </c>
      <c r="G8" s="0" t="inlineStr">
        <is>
          <t>18)</t>
        </is>
      </c>
    </row>
    <row r="9">
      <c r="A9" s="0" t="inlineStr">
        <is>
          <t>New</t>
        </is>
      </c>
      <c r="B9" s="0" t="inlineStr">
        <is>
          <t>Item</t>
        </is>
      </c>
      <c r="C9" s="0" t="inlineStr">
        <is>
          <t>Acquired</t>
        </is>
      </c>
      <c r="D9" s="0" t="inlineStr">
        <is>
          <t>:</t>
        </is>
      </c>
      <c r="E9" s="0" t="inlineStr">
        <is>
          <t>Mini</t>
        </is>
      </c>
      <c r="F9" s="0" t="inlineStr">
        <is>
          <t>(5,</t>
        </is>
      </c>
      <c r="G9" s="0" t="inlineStr">
        <is>
          <t>6)</t>
        </is>
      </c>
    </row>
    <row r="10">
      <c r="A10" s="0" t="inlineStr">
        <is>
          <t>New</t>
        </is>
      </c>
      <c r="B10" s="0" t="inlineStr">
        <is>
          <t>Item</t>
        </is>
      </c>
      <c r="C10" s="0" t="inlineStr">
        <is>
          <t>Acquired</t>
        </is>
      </c>
      <c r="D10" s="0" t="inlineStr">
        <is>
          <t>:</t>
        </is>
      </c>
      <c r="E10" s="0" t="inlineStr">
        <is>
          <t>120.00K</t>
        </is>
      </c>
      <c r="F10" s="0" t="inlineStr">
        <is>
          <t>(8,</t>
        </is>
      </c>
      <c r="G10" s="0" t="inlineStr">
        <is>
          <t>19)</t>
        </is>
      </c>
    </row>
    <row r="11">
      <c r="A11" s="0" t="inlineStr">
        <is>
          <t>New</t>
        </is>
      </c>
      <c r="B11" s="0" t="inlineStr">
        <is>
          <t>Item</t>
        </is>
      </c>
      <c r="C11" s="0" t="inlineStr">
        <is>
          <t>Acquired</t>
        </is>
      </c>
      <c r="D11" s="0" t="inlineStr">
        <is>
          <t>:</t>
        </is>
      </c>
      <c r="E11" s="0" t="inlineStr">
        <is>
          <t>210.00K</t>
        </is>
      </c>
      <c r="F11" s="0" t="inlineStr">
        <is>
          <t>(7,</t>
        </is>
      </c>
      <c r="G11" s="0" t="inlineStr">
        <is>
          <t>22)</t>
        </is>
      </c>
    </row>
    <row r="12">
      <c r="A12" s="0" t="inlineStr">
        <is>
          <t>New</t>
        </is>
      </c>
      <c r="B12" s="0" t="inlineStr">
        <is>
          <t>Item</t>
        </is>
      </c>
      <c r="C12" s="0" t="inlineStr">
        <is>
          <t>Acquired</t>
        </is>
      </c>
      <c r="D12" s="0" t="inlineStr">
        <is>
          <t>:</t>
        </is>
      </c>
      <c r="E12" s="0" t="inlineStr">
        <is>
          <t>175.00K</t>
        </is>
      </c>
      <c r="F12" s="0" t="inlineStr">
        <is>
          <t>(6,</t>
        </is>
      </c>
      <c r="G12" s="0" t="inlineStr">
        <is>
          <t>3)</t>
        </is>
      </c>
    </row>
    <row r="13">
      <c r="A13" s="0" t="inlineStr">
        <is>
          <t>New</t>
        </is>
      </c>
      <c r="B13" s="0" t="inlineStr">
        <is>
          <t>Item</t>
        </is>
      </c>
      <c r="C13" s="0" t="inlineStr">
        <is>
          <t>Acquired</t>
        </is>
      </c>
      <c r="D13" s="0" t="inlineStr">
        <is>
          <t>:</t>
        </is>
      </c>
      <c r="E13" s="0" t="inlineStr">
        <is>
          <t>67.50K</t>
        </is>
      </c>
      <c r="F13" s="0" t="inlineStr">
        <is>
          <t>(5,</t>
        </is>
      </c>
      <c r="G13" s="0" t="inlineStr">
        <is>
          <t>2)</t>
        </is>
      </c>
    </row>
    <row r="14">
      <c r="A14" s="0" t="inlineStr">
        <is>
          <t>New</t>
        </is>
      </c>
      <c r="B14" s="0" t="inlineStr">
        <is>
          <t>Item</t>
        </is>
      </c>
      <c r="C14" s="0" t="inlineStr">
        <is>
          <t>Acquired</t>
        </is>
      </c>
      <c r="D14" s="0" t="inlineStr">
        <is>
          <t>:</t>
        </is>
      </c>
      <c r="E14" s="0" t="inlineStr">
        <is>
          <t>67.50K</t>
        </is>
      </c>
      <c r="F14" s="0" t="inlineStr">
        <is>
          <t>(5,</t>
        </is>
      </c>
      <c r="G14" s="0" t="inlineStr">
        <is>
          <t>5)</t>
        </is>
      </c>
    </row>
    <row r="15">
      <c r="A15" s="0" t="inlineStr">
        <is>
          <t>New</t>
        </is>
      </c>
      <c r="B15" s="0" t="inlineStr">
        <is>
          <t>Item</t>
        </is>
      </c>
      <c r="C15" s="0" t="inlineStr">
        <is>
          <t>Acquired</t>
        </is>
      </c>
      <c r="D15" s="0" t="inlineStr">
        <is>
          <t>:</t>
        </is>
      </c>
      <c r="E15" s="0" t="inlineStr">
        <is>
          <t>210.00K</t>
        </is>
      </c>
      <c r="F15" s="0" t="inlineStr">
        <is>
          <t>(7,</t>
        </is>
      </c>
      <c r="G15" s="0" t="inlineStr">
        <is>
          <t>9)</t>
        </is>
      </c>
    </row>
    <row r="16">
      <c r="A16" s="0" t="inlineStr">
        <is>
          <t>New</t>
        </is>
      </c>
      <c r="B16" s="0" t="inlineStr">
        <is>
          <t>Item</t>
        </is>
      </c>
      <c r="C16" s="0" t="inlineStr">
        <is>
          <t>Acquired</t>
        </is>
      </c>
      <c r="D16" s="0" t="inlineStr">
        <is>
          <t>:</t>
        </is>
      </c>
      <c r="E16" s="0" t="inlineStr">
        <is>
          <t>125.00K</t>
        </is>
      </c>
      <c r="F16" s="0" t="inlineStr">
        <is>
          <t>(6,</t>
        </is>
      </c>
      <c r="G16" s="0" t="inlineStr">
        <is>
          <t>23)</t>
        </is>
      </c>
    </row>
    <row r="17">
      <c r="A17" s="0" t="inlineStr">
        <is>
          <t>New</t>
        </is>
      </c>
      <c r="B17" s="0" t="inlineStr">
        <is>
          <t>Item</t>
        </is>
      </c>
      <c r="C17" s="0" t="inlineStr">
        <is>
          <t>Acquired</t>
        </is>
      </c>
      <c r="D17" s="0" t="inlineStr">
        <is>
          <t>:</t>
        </is>
      </c>
      <c r="E17" s="0" t="inlineStr">
        <is>
          <t>75.00K</t>
        </is>
      </c>
      <c r="F17" s="0" t="inlineStr">
        <is>
          <t>(6,</t>
        </is>
      </c>
      <c r="G17" s="0" t="inlineStr">
        <is>
          <t>16)</t>
        </is>
      </c>
    </row>
    <row r="18">
      <c r="A18" s="0" t="inlineStr">
        <is>
          <t>New</t>
        </is>
      </c>
      <c r="B18" s="0" t="inlineStr">
        <is>
          <t>Item</t>
        </is>
      </c>
      <c r="C18" s="0" t="inlineStr">
        <is>
          <t>Acquired</t>
        </is>
      </c>
      <c r="D18" s="0" t="inlineStr">
        <is>
          <t>:</t>
        </is>
      </c>
      <c r="E18" s="0" t="inlineStr">
        <is>
          <t>45.00K</t>
        </is>
      </c>
      <c r="F18" s="0" t="inlineStr">
        <is>
          <t>(3,</t>
        </is>
      </c>
      <c r="G18" s="0" t="inlineStr">
        <is>
          <t>12)</t>
        </is>
      </c>
    </row>
    <row r="19">
      <c r="A19" s="0" t="inlineStr">
        <is>
          <t>New</t>
        </is>
      </c>
      <c r="B19" s="0" t="inlineStr">
        <is>
          <t>Item</t>
        </is>
      </c>
      <c r="C19" s="0" t="inlineStr">
        <is>
          <t>Acquired</t>
        </is>
      </c>
      <c r="D19" s="0" t="inlineStr">
        <is>
          <t>:</t>
        </is>
      </c>
      <c r="E19" s="0" t="inlineStr">
        <is>
          <t>90.00K</t>
        </is>
      </c>
      <c r="F19" s="0" t="inlineStr">
        <is>
          <t>(7,</t>
        </is>
      </c>
      <c r="G19" s="0" t="inlineStr">
        <is>
          <t>1)</t>
        </is>
      </c>
    </row>
    <row r="20">
      <c r="A20" s="0" t="inlineStr">
        <is>
          <t>New</t>
        </is>
      </c>
      <c r="B20" s="0" t="inlineStr">
        <is>
          <t>Item</t>
        </is>
      </c>
      <c r="C20" s="0" t="inlineStr">
        <is>
          <t>Acquired</t>
        </is>
      </c>
      <c r="D20" s="0" t="inlineStr">
        <is>
          <t>:</t>
        </is>
      </c>
      <c r="E20" s="0" t="inlineStr">
        <is>
          <t>67.50K</t>
        </is>
      </c>
      <c r="F20" s="0" t="inlineStr">
        <is>
          <t>(5,</t>
        </is>
      </c>
      <c r="G20" s="0" t="inlineStr">
        <is>
          <t>4)</t>
        </is>
      </c>
    </row>
    <row r="21">
      <c r="A21" s="0" t="inlineStr">
        <is>
          <t>New</t>
        </is>
      </c>
      <c r="B21" s="0" t="inlineStr">
        <is>
          <t>Item</t>
        </is>
      </c>
      <c r="C21" s="0" t="inlineStr">
        <is>
          <t>Acquired</t>
        </is>
      </c>
      <c r="D21" s="0" t="inlineStr">
        <is>
          <t>:</t>
        </is>
      </c>
      <c r="E21" s="0" t="inlineStr">
        <is>
          <t>75.00K</t>
        </is>
      </c>
      <c r="F21" s="0" t="inlineStr">
        <is>
          <t>(6,</t>
        </is>
      </c>
      <c r="G21" s="0" t="inlineStr">
        <is>
          <t>5)</t>
        </is>
      </c>
    </row>
    <row r="22">
      <c r="A22" s="0" t="inlineStr">
        <is>
          <t>New</t>
        </is>
      </c>
      <c r="B22" s="0" t="inlineStr">
        <is>
          <t>Item</t>
        </is>
      </c>
      <c r="C22" s="0" t="inlineStr">
        <is>
          <t>Acquired</t>
        </is>
      </c>
      <c r="D22" s="0" t="inlineStr">
        <is>
          <t>:</t>
        </is>
      </c>
      <c r="E22" s="0" t="inlineStr">
        <is>
          <t>90.00K</t>
        </is>
      </c>
      <c r="F22" s="0" t="inlineStr">
        <is>
          <t>(7,</t>
        </is>
      </c>
      <c r="G22" s="0" t="inlineStr">
        <is>
          <t>14)</t>
        </is>
      </c>
    </row>
    <row r="23">
      <c r="A23" s="0" t="inlineStr">
        <is>
          <t>New</t>
        </is>
      </c>
      <c r="B23" s="0" t="inlineStr">
        <is>
          <t>Item</t>
        </is>
      </c>
      <c r="C23" s="0" t="inlineStr">
        <is>
          <t>Acquired</t>
        </is>
      </c>
      <c r="D23" s="0" t="inlineStr">
        <is>
          <t>:</t>
        </is>
      </c>
      <c r="E23" s="0" t="inlineStr">
        <is>
          <t>67.50K</t>
        </is>
      </c>
      <c r="F23" s="0" t="inlineStr">
        <is>
          <t>(5,</t>
        </is>
      </c>
      <c r="G23" s="0" t="inlineStr">
        <is>
          <t>15)</t>
        </is>
      </c>
    </row>
    <row r="24">
      <c r="A24" s="0" t="inlineStr">
        <is>
          <t>New</t>
        </is>
      </c>
      <c r="B24" s="0" t="inlineStr">
        <is>
          <t>Item</t>
        </is>
      </c>
      <c r="C24" s="0" t="inlineStr">
        <is>
          <t>Acquired</t>
        </is>
      </c>
      <c r="D24" s="0" t="inlineStr">
        <is>
          <t>:</t>
        </is>
      </c>
      <c r="E24" s="0" t="inlineStr">
        <is>
          <t>75.00K</t>
        </is>
      </c>
      <c r="F24" s="0" t="inlineStr">
        <is>
          <t>(6,</t>
        </is>
      </c>
      <c r="G24" s="0" t="inlineStr">
        <is>
          <t>17)</t>
        </is>
      </c>
    </row>
    <row r="25">
      <c r="A25" s="0" t="inlineStr">
        <is>
          <t>New</t>
        </is>
      </c>
      <c r="B25" s="0" t="inlineStr">
        <is>
          <t>Item</t>
        </is>
      </c>
      <c r="C25" s="0" t="inlineStr">
        <is>
          <t>Acquired</t>
        </is>
      </c>
      <c r="D25" s="0" t="inlineStr">
        <is>
          <t>:</t>
        </is>
      </c>
      <c r="E25" s="0" t="inlineStr">
        <is>
          <t>125.00K</t>
        </is>
      </c>
      <c r="F25" s="0" t="inlineStr">
        <is>
          <t>(6,</t>
        </is>
      </c>
      <c r="G25" s="0" t="inlineStr">
        <is>
          <t>4)</t>
        </is>
      </c>
    </row>
    <row r="26">
      <c r="A26" s="0" t="inlineStr">
        <is>
          <t>New</t>
        </is>
      </c>
      <c r="B26" s="0" t="inlineStr">
        <is>
          <t>Item</t>
        </is>
      </c>
      <c r="C26" s="0" t="inlineStr">
        <is>
          <t>Acquired</t>
        </is>
      </c>
      <c r="D26" s="0" t="inlineStr">
        <is>
          <t>:</t>
        </is>
      </c>
      <c r="E26" s="0" t="inlineStr">
        <is>
          <t>210.00K</t>
        </is>
      </c>
      <c r="F26" s="0" t="inlineStr">
        <is>
          <t>(7,</t>
        </is>
      </c>
      <c r="G26" s="0" t="inlineStr">
        <is>
          <t>7)</t>
        </is>
      </c>
    </row>
    <row r="27">
      <c r="A27" s="0" t="inlineStr">
        <is>
          <t>New</t>
        </is>
      </c>
      <c r="B27" s="0" t="inlineStr">
        <is>
          <t>Item</t>
        </is>
      </c>
      <c r="C27" s="0" t="inlineStr">
        <is>
          <t>Acquired</t>
        </is>
      </c>
      <c r="D27" s="0" t="inlineStr">
        <is>
          <t>:</t>
        </is>
      </c>
      <c r="E27" s="0" t="inlineStr">
        <is>
          <t>125.00K</t>
        </is>
      </c>
      <c r="F27" s="0" t="inlineStr">
        <is>
          <t>(6,</t>
        </is>
      </c>
      <c r="G27" s="0" t="inlineStr">
        <is>
          <t>21)</t>
        </is>
      </c>
    </row>
    <row r="28">
      <c r="A28" s="0" t="inlineStr">
        <is>
          <t>New</t>
        </is>
      </c>
      <c r="B28" s="0" t="inlineStr">
        <is>
          <t>Item</t>
        </is>
      </c>
      <c r="C28" s="0" t="inlineStr">
        <is>
          <t>Acquired</t>
        </is>
      </c>
      <c r="D28" s="0" t="inlineStr">
        <is>
          <t>:</t>
        </is>
      </c>
      <c r="E28" s="0" t="inlineStr">
        <is>
          <t>150.00K</t>
        </is>
      </c>
      <c r="F28" s="0" t="inlineStr">
        <is>
          <t>(7,</t>
        </is>
      </c>
      <c r="G28" s="0" t="inlineStr">
        <is>
          <t>5)</t>
        </is>
      </c>
    </row>
    <row r="29">
      <c r="A29" s="0" t="inlineStr">
        <is>
          <t>New</t>
        </is>
      </c>
      <c r="B29" s="0" t="inlineStr">
        <is>
          <t>Item</t>
        </is>
      </c>
      <c r="C29" s="0" t="inlineStr">
        <is>
          <t>Acquired</t>
        </is>
      </c>
      <c r="D29" s="0" t="inlineStr">
        <is>
          <t>:</t>
        </is>
      </c>
      <c r="E29" s="0" t="inlineStr">
        <is>
          <t>120.00K</t>
        </is>
      </c>
      <c r="F29" s="0" t="inlineStr">
        <is>
          <t>(8,</t>
        </is>
      </c>
      <c r="G29" s="0" t="inlineStr">
        <is>
          <t>2)</t>
        </is>
      </c>
    </row>
    <row r="30">
      <c r="A30" s="0" t="inlineStr">
        <is>
          <t>New</t>
        </is>
      </c>
      <c r="B30" s="0" t="inlineStr">
        <is>
          <t>Item</t>
        </is>
      </c>
      <c r="C30" s="0" t="inlineStr">
        <is>
          <t>Acquired</t>
        </is>
      </c>
      <c r="D30" s="0" t="inlineStr">
        <is>
          <t>:</t>
        </is>
      </c>
      <c r="E30" s="0" t="inlineStr">
        <is>
          <t>75.00K</t>
        </is>
      </c>
      <c r="F30" s="0" t="inlineStr">
        <is>
          <t>(6,</t>
        </is>
      </c>
      <c r="G30" s="0" t="inlineStr">
        <is>
          <t>10)</t>
        </is>
      </c>
    </row>
    <row r="31">
      <c r="A31" s="0" t="inlineStr">
        <is>
          <t>New</t>
        </is>
      </c>
      <c r="B31" s="0" t="inlineStr">
        <is>
          <t>Item</t>
        </is>
      </c>
      <c r="C31" s="0" t="inlineStr">
        <is>
          <t>Acquired</t>
        </is>
      </c>
      <c r="D31" s="0" t="inlineStr">
        <is>
          <t>:</t>
        </is>
      </c>
      <c r="E31" s="0" t="inlineStr">
        <is>
          <t>120.00K</t>
        </is>
      </c>
      <c r="F31" s="0" t="inlineStr">
        <is>
          <t>(8,</t>
        </is>
      </c>
      <c r="G31" s="0" t="inlineStr">
        <is>
          <t>6)</t>
        </is>
      </c>
    </row>
    <row r="32">
      <c r="A32" s="0" t="inlineStr">
        <is>
          <t>New</t>
        </is>
      </c>
      <c r="B32" s="0" t="inlineStr">
        <is>
          <t>Item</t>
        </is>
      </c>
      <c r="C32" s="0" t="inlineStr">
        <is>
          <t>Acquired</t>
        </is>
      </c>
      <c r="D32" s="0" t="inlineStr">
        <is>
          <t>:</t>
        </is>
      </c>
      <c r="E32" s="0" t="inlineStr">
        <is>
          <t>150.00K</t>
        </is>
      </c>
      <c r="F32" s="0" t="inlineStr">
        <is>
          <t>(7,</t>
        </is>
      </c>
      <c r="G32" s="0" t="inlineStr">
        <is>
          <t>3)</t>
        </is>
      </c>
    </row>
    <row r="33">
      <c r="A33" s="0" t="inlineStr">
        <is>
          <t>New</t>
        </is>
      </c>
      <c r="B33" s="0" t="inlineStr">
        <is>
          <t>Item</t>
        </is>
      </c>
      <c r="C33" s="0" t="inlineStr">
        <is>
          <t>Acquired</t>
        </is>
      </c>
      <c r="D33" s="0" t="inlineStr">
        <is>
          <t>:</t>
        </is>
      </c>
      <c r="E33" s="0" t="inlineStr">
        <is>
          <t>45.00K</t>
        </is>
      </c>
      <c r="F33" s="0" t="inlineStr">
        <is>
          <t>(3,</t>
        </is>
      </c>
      <c r="G33" s="0" t="inlineStr">
        <is>
          <t>20)</t>
        </is>
      </c>
    </row>
    <row r="34">
      <c r="A34" s="0" t="inlineStr">
        <is>
          <t>New</t>
        </is>
      </c>
      <c r="B34" s="0" t="inlineStr">
        <is>
          <t>Item</t>
        </is>
      </c>
      <c r="C34" s="0" t="inlineStr">
        <is>
          <t>Acquired</t>
        </is>
      </c>
      <c r="D34" s="0" t="inlineStr">
        <is>
          <t>:</t>
        </is>
      </c>
      <c r="E34" s="0" t="inlineStr">
        <is>
          <t>112.50K</t>
        </is>
      </c>
      <c r="F34" s="0" t="inlineStr">
        <is>
          <t>(5,</t>
        </is>
      </c>
      <c r="G34" s="0" t="inlineStr">
        <is>
          <t>12)</t>
        </is>
      </c>
    </row>
    <row r="35">
      <c r="A35" s="0" t="inlineStr">
        <is>
          <t>New</t>
        </is>
      </c>
      <c r="B35" s="0" t="inlineStr">
        <is>
          <t>Item</t>
        </is>
      </c>
      <c r="C35" s="0" t="inlineStr">
        <is>
          <t>Acquired</t>
        </is>
      </c>
      <c r="D35" s="0" t="inlineStr">
        <is>
          <t>:</t>
        </is>
      </c>
      <c r="E35" s="0" t="inlineStr">
        <is>
          <t>87.50K</t>
        </is>
      </c>
      <c r="F35" s="0" t="inlineStr">
        <is>
          <t>(2,</t>
        </is>
      </c>
      <c r="G35" s="0" t="inlineStr">
        <is>
          <t>25)</t>
        </is>
      </c>
    </row>
    <row r="36">
      <c r="A36" s="0" t="inlineStr">
        <is>
          <t>New</t>
        </is>
      </c>
      <c r="B36" s="0" t="inlineStr">
        <is>
          <t>Item</t>
        </is>
      </c>
      <c r="C36" s="0" t="inlineStr">
        <is>
          <t>Acquired</t>
        </is>
      </c>
      <c r="D36" s="0" t="inlineStr">
        <is>
          <t>:</t>
        </is>
      </c>
      <c r="E36" s="0" t="inlineStr">
        <is>
          <t>45.00K</t>
        </is>
      </c>
      <c r="F36" s="0" t="inlineStr">
        <is>
          <t>(3,</t>
        </is>
      </c>
      <c r="G36" s="0" t="inlineStr">
        <is>
          <t>24)</t>
        </is>
      </c>
    </row>
    <row r="37">
      <c r="A37" s="0" t="inlineStr">
        <is>
          <t>New</t>
        </is>
      </c>
      <c r="B37" s="0" t="inlineStr">
        <is>
          <t>Item</t>
        </is>
      </c>
      <c r="C37" s="0" t="inlineStr">
        <is>
          <t>Acquired</t>
        </is>
      </c>
      <c r="D37" s="0" t="inlineStr">
        <is>
          <t>:</t>
        </is>
      </c>
      <c r="E37" s="0" t="inlineStr">
        <is>
          <t>67.50K</t>
        </is>
      </c>
      <c r="F37" s="0" t="inlineStr">
        <is>
          <t>(5,</t>
        </is>
      </c>
      <c r="G37" s="0" t="inlineStr">
        <is>
          <t>10)</t>
        </is>
      </c>
    </row>
    <row r="38">
      <c r="A38" s="0" t="inlineStr">
        <is>
          <t>New</t>
        </is>
      </c>
      <c r="B38" s="0" t="inlineStr">
        <is>
          <t>Item</t>
        </is>
      </c>
      <c r="C38" s="0" t="inlineStr">
        <is>
          <t>Acquired</t>
        </is>
      </c>
      <c r="D38" s="0" t="inlineStr">
        <is>
          <t>:</t>
        </is>
      </c>
      <c r="E38" s="0" t="inlineStr">
        <is>
          <t>210.00K</t>
        </is>
      </c>
      <c r="F38" s="0" t="inlineStr">
        <is>
          <t>(7,</t>
        </is>
      </c>
      <c r="G38" s="0" t="inlineStr">
        <is>
          <t>6)</t>
        </is>
      </c>
    </row>
    <row r="39">
      <c r="A39" s="0" t="inlineStr">
        <is>
          <t>New</t>
        </is>
      </c>
      <c r="B39" s="0" t="inlineStr">
        <is>
          <t>Item</t>
        </is>
      </c>
      <c r="C39" s="0" t="inlineStr">
        <is>
          <t>Acquired</t>
        </is>
      </c>
      <c r="D39" s="0" t="inlineStr">
        <is>
          <t>:</t>
        </is>
      </c>
      <c r="E39" s="0" t="inlineStr">
        <is>
          <t>37.50K</t>
        </is>
      </c>
      <c r="F39" s="0" t="inlineStr">
        <is>
          <t>(2,</t>
        </is>
      </c>
      <c r="G39" s="0" t="inlineStr">
        <is>
          <t>20)</t>
        </is>
      </c>
    </row>
    <row r="40">
      <c r="A40" s="0" t="inlineStr">
        <is>
          <t>New</t>
        </is>
      </c>
      <c r="B40" s="0" t="inlineStr">
        <is>
          <t>Item</t>
        </is>
      </c>
      <c r="C40" s="0" t="inlineStr">
        <is>
          <t>Acquired</t>
        </is>
      </c>
      <c r="D40" s="0" t="inlineStr">
        <is>
          <t>:</t>
        </is>
      </c>
      <c r="E40" s="0" t="inlineStr">
        <is>
          <t>90.00K</t>
        </is>
      </c>
      <c r="F40" s="0" t="inlineStr">
        <is>
          <t>(7,</t>
        </is>
      </c>
      <c r="G40" s="0" t="inlineStr">
        <is>
          <t>11)</t>
        </is>
      </c>
    </row>
    <row r="41">
      <c r="A41" s="0" t="inlineStr">
        <is>
          <t>New</t>
        </is>
      </c>
      <c r="B41" s="0" t="inlineStr">
        <is>
          <t>Item</t>
        </is>
      </c>
      <c r="C41" s="0" t="inlineStr">
        <is>
          <t>Acquired</t>
        </is>
      </c>
      <c r="D41" s="0" t="inlineStr">
        <is>
          <t>:</t>
        </is>
      </c>
      <c r="E41" s="0" t="inlineStr">
        <is>
          <t>175.00K</t>
        </is>
      </c>
      <c r="F41" s="0" t="inlineStr">
        <is>
          <t>(6,</t>
        </is>
      </c>
      <c r="G41" s="0" t="inlineStr">
        <is>
          <t>22)</t>
        </is>
      </c>
    </row>
    <row r="42">
      <c r="A42" s="0" t="inlineStr">
        <is>
          <t>New</t>
        </is>
      </c>
      <c r="B42" s="0" t="inlineStr">
        <is>
          <t>Item</t>
        </is>
      </c>
      <c r="C42" s="0" t="inlineStr">
        <is>
          <t>Acquired</t>
        </is>
      </c>
      <c r="D42" s="0" t="inlineStr">
        <is>
          <t>:</t>
        </is>
      </c>
      <c r="E42" s="0" t="inlineStr">
        <is>
          <t>105.00K</t>
        </is>
      </c>
      <c r="F42" s="0" t="inlineStr">
        <is>
          <t>(3,</t>
        </is>
      </c>
      <c r="G42" s="0" t="inlineStr">
        <is>
          <t>11)</t>
        </is>
      </c>
    </row>
    <row r="43">
      <c r="A43" s="0" t="inlineStr">
        <is>
          <t>New</t>
        </is>
      </c>
      <c r="B43" s="0" t="inlineStr">
        <is>
          <t>Item</t>
        </is>
      </c>
      <c r="C43" s="0" t="inlineStr">
        <is>
          <t>Acquired</t>
        </is>
      </c>
      <c r="D43" s="0" t="inlineStr">
        <is>
          <t>:</t>
        </is>
      </c>
      <c r="E43" s="0" t="inlineStr">
        <is>
          <t>90.00K</t>
        </is>
      </c>
      <c r="F43" s="0" t="inlineStr">
        <is>
          <t>(7,</t>
        </is>
      </c>
      <c r="G43" s="0" t="inlineStr">
        <is>
          <t>17)</t>
        </is>
      </c>
    </row>
    <row r="44">
      <c r="A44" s="0" t="inlineStr">
        <is>
          <t>New</t>
        </is>
      </c>
      <c r="B44" s="0" t="inlineStr">
        <is>
          <t>Item</t>
        </is>
      </c>
      <c r="C44" s="0" t="inlineStr">
        <is>
          <t>Acquired</t>
        </is>
      </c>
      <c r="D44" s="0" t="inlineStr">
        <is>
          <t>:</t>
        </is>
      </c>
      <c r="E44" s="0" t="inlineStr">
        <is>
          <t>200.00K</t>
        </is>
      </c>
      <c r="F44" s="0" t="inlineStr">
        <is>
          <t>(8,</t>
        </is>
      </c>
      <c r="G44" s="0" t="inlineStr">
        <is>
          <t>22)</t>
        </is>
      </c>
    </row>
    <row r="45">
      <c r="A45" s="0" t="inlineStr">
        <is>
          <t>New</t>
        </is>
      </c>
      <c r="B45" s="0" t="inlineStr">
        <is>
          <t>Item</t>
        </is>
      </c>
      <c r="C45" s="0" t="inlineStr">
        <is>
          <t>Acquired</t>
        </is>
      </c>
      <c r="D45" s="0" t="inlineStr">
        <is>
          <t>:</t>
        </is>
      </c>
      <c r="E45" s="0" t="inlineStr">
        <is>
          <t>157.50K</t>
        </is>
      </c>
      <c r="F45" s="0" t="inlineStr">
        <is>
          <t>(5,</t>
        </is>
      </c>
      <c r="G45" s="0" t="inlineStr">
        <is>
          <t>14)</t>
        </is>
      </c>
    </row>
    <row r="46">
      <c r="A46" s="0" t="inlineStr">
        <is>
          <t>New</t>
        </is>
      </c>
      <c r="B46" s="0" t="inlineStr">
        <is>
          <t>Item</t>
        </is>
      </c>
      <c r="C46" s="0" t="inlineStr">
        <is>
          <t>Acquired</t>
        </is>
      </c>
      <c r="D46" s="0" t="inlineStr">
        <is>
          <t>:</t>
        </is>
      </c>
      <c r="E46" s="0" t="inlineStr">
        <is>
          <t>67.50K</t>
        </is>
      </c>
      <c r="F46" s="0" t="inlineStr">
        <is>
          <t>(5,</t>
        </is>
      </c>
      <c r="G46" s="0" t="inlineStr">
        <is>
          <t>23)</t>
        </is>
      </c>
    </row>
    <row r="47">
      <c r="A47" s="0" t="inlineStr">
        <is>
          <t>Item</t>
        </is>
      </c>
      <c r="B47" s="0" t="inlineStr">
        <is>
          <t>ReSelect</t>
        </is>
      </c>
      <c r="C47" s="0" t="inlineStr">
        <is>
          <t>Failed</t>
        </is>
      </c>
      <c r="D47" s="0" t="inlineStr">
        <is>
          <t>:</t>
        </is>
      </c>
      <c r="E47" s="0" t="inlineStr">
        <is>
          <t>Attempt</t>
        </is>
      </c>
      <c r="F47" s="0" t="inlineStr">
        <is>
          <t>Count</t>
        </is>
      </c>
      <c r="G47" s="0" t="inlineStr">
        <is>
          <t>-</t>
        </is>
      </c>
      <c r="H47" s="0" t="n">
        <v>3</v>
      </c>
    </row>
    <row r="48">
      <c r="A48" s="0" t="inlineStr">
        <is>
          <t>New</t>
        </is>
      </c>
      <c r="B48" s="0" t="inlineStr">
        <is>
          <t>Item</t>
        </is>
      </c>
      <c r="C48" s="0" t="inlineStr">
        <is>
          <t>Acquired</t>
        </is>
      </c>
      <c r="D48" s="0" t="inlineStr">
        <is>
          <t>:</t>
        </is>
      </c>
      <c r="E48" s="0" t="inlineStr">
        <is>
          <t>75.00K</t>
        </is>
      </c>
      <c r="F48" s="0" t="inlineStr">
        <is>
          <t>(6,</t>
        </is>
      </c>
      <c r="G48" s="0" t="inlineStr">
        <is>
          <t>19)</t>
        </is>
      </c>
    </row>
    <row r="49">
      <c r="A49" s="0" t="inlineStr">
        <is>
          <t>New</t>
        </is>
      </c>
      <c r="B49" s="0" t="inlineStr">
        <is>
          <t>Item</t>
        </is>
      </c>
      <c r="C49" s="0" t="inlineStr">
        <is>
          <t>Acquired</t>
        </is>
      </c>
      <c r="D49" s="0" t="inlineStr">
        <is>
          <t>:</t>
        </is>
      </c>
      <c r="E49" s="0" t="inlineStr">
        <is>
          <t>90.00K</t>
        </is>
      </c>
      <c r="F49" s="0" t="inlineStr">
        <is>
          <t>(7,</t>
        </is>
      </c>
      <c r="G49" s="0" t="inlineStr">
        <is>
          <t>4)</t>
        </is>
      </c>
    </row>
    <row r="50">
      <c r="A50" s="0" t="inlineStr">
        <is>
          <t>New</t>
        </is>
      </c>
      <c r="B50" s="0" t="inlineStr">
        <is>
          <t>Item</t>
        </is>
      </c>
      <c r="C50" s="0" t="inlineStr">
        <is>
          <t>Acquired</t>
        </is>
      </c>
      <c r="D50" s="0" t="inlineStr">
        <is>
          <t>:</t>
        </is>
      </c>
      <c r="E50" s="0" t="inlineStr">
        <is>
          <t>75.00K</t>
        </is>
      </c>
      <c r="F50" s="0" t="inlineStr">
        <is>
          <t>(4,</t>
        </is>
      </c>
      <c r="G50" s="0" t="inlineStr">
        <is>
          <t>25)</t>
        </is>
      </c>
    </row>
    <row r="51">
      <c r="A51" s="0" t="inlineStr">
        <is>
          <t>New</t>
        </is>
      </c>
      <c r="B51" s="0" t="inlineStr">
        <is>
          <t>Item</t>
        </is>
      </c>
      <c r="C51" s="0" t="inlineStr">
        <is>
          <t>Acquired</t>
        </is>
      </c>
      <c r="D51" s="0" t="inlineStr">
        <is>
          <t>:</t>
        </is>
      </c>
      <c r="E51" s="0" t="inlineStr">
        <is>
          <t>112.50K</t>
        </is>
      </c>
      <c r="F51" s="0" t="inlineStr">
        <is>
          <t>(5,</t>
        </is>
      </c>
      <c r="G51" s="0" t="inlineStr">
        <is>
          <t>24)</t>
        </is>
      </c>
    </row>
    <row r="52">
      <c r="A52" s="0" t="inlineStr">
        <is>
          <t>New</t>
        </is>
      </c>
      <c r="B52" s="0" t="inlineStr">
        <is>
          <t>Item</t>
        </is>
      </c>
      <c r="C52" s="0" t="inlineStr">
        <is>
          <t>Acquired</t>
        </is>
      </c>
      <c r="D52" s="0" t="inlineStr">
        <is>
          <t>:</t>
        </is>
      </c>
      <c r="E52" s="0" t="inlineStr">
        <is>
          <t>75.00K</t>
        </is>
      </c>
      <c r="F52" s="0" t="inlineStr">
        <is>
          <t>(6,</t>
        </is>
      </c>
      <c r="G52" s="0" t="inlineStr">
        <is>
          <t>25)</t>
        </is>
      </c>
    </row>
    <row r="53">
      <c r="A53" s="0" t="inlineStr">
        <is>
          <t>New</t>
        </is>
      </c>
      <c r="B53" s="0" t="inlineStr">
        <is>
          <t>Item</t>
        </is>
      </c>
      <c r="C53" s="0" t="inlineStr">
        <is>
          <t>Acquired</t>
        </is>
      </c>
      <c r="D53" s="0" t="inlineStr">
        <is>
          <t>:</t>
        </is>
      </c>
      <c r="E53" s="0" t="inlineStr">
        <is>
          <t>125.00K</t>
        </is>
      </c>
      <c r="F53" s="0" t="inlineStr">
        <is>
          <t>(6,</t>
        </is>
      </c>
      <c r="G53" s="0" t="inlineStr">
        <is>
          <t>6)</t>
        </is>
      </c>
    </row>
    <row r="54">
      <c r="A54" s="0" t="inlineStr">
        <is>
          <t>New</t>
        </is>
      </c>
      <c r="B54" s="0" t="inlineStr">
        <is>
          <t>Item</t>
        </is>
      </c>
      <c r="C54" s="0" t="inlineStr">
        <is>
          <t>Acquired</t>
        </is>
      </c>
      <c r="D54" s="0" t="inlineStr">
        <is>
          <t>:</t>
        </is>
      </c>
      <c r="E54" s="0" t="inlineStr">
        <is>
          <t>112.50K</t>
        </is>
      </c>
      <c r="F54" s="0" t="inlineStr">
        <is>
          <t>(5,</t>
        </is>
      </c>
      <c r="G54" s="0" t="inlineStr">
        <is>
          <t>8)</t>
        </is>
      </c>
    </row>
    <row r="55">
      <c r="A55" s="0" t="inlineStr">
        <is>
          <t>New</t>
        </is>
      </c>
      <c r="B55" s="0" t="inlineStr">
        <is>
          <t>Item</t>
        </is>
      </c>
      <c r="C55" s="0" t="inlineStr">
        <is>
          <t>Acquired</t>
        </is>
      </c>
      <c r="D55" s="0" t="inlineStr">
        <is>
          <t>:</t>
        </is>
      </c>
      <c r="E55" s="0" t="inlineStr">
        <is>
          <t>67.50K</t>
        </is>
      </c>
      <c r="F55" s="0" t="inlineStr">
        <is>
          <t>(5,</t>
        </is>
      </c>
      <c r="G55" s="0" t="inlineStr">
        <is>
          <t>22)</t>
        </is>
      </c>
    </row>
    <row r="56">
      <c r="A56" s="0" t="inlineStr">
        <is>
          <t>New</t>
        </is>
      </c>
      <c r="B56" s="0" t="inlineStr">
        <is>
          <t>Item</t>
        </is>
      </c>
      <c r="C56" s="0" t="inlineStr">
        <is>
          <t>Acquired</t>
        </is>
      </c>
      <c r="D56" s="0" t="inlineStr">
        <is>
          <t>:</t>
        </is>
      </c>
      <c r="E56" s="0" t="inlineStr">
        <is>
          <t>157.50K</t>
        </is>
      </c>
      <c r="F56" s="0" t="inlineStr">
        <is>
          <t>(5,</t>
        </is>
      </c>
      <c r="G56" s="0" t="inlineStr">
        <is>
          <t>1)</t>
        </is>
      </c>
    </row>
    <row r="57">
      <c r="A57" s="0" t="inlineStr">
        <is>
          <t>Item</t>
        </is>
      </c>
      <c r="B57" s="0" t="inlineStr">
        <is>
          <t>ReSelect</t>
        </is>
      </c>
      <c r="C57" s="0" t="inlineStr">
        <is>
          <t>Failed</t>
        </is>
      </c>
      <c r="D57" s="0" t="inlineStr">
        <is>
          <t>:</t>
        </is>
      </c>
      <c r="E57" s="0" t="inlineStr">
        <is>
          <t>Attempt</t>
        </is>
      </c>
      <c r="F57" s="0" t="inlineStr">
        <is>
          <t>Count</t>
        </is>
      </c>
      <c r="G57" s="0" t="inlineStr">
        <is>
          <t>-</t>
        </is>
      </c>
      <c r="H57" s="0" t="n">
        <v>3</v>
      </c>
    </row>
    <row r="58">
      <c r="A58" s="0" t="inlineStr">
        <is>
          <t>New</t>
        </is>
      </c>
      <c r="B58" s="0" t="inlineStr">
        <is>
          <t>Item</t>
        </is>
      </c>
      <c r="C58" s="0" t="inlineStr">
        <is>
          <t>Acquired</t>
        </is>
      </c>
      <c r="D58" s="0" t="inlineStr">
        <is>
          <t>:</t>
        </is>
      </c>
      <c r="E58" s="0" t="inlineStr">
        <is>
          <t>75.00K</t>
        </is>
      </c>
      <c r="F58" s="0" t="inlineStr">
        <is>
          <t>(6,</t>
        </is>
      </c>
      <c r="G58" s="0" t="inlineStr">
        <is>
          <t>24)</t>
        </is>
      </c>
    </row>
    <row r="59">
      <c r="A59" s="0" t="inlineStr">
        <is>
          <t>Line</t>
        </is>
      </c>
      <c r="B59" s="0" t="inlineStr">
        <is>
          <t>Prize</t>
        </is>
      </c>
      <c r="C59" s="0" t="inlineStr">
        <is>
          <t>Acquired</t>
        </is>
      </c>
      <c r="D59" s="0" t="inlineStr">
        <is>
          <t>:</t>
        </is>
      </c>
      <c r="E59" s="0" t="inlineStr">
        <is>
          <t>575.00K</t>
        </is>
      </c>
      <c r="F59" s="0" t="inlineStr">
        <is>
          <t>(Stage</t>
        </is>
      </c>
      <c r="G59" s="0" t="inlineStr">
        <is>
          <t>:</t>
        </is>
      </c>
      <c r="H59" s="0" t="inlineStr">
        <is>
          <t>6)</t>
        </is>
      </c>
      <c r="I59" s="0" t="inlineStr">
        <is>
          <t>-</t>
        </is>
      </c>
      <c r="J59" s="0" t="n">
        <v>575000</v>
      </c>
    </row>
    <row r="60">
      <c r="A60" s="0" t="inlineStr">
        <is>
          <t>Clear</t>
        </is>
      </c>
      <c r="B60" s="0" t="inlineStr">
        <is>
          <t>Gem</t>
        </is>
      </c>
      <c r="C60" s="0" t="inlineStr">
        <is>
          <t>Acquired</t>
        </is>
      </c>
      <c r="D60" s="0" t="inlineStr">
        <is>
          <t>:</t>
        </is>
      </c>
      <c r="E60" s="0" t="n">
        <v>0</v>
      </c>
      <c r="F60" s="0" t="inlineStr">
        <is>
          <t>-&gt;</t>
        </is>
      </c>
      <c r="G60" s="0" t="n">
        <v>100</v>
      </c>
      <c r="H60" s="0" t="inlineStr">
        <is>
          <t>(Stage</t>
        </is>
      </c>
      <c r="I60" s="0" t="inlineStr">
        <is>
          <t>:</t>
        </is>
      </c>
      <c r="J60" s="0" t="inlineStr">
        <is>
          <t>6)</t>
        </is>
      </c>
    </row>
    <row r="61">
      <c r="A61" s="0" t="inlineStr">
        <is>
          <t>New</t>
        </is>
      </c>
      <c r="B61" s="0" t="inlineStr">
        <is>
          <t>Item</t>
        </is>
      </c>
      <c r="C61" s="0" t="inlineStr">
        <is>
          <t>Acquired</t>
        </is>
      </c>
      <c r="D61" s="0" t="inlineStr">
        <is>
          <t>:</t>
        </is>
      </c>
      <c r="E61" s="0" t="inlineStr">
        <is>
          <t>67.50K</t>
        </is>
      </c>
      <c r="F61" s="0" t="inlineStr">
        <is>
          <t>(5,</t>
        </is>
      </c>
      <c r="G61" s="0" t="inlineStr">
        <is>
          <t>7)</t>
        </is>
      </c>
    </row>
    <row r="62">
      <c r="A62" s="0" t="inlineStr">
        <is>
          <t>New</t>
        </is>
      </c>
      <c r="B62" s="0" t="inlineStr">
        <is>
          <t>Item</t>
        </is>
      </c>
      <c r="C62" s="0" t="inlineStr">
        <is>
          <t>Acquired</t>
        </is>
      </c>
      <c r="D62" s="0" t="inlineStr">
        <is>
          <t>:</t>
        </is>
      </c>
      <c r="E62" s="0" t="inlineStr">
        <is>
          <t>Minor</t>
        </is>
      </c>
      <c r="F62" s="0" t="inlineStr">
        <is>
          <t>(6,</t>
        </is>
      </c>
      <c r="G62" s="0" t="inlineStr">
        <is>
          <t>2)</t>
        </is>
      </c>
    </row>
    <row r="63">
      <c r="A63" s="0" t="inlineStr">
        <is>
          <t>New</t>
        </is>
      </c>
      <c r="B63" s="0" t="inlineStr">
        <is>
          <t>Item</t>
        </is>
      </c>
      <c r="C63" s="0" t="inlineStr">
        <is>
          <t>Acquired</t>
        </is>
      </c>
      <c r="D63" s="0" t="inlineStr">
        <is>
          <t>:</t>
        </is>
      </c>
      <c r="E63" s="0" t="inlineStr">
        <is>
          <t>200.00K</t>
        </is>
      </c>
      <c r="F63" s="0" t="inlineStr">
        <is>
          <t>(8,</t>
        </is>
      </c>
      <c r="G63" s="0" t="inlineStr">
        <is>
          <t>1)</t>
        </is>
      </c>
    </row>
    <row r="64">
      <c r="A64" s="0" t="inlineStr">
        <is>
          <t>Line</t>
        </is>
      </c>
      <c r="B64" s="0" t="inlineStr">
        <is>
          <t>Prize</t>
        </is>
      </c>
      <c r="C64" s="0" t="inlineStr">
        <is>
          <t>Acquired</t>
        </is>
      </c>
      <c r="D64" s="0" t="inlineStr">
        <is>
          <t>:</t>
        </is>
      </c>
      <c r="E64" s="0" t="inlineStr">
        <is>
          <t>2.12M</t>
        </is>
      </c>
      <c r="F64" s="0" t="inlineStr">
        <is>
          <t>(Stage</t>
        </is>
      </c>
      <c r="G64" s="0" t="inlineStr">
        <is>
          <t>:</t>
        </is>
      </c>
      <c r="H64" s="0" t="inlineStr">
        <is>
          <t>8)</t>
        </is>
      </c>
      <c r="I64" s="0" t="inlineStr">
        <is>
          <t>-</t>
        </is>
      </c>
      <c r="J64" s="0" t="n">
        <v>2120000</v>
      </c>
    </row>
    <row r="65">
      <c r="A65" s="0" t="inlineStr">
        <is>
          <t>Clear</t>
        </is>
      </c>
      <c r="B65" s="0" t="inlineStr">
        <is>
          <t>Gem</t>
        </is>
      </c>
      <c r="C65" s="0" t="inlineStr">
        <is>
          <t>Acquired</t>
        </is>
      </c>
      <c r="D65" s="0" t="inlineStr">
        <is>
          <t>:</t>
        </is>
      </c>
      <c r="E65" s="0" t="n">
        <v>100</v>
      </c>
      <c r="F65" s="0" t="inlineStr">
        <is>
          <t>-&gt;</t>
        </is>
      </c>
      <c r="G65" s="0" t="n">
        <v>200</v>
      </c>
      <c r="H65" s="0" t="inlineStr">
        <is>
          <t>(Stage</t>
        </is>
      </c>
      <c r="I65" s="0" t="inlineStr">
        <is>
          <t>:</t>
        </is>
      </c>
      <c r="J65" s="0" t="inlineStr">
        <is>
          <t>8)</t>
        </is>
      </c>
    </row>
    <row r="66">
      <c r="A66" s="0" t="inlineStr">
        <is>
          <t>New</t>
        </is>
      </c>
      <c r="B66" s="0" t="inlineStr">
        <is>
          <t>Item</t>
        </is>
      </c>
      <c r="C66" s="0" t="inlineStr">
        <is>
          <t>Acquired</t>
        </is>
      </c>
      <c r="D66" s="0" t="inlineStr">
        <is>
          <t>:</t>
        </is>
      </c>
      <c r="E66" s="0" t="inlineStr">
        <is>
          <t>125.00K</t>
        </is>
      </c>
      <c r="F66" s="0" t="inlineStr">
        <is>
          <t>(6,</t>
        </is>
      </c>
      <c r="G66" s="0" t="inlineStr">
        <is>
          <t>25)</t>
        </is>
      </c>
    </row>
    <row r="67">
      <c r="A67" s="0" t="inlineStr">
        <is>
          <t>New</t>
        </is>
      </c>
      <c r="B67" s="0" t="inlineStr">
        <is>
          <t>Item</t>
        </is>
      </c>
      <c r="C67" s="0" t="inlineStr">
        <is>
          <t>Acquired</t>
        </is>
      </c>
      <c r="D67" s="0" t="inlineStr">
        <is>
          <t>:</t>
        </is>
      </c>
      <c r="E67" s="0" t="inlineStr">
        <is>
          <t>210.00K</t>
        </is>
      </c>
      <c r="F67" s="0" t="inlineStr">
        <is>
          <t>(7,</t>
        </is>
      </c>
      <c r="G67" s="0" t="inlineStr">
        <is>
          <t>8)</t>
        </is>
      </c>
    </row>
    <row r="68">
      <c r="A68" s="0" t="inlineStr">
        <is>
          <t>New</t>
        </is>
      </c>
      <c r="B68" s="0" t="inlineStr">
        <is>
          <t>Item</t>
        </is>
      </c>
      <c r="C68" s="0" t="inlineStr">
        <is>
          <t>Acquired</t>
        </is>
      </c>
      <c r="D68" s="0" t="inlineStr">
        <is>
          <t>:</t>
        </is>
      </c>
      <c r="E68" s="0" t="inlineStr">
        <is>
          <t>120.00K</t>
        </is>
      </c>
      <c r="F68" s="0" t="inlineStr">
        <is>
          <t>(8,</t>
        </is>
      </c>
      <c r="G68" s="0" t="inlineStr">
        <is>
          <t>22)</t>
        </is>
      </c>
    </row>
    <row r="69">
      <c r="A69" s="0" t="inlineStr">
        <is>
          <t>New</t>
        </is>
      </c>
      <c r="B69" s="0" t="inlineStr">
        <is>
          <t>Item</t>
        </is>
      </c>
      <c r="C69" s="0" t="inlineStr">
        <is>
          <t>Acquired</t>
        </is>
      </c>
      <c r="D69" s="0" t="inlineStr">
        <is>
          <t>:</t>
        </is>
      </c>
      <c r="E69" s="0" t="inlineStr">
        <is>
          <t>90.00K</t>
        </is>
      </c>
      <c r="F69" s="0" t="inlineStr">
        <is>
          <t>(7,</t>
        </is>
      </c>
      <c r="G69" s="0" t="inlineStr">
        <is>
          <t>23)</t>
        </is>
      </c>
    </row>
    <row r="70">
      <c r="A70" s="0" t="inlineStr">
        <is>
          <t>Line</t>
        </is>
      </c>
      <c r="B70" s="0" t="inlineStr">
        <is>
          <t>Prize</t>
        </is>
      </c>
      <c r="C70" s="0" t="inlineStr">
        <is>
          <t>Acquired</t>
        </is>
      </c>
      <c r="D70" s="0" t="inlineStr">
        <is>
          <t>:</t>
        </is>
      </c>
      <c r="E70" s="0" t="inlineStr">
        <is>
          <t>1.65M</t>
        </is>
      </c>
      <c r="F70" s="0" t="inlineStr">
        <is>
          <t>(Stage</t>
        </is>
      </c>
      <c r="G70" s="0" t="inlineStr">
        <is>
          <t>:</t>
        </is>
      </c>
      <c r="H70" s="0" t="inlineStr">
        <is>
          <t>7)</t>
        </is>
      </c>
      <c r="I70" s="0" t="inlineStr">
        <is>
          <t>-</t>
        </is>
      </c>
      <c r="J70" s="0" t="n">
        <v>1650000</v>
      </c>
    </row>
    <row r="71">
      <c r="A71" s="0" t="inlineStr">
        <is>
          <t>Clear</t>
        </is>
      </c>
      <c r="B71" s="0" t="inlineStr">
        <is>
          <t>Gem</t>
        </is>
      </c>
      <c r="C71" s="0" t="inlineStr">
        <is>
          <t>Acquired</t>
        </is>
      </c>
      <c r="D71" s="0" t="inlineStr">
        <is>
          <t>:</t>
        </is>
      </c>
      <c r="E71" s="0" t="n">
        <v>200</v>
      </c>
      <c r="F71" s="0" t="inlineStr">
        <is>
          <t>-&gt;</t>
        </is>
      </c>
      <c r="G71" s="0" t="n">
        <v>300</v>
      </c>
      <c r="H71" s="0" t="inlineStr">
        <is>
          <t>(Stage</t>
        </is>
      </c>
      <c r="I71" s="0" t="inlineStr">
        <is>
          <t>:</t>
        </is>
      </c>
      <c r="J71" s="0" t="inlineStr">
        <is>
          <t>7)</t>
        </is>
      </c>
    </row>
    <row r="72">
      <c r="A72" s="0" t="inlineStr">
        <is>
          <t>New</t>
        </is>
      </c>
      <c r="B72" s="0" t="inlineStr">
        <is>
          <t>Item</t>
        </is>
      </c>
      <c r="C72" s="0" t="inlineStr">
        <is>
          <t>Acquired</t>
        </is>
      </c>
      <c r="D72" s="0" t="inlineStr">
        <is>
          <t>:</t>
        </is>
      </c>
      <c r="E72" s="0" t="inlineStr">
        <is>
          <t>210.00K</t>
        </is>
      </c>
      <c r="F72" s="0" t="inlineStr">
        <is>
          <t>(7,</t>
        </is>
      </c>
      <c r="G72" s="0" t="inlineStr">
        <is>
          <t>5)</t>
        </is>
      </c>
    </row>
    <row r="73">
      <c r="A73" s="0" t="inlineStr">
        <is>
          <t>New</t>
        </is>
      </c>
      <c r="B73" s="0" t="inlineStr">
        <is>
          <t>Item</t>
        </is>
      </c>
      <c r="C73" s="0" t="inlineStr">
        <is>
          <t>Acquired</t>
        </is>
      </c>
      <c r="D73" s="0" t="inlineStr">
        <is>
          <t>:</t>
        </is>
      </c>
      <c r="E73" s="0" t="inlineStr">
        <is>
          <t>45.00K</t>
        </is>
      </c>
      <c r="F73" s="0" t="inlineStr">
        <is>
          <t>(3,</t>
        </is>
      </c>
      <c r="G73" s="0" t="inlineStr">
        <is>
          <t>17)</t>
        </is>
      </c>
    </row>
    <row r="74">
      <c r="A74" s="0" t="inlineStr">
        <is>
          <t>New</t>
        </is>
      </c>
      <c r="B74" s="0" t="inlineStr">
        <is>
          <t>Item</t>
        </is>
      </c>
      <c r="C74" s="0" t="inlineStr">
        <is>
          <t>Acquired</t>
        </is>
      </c>
      <c r="D74" s="0" t="inlineStr">
        <is>
          <t>:</t>
        </is>
      </c>
      <c r="E74" s="0" t="inlineStr">
        <is>
          <t>62.50K</t>
        </is>
      </c>
      <c r="F74" s="0" t="inlineStr">
        <is>
          <t>(2,</t>
        </is>
      </c>
      <c r="G74" s="0" t="inlineStr">
        <is>
          <t>1)</t>
        </is>
      </c>
    </row>
    <row r="75">
      <c r="A75" s="0" t="inlineStr">
        <is>
          <t>New</t>
        </is>
      </c>
      <c r="B75" s="0" t="inlineStr">
        <is>
          <t>Item</t>
        </is>
      </c>
      <c r="C75" s="0" t="inlineStr">
        <is>
          <t>Acquired</t>
        </is>
      </c>
      <c r="D75" s="0" t="inlineStr">
        <is>
          <t>:</t>
        </is>
      </c>
      <c r="E75" s="0" t="inlineStr">
        <is>
          <t>Minor</t>
        </is>
      </c>
      <c r="F75" s="0" t="inlineStr">
        <is>
          <t>(6,</t>
        </is>
      </c>
      <c r="G75" s="0" t="inlineStr">
        <is>
          <t>5)</t>
        </is>
      </c>
    </row>
    <row r="76">
      <c r="A76" s="0" t="inlineStr">
        <is>
          <t>New</t>
        </is>
      </c>
      <c r="B76" s="0" t="inlineStr">
        <is>
          <t>Item</t>
        </is>
      </c>
      <c r="C76" s="0" t="inlineStr">
        <is>
          <t>Acquired</t>
        </is>
      </c>
      <c r="D76" s="0" t="inlineStr">
        <is>
          <t>:</t>
        </is>
      </c>
      <c r="E76" s="0" t="inlineStr">
        <is>
          <t>112.50K</t>
        </is>
      </c>
      <c r="F76" s="0" t="inlineStr">
        <is>
          <t>(5,</t>
        </is>
      </c>
      <c r="G76" s="0" t="inlineStr">
        <is>
          <t>21)</t>
        </is>
      </c>
    </row>
    <row r="77">
      <c r="A77" s="0" t="inlineStr">
        <is>
          <t>New</t>
        </is>
      </c>
      <c r="B77" s="0" t="inlineStr">
        <is>
          <t>Item</t>
        </is>
      </c>
      <c r="C77" s="0" t="inlineStr">
        <is>
          <t>Acquired</t>
        </is>
      </c>
      <c r="D77" s="0" t="inlineStr">
        <is>
          <t>:</t>
        </is>
      </c>
      <c r="E77" s="0" t="inlineStr">
        <is>
          <t>157.50K</t>
        </is>
      </c>
      <c r="F77" s="0" t="inlineStr">
        <is>
          <t>(5,</t>
        </is>
      </c>
      <c r="G77" s="0" t="inlineStr">
        <is>
          <t>17)</t>
        </is>
      </c>
    </row>
    <row r="78">
      <c r="A78" s="0" t="inlineStr">
        <is>
          <t>Line</t>
        </is>
      </c>
      <c r="B78" s="0" t="inlineStr">
        <is>
          <t>Prize</t>
        </is>
      </c>
      <c r="C78" s="0" t="inlineStr">
        <is>
          <t>Acquired</t>
        </is>
      </c>
      <c r="D78" s="0" t="inlineStr">
        <is>
          <t>:</t>
        </is>
      </c>
      <c r="E78" s="0" t="inlineStr">
        <is>
          <t>472.50K</t>
        </is>
      </c>
      <c r="F78" s="0" t="inlineStr">
        <is>
          <t>(Stage</t>
        </is>
      </c>
      <c r="G78" s="0" t="inlineStr">
        <is>
          <t>:</t>
        </is>
      </c>
      <c r="H78" s="0" t="inlineStr">
        <is>
          <t>5)</t>
        </is>
      </c>
      <c r="I78" s="0" t="inlineStr">
        <is>
          <t>-</t>
        </is>
      </c>
      <c r="J78" s="0" t="n">
        <v>472500</v>
      </c>
    </row>
    <row r="79">
      <c r="A79" s="0" t="inlineStr">
        <is>
          <t>Clear</t>
        </is>
      </c>
      <c r="B79" s="0" t="inlineStr">
        <is>
          <t>Gem</t>
        </is>
      </c>
      <c r="C79" s="0" t="inlineStr">
        <is>
          <t>Acquired</t>
        </is>
      </c>
      <c r="D79" s="0" t="inlineStr">
        <is>
          <t>:</t>
        </is>
      </c>
      <c r="E79" s="0" t="n">
        <v>300</v>
      </c>
      <c r="F79" s="0" t="inlineStr">
        <is>
          <t>-&gt;</t>
        </is>
      </c>
      <c r="G79" s="0" t="n">
        <v>400</v>
      </c>
      <c r="H79" s="0" t="inlineStr">
        <is>
          <t>(Stage</t>
        </is>
      </c>
      <c r="I79" s="0" t="inlineStr">
        <is>
          <t>:</t>
        </is>
      </c>
      <c r="J79" s="0" t="inlineStr">
        <is>
          <t>5)</t>
        </is>
      </c>
    </row>
    <row r="80">
      <c r="A80" s="0" t="inlineStr">
        <is>
          <t>New</t>
        </is>
      </c>
      <c r="B80" s="0" t="inlineStr">
        <is>
          <t>Item</t>
        </is>
      </c>
      <c r="C80" s="0" t="inlineStr">
        <is>
          <t>Acquired</t>
        </is>
      </c>
      <c r="D80" s="0" t="inlineStr">
        <is>
          <t>:</t>
        </is>
      </c>
      <c r="E80" s="0" t="inlineStr">
        <is>
          <t>157.50K</t>
        </is>
      </c>
      <c r="F80" s="0" t="inlineStr">
        <is>
          <t>(5,</t>
        </is>
      </c>
      <c r="G80" s="0" t="inlineStr">
        <is>
          <t>15)</t>
        </is>
      </c>
    </row>
    <row r="81">
      <c r="A81" s="0" t="inlineStr">
        <is>
          <t>New</t>
        </is>
      </c>
      <c r="B81" s="0" t="inlineStr">
        <is>
          <t>Item</t>
        </is>
      </c>
      <c r="C81" s="0" t="inlineStr">
        <is>
          <t>Acquired</t>
        </is>
      </c>
      <c r="D81" s="0" t="inlineStr">
        <is>
          <t>:</t>
        </is>
      </c>
      <c r="E81" s="0" t="inlineStr">
        <is>
          <t>150.00K</t>
        </is>
      </c>
      <c r="F81" s="0" t="inlineStr">
        <is>
          <t>(7,</t>
        </is>
      </c>
      <c r="G81" s="0" t="inlineStr">
        <is>
          <t>3)</t>
        </is>
      </c>
    </row>
    <row r="82">
      <c r="A82" s="0" t="inlineStr">
        <is>
          <t>New</t>
        </is>
      </c>
      <c r="B82" s="0" t="inlineStr">
        <is>
          <t>Item</t>
        </is>
      </c>
      <c r="C82" s="0" t="inlineStr">
        <is>
          <t>Acquired</t>
        </is>
      </c>
      <c r="D82" s="0" t="inlineStr">
        <is>
          <t>:</t>
        </is>
      </c>
      <c r="E82" s="0" t="inlineStr">
        <is>
          <t>Mini</t>
        </is>
      </c>
      <c r="F82" s="0" t="inlineStr">
        <is>
          <t>(7,</t>
        </is>
      </c>
      <c r="G82" s="0" t="inlineStr">
        <is>
          <t>4)</t>
        </is>
      </c>
    </row>
    <row r="83">
      <c r="A83" s="0" t="inlineStr">
        <is>
          <t>New</t>
        </is>
      </c>
      <c r="B83" s="0" t="inlineStr">
        <is>
          <t>Item</t>
        </is>
      </c>
      <c r="C83" s="0" t="inlineStr">
        <is>
          <t>Acquired</t>
        </is>
      </c>
      <c r="D83" s="0" t="inlineStr">
        <is>
          <t>:</t>
        </is>
      </c>
      <c r="E83" s="0" t="inlineStr">
        <is>
          <t>150.00K</t>
        </is>
      </c>
      <c r="F83" s="0" t="inlineStr">
        <is>
          <t>(7,</t>
        </is>
      </c>
      <c r="G83" s="0" t="inlineStr">
        <is>
          <t>18)</t>
        </is>
      </c>
    </row>
    <row r="84">
      <c r="A84" s="0" t="inlineStr">
        <is>
          <t>New</t>
        </is>
      </c>
      <c r="B84" s="0" t="inlineStr">
        <is>
          <t>Item</t>
        </is>
      </c>
      <c r="C84" s="0" t="inlineStr">
        <is>
          <t>Acquired</t>
        </is>
      </c>
      <c r="D84" s="0" t="inlineStr">
        <is>
          <t>:</t>
        </is>
      </c>
      <c r="E84" s="0" t="inlineStr">
        <is>
          <t>67.50K</t>
        </is>
      </c>
      <c r="F84" s="0" t="inlineStr">
        <is>
          <t>(5,</t>
        </is>
      </c>
      <c r="G84" s="0" t="inlineStr">
        <is>
          <t>22)</t>
        </is>
      </c>
    </row>
    <row r="85">
      <c r="A85" s="0" t="inlineStr">
        <is>
          <t>New</t>
        </is>
      </c>
      <c r="B85" s="0" t="inlineStr">
        <is>
          <t>Item</t>
        </is>
      </c>
      <c r="C85" s="0" t="inlineStr">
        <is>
          <t>Acquired</t>
        </is>
      </c>
      <c r="D85" s="0" t="inlineStr">
        <is>
          <t>:</t>
        </is>
      </c>
      <c r="E85" s="0" t="inlineStr">
        <is>
          <t>150.00K</t>
        </is>
      </c>
      <c r="F85" s="0" t="inlineStr">
        <is>
          <t>(7,</t>
        </is>
      </c>
      <c r="G85" s="0" t="inlineStr">
        <is>
          <t>10)</t>
        </is>
      </c>
    </row>
    <row r="86">
      <c r="A86" s="0" t="inlineStr">
        <is>
          <t>New</t>
        </is>
      </c>
      <c r="B86" s="0" t="inlineStr">
        <is>
          <t>Item</t>
        </is>
      </c>
      <c r="C86" s="0" t="inlineStr">
        <is>
          <t>Acquired</t>
        </is>
      </c>
      <c r="D86" s="0" t="inlineStr">
        <is>
          <t>:</t>
        </is>
      </c>
      <c r="E86" s="0" t="inlineStr">
        <is>
          <t>105.00K</t>
        </is>
      </c>
      <c r="F86" s="0" t="inlineStr">
        <is>
          <t>(4,</t>
        </is>
      </c>
      <c r="G86" s="0" t="inlineStr">
        <is>
          <t>20)</t>
        </is>
      </c>
    </row>
    <row r="87">
      <c r="A87" s="0" t="inlineStr">
        <is>
          <t>New</t>
        </is>
      </c>
      <c r="B87" s="0" t="inlineStr">
        <is>
          <t>Item</t>
        </is>
      </c>
      <c r="C87" s="0" t="inlineStr">
        <is>
          <t>Acquired</t>
        </is>
      </c>
      <c r="D87" s="0" t="inlineStr">
        <is>
          <t>:</t>
        </is>
      </c>
      <c r="E87" s="0" t="inlineStr">
        <is>
          <t>67.50K</t>
        </is>
      </c>
      <c r="F87" s="0" t="inlineStr">
        <is>
          <t>(5,</t>
        </is>
      </c>
      <c r="G87" s="0" t="inlineStr">
        <is>
          <t>3)</t>
        </is>
      </c>
    </row>
    <row r="88">
      <c r="A88" s="0" t="inlineStr">
        <is>
          <t>New</t>
        </is>
      </c>
      <c r="B88" s="0" t="inlineStr">
        <is>
          <t>Item</t>
        </is>
      </c>
      <c r="C88" s="0" t="inlineStr">
        <is>
          <t>Acquired</t>
        </is>
      </c>
      <c r="D88" s="0" t="inlineStr">
        <is>
          <t>:</t>
        </is>
      </c>
      <c r="E88" s="0" t="inlineStr">
        <is>
          <t>67.50K</t>
        </is>
      </c>
      <c r="F88" s="0" t="inlineStr">
        <is>
          <t>(5,</t>
        </is>
      </c>
      <c r="G88" s="0" t="inlineStr">
        <is>
          <t>18)</t>
        </is>
      </c>
    </row>
    <row r="89">
      <c r="A89" s="0" t="inlineStr">
        <is>
          <t>New</t>
        </is>
      </c>
      <c r="B89" s="0" t="inlineStr">
        <is>
          <t>Item</t>
        </is>
      </c>
      <c r="C89" s="0" t="inlineStr">
        <is>
          <t>Acquired</t>
        </is>
      </c>
      <c r="D89" s="0" t="inlineStr">
        <is>
          <t>:</t>
        </is>
      </c>
      <c r="E89" s="0" t="inlineStr">
        <is>
          <t>150.00K</t>
        </is>
      </c>
      <c r="F89" s="0" t="inlineStr">
        <is>
          <t>(7,</t>
        </is>
      </c>
      <c r="G89" s="0" t="inlineStr">
        <is>
          <t>1)</t>
        </is>
      </c>
    </row>
    <row r="90">
      <c r="A90" s="0" t="inlineStr">
        <is>
          <t>New</t>
        </is>
      </c>
      <c r="B90" s="0" t="inlineStr">
        <is>
          <t>Item</t>
        </is>
      </c>
      <c r="C90" s="0" t="inlineStr">
        <is>
          <t>Acquired</t>
        </is>
      </c>
      <c r="D90" s="0" t="inlineStr">
        <is>
          <t>:</t>
        </is>
      </c>
      <c r="E90" s="0" t="inlineStr">
        <is>
          <t>125.00K</t>
        </is>
      </c>
      <c r="F90" s="0" t="inlineStr">
        <is>
          <t>(6,</t>
        </is>
      </c>
      <c r="G90" s="0" t="inlineStr">
        <is>
          <t>17)</t>
        </is>
      </c>
    </row>
    <row r="91">
      <c r="A91" s="0" t="inlineStr">
        <is>
          <t>New</t>
        </is>
      </c>
      <c r="B91" s="0" t="inlineStr">
        <is>
          <t>Item</t>
        </is>
      </c>
      <c r="C91" s="0" t="inlineStr">
        <is>
          <t>Acquired</t>
        </is>
      </c>
      <c r="D91" s="0" t="inlineStr">
        <is>
          <t>:</t>
        </is>
      </c>
      <c r="E91" s="0" t="inlineStr">
        <is>
          <t>175.00K</t>
        </is>
      </c>
      <c r="F91" s="0" t="inlineStr">
        <is>
          <t>(6,</t>
        </is>
      </c>
      <c r="G91" s="0" t="inlineStr">
        <is>
          <t>23)</t>
        </is>
      </c>
    </row>
    <row r="92">
      <c r="A92" s="0" t="inlineStr">
        <is>
          <t>New</t>
        </is>
      </c>
      <c r="B92" s="0" t="inlineStr">
        <is>
          <t>Item</t>
        </is>
      </c>
      <c r="C92" s="0" t="inlineStr">
        <is>
          <t>Acquired</t>
        </is>
      </c>
      <c r="D92" s="0" t="inlineStr">
        <is>
          <t>:</t>
        </is>
      </c>
      <c r="E92" s="0" t="inlineStr">
        <is>
          <t>Minor</t>
        </is>
      </c>
      <c r="F92" s="0" t="inlineStr">
        <is>
          <t>(8,</t>
        </is>
      </c>
      <c r="G92" s="0" t="inlineStr">
        <is>
          <t>17)</t>
        </is>
      </c>
    </row>
    <row r="93">
      <c r="A93" s="0" t="inlineStr">
        <is>
          <t>New</t>
        </is>
      </c>
      <c r="B93" s="0" t="inlineStr">
        <is>
          <t>Item</t>
        </is>
      </c>
      <c r="C93" s="0" t="inlineStr">
        <is>
          <t>Acquired</t>
        </is>
      </c>
      <c r="D93" s="0" t="inlineStr">
        <is>
          <t>:</t>
        </is>
      </c>
      <c r="E93" s="0" t="inlineStr">
        <is>
          <t>Major</t>
        </is>
      </c>
      <c r="F93" s="0" t="inlineStr">
        <is>
          <t>(3,</t>
        </is>
      </c>
      <c r="G93" s="0" t="inlineStr">
        <is>
          <t>1)</t>
        </is>
      </c>
    </row>
    <row r="94">
      <c r="A94" s="0" t="inlineStr">
        <is>
          <t>New</t>
        </is>
      </c>
      <c r="B94" s="0" t="inlineStr">
        <is>
          <t>Item</t>
        </is>
      </c>
      <c r="C94" s="0" t="inlineStr">
        <is>
          <t>Acquired</t>
        </is>
      </c>
      <c r="D94" s="0" t="inlineStr">
        <is>
          <t>:</t>
        </is>
      </c>
      <c r="E94" s="0" t="inlineStr">
        <is>
          <t>75.00K</t>
        </is>
      </c>
      <c r="F94" s="0" t="inlineStr">
        <is>
          <t>(6,</t>
        </is>
      </c>
      <c r="G94" s="0" t="inlineStr">
        <is>
          <t>19)</t>
        </is>
      </c>
    </row>
    <row r="95">
      <c r="A95" s="0" t="inlineStr">
        <is>
          <t>New</t>
        </is>
      </c>
      <c r="B95" s="0" t="inlineStr">
        <is>
          <t>Item</t>
        </is>
      </c>
      <c r="C95" s="0" t="inlineStr">
        <is>
          <t>Acquired</t>
        </is>
      </c>
      <c r="D95" s="0" t="inlineStr">
        <is>
          <t>:</t>
        </is>
      </c>
      <c r="E95" s="0" t="inlineStr">
        <is>
          <t>Mini</t>
        </is>
      </c>
      <c r="F95" s="0" t="inlineStr">
        <is>
          <t>(6,</t>
        </is>
      </c>
      <c r="G95" s="0" t="inlineStr">
        <is>
          <t>16)</t>
        </is>
      </c>
    </row>
    <row r="96">
      <c r="A96" s="0" t="inlineStr">
        <is>
          <t>New</t>
        </is>
      </c>
      <c r="B96" s="0" t="inlineStr">
        <is>
          <t>Item</t>
        </is>
      </c>
      <c r="C96" s="0" t="inlineStr">
        <is>
          <t>Acquired</t>
        </is>
      </c>
      <c r="D96" s="0" t="inlineStr">
        <is>
          <t>:</t>
        </is>
      </c>
      <c r="E96" s="0" t="inlineStr">
        <is>
          <t>175.00K</t>
        </is>
      </c>
      <c r="F96" s="0" t="inlineStr">
        <is>
          <t>(6,</t>
        </is>
      </c>
      <c r="G96" s="0" t="inlineStr">
        <is>
          <t>14)</t>
        </is>
      </c>
    </row>
    <row r="97">
      <c r="A97" s="0" t="inlineStr">
        <is>
          <t>New</t>
        </is>
      </c>
      <c r="B97" s="0" t="inlineStr">
        <is>
          <t>Item</t>
        </is>
      </c>
      <c r="C97" s="0" t="inlineStr">
        <is>
          <t>Acquired</t>
        </is>
      </c>
      <c r="D97" s="0" t="inlineStr">
        <is>
          <t>:</t>
        </is>
      </c>
      <c r="E97" s="0" t="inlineStr">
        <is>
          <t>210.00K</t>
        </is>
      </c>
      <c r="F97" s="0" t="inlineStr">
        <is>
          <t>(7,</t>
        </is>
      </c>
      <c r="G97" s="0" t="inlineStr">
        <is>
          <t>11)</t>
        </is>
      </c>
    </row>
    <row r="98">
      <c r="A98" s="0" t="inlineStr">
        <is>
          <t>New</t>
        </is>
      </c>
      <c r="B98" s="0" t="inlineStr">
        <is>
          <t>Item</t>
        </is>
      </c>
      <c r="C98" s="0" t="inlineStr">
        <is>
          <t>Acquired</t>
        </is>
      </c>
      <c r="D98" s="0" t="inlineStr">
        <is>
          <t>:</t>
        </is>
      </c>
      <c r="E98" s="0" t="inlineStr">
        <is>
          <t>120.00K</t>
        </is>
      </c>
      <c r="F98" s="0" t="inlineStr">
        <is>
          <t>(8,</t>
        </is>
      </c>
      <c r="G98" s="0" t="inlineStr">
        <is>
          <t>8)</t>
        </is>
      </c>
    </row>
    <row r="99">
      <c r="A99" s="0" t="inlineStr">
        <is>
          <t>New</t>
        </is>
      </c>
      <c r="B99" s="0" t="inlineStr">
        <is>
          <t>Item</t>
        </is>
      </c>
      <c r="C99" s="0" t="inlineStr">
        <is>
          <t>Acquired</t>
        </is>
      </c>
      <c r="D99" s="0" t="inlineStr">
        <is>
          <t>:</t>
        </is>
      </c>
      <c r="E99" s="0" t="inlineStr">
        <is>
          <t>90.00K</t>
        </is>
      </c>
      <c r="F99" s="0" t="inlineStr">
        <is>
          <t>(7,</t>
        </is>
      </c>
      <c r="G99" s="0" t="inlineStr">
        <is>
          <t>24)</t>
        </is>
      </c>
    </row>
    <row r="100">
      <c r="A100" s="0" t="inlineStr">
        <is>
          <t>New</t>
        </is>
      </c>
      <c r="B100" s="0" t="inlineStr">
        <is>
          <t>Item</t>
        </is>
      </c>
      <c r="C100" s="0" t="inlineStr">
        <is>
          <t>Acquired</t>
        </is>
      </c>
      <c r="D100" s="0" t="inlineStr">
        <is>
          <t>:</t>
        </is>
      </c>
      <c r="E100" s="0" t="inlineStr">
        <is>
          <t>75.00K</t>
        </is>
      </c>
      <c r="F100" s="0" t="inlineStr">
        <is>
          <t>(6,</t>
        </is>
      </c>
      <c r="G100" s="0" t="inlineStr">
        <is>
          <t>21)</t>
        </is>
      </c>
    </row>
    <row r="101">
      <c r="A101" s="0" t="inlineStr">
        <is>
          <t>New</t>
        </is>
      </c>
      <c r="B101" s="0" t="inlineStr">
        <is>
          <t>Item</t>
        </is>
      </c>
      <c r="C101" s="0" t="inlineStr">
        <is>
          <t>Acquired</t>
        </is>
      </c>
      <c r="D101" s="0" t="inlineStr">
        <is>
          <t>:</t>
        </is>
      </c>
      <c r="E101" s="0" t="inlineStr">
        <is>
          <t>90.00K</t>
        </is>
      </c>
      <c r="F101" s="0" t="inlineStr">
        <is>
          <t>(7,</t>
        </is>
      </c>
      <c r="G101" s="0" t="inlineStr">
        <is>
          <t>8)</t>
        </is>
      </c>
    </row>
    <row r="102">
      <c r="A102" s="0" t="inlineStr">
        <is>
          <t>New</t>
        </is>
      </c>
      <c r="B102" s="0" t="inlineStr">
        <is>
          <t>Item</t>
        </is>
      </c>
      <c r="C102" s="0" t="inlineStr">
        <is>
          <t>Acquired</t>
        </is>
      </c>
      <c r="D102" s="0" t="inlineStr">
        <is>
          <t>:</t>
        </is>
      </c>
      <c r="E102" s="0" t="inlineStr">
        <is>
          <t>125.00K</t>
        </is>
      </c>
      <c r="F102" s="0" t="inlineStr">
        <is>
          <t>(6,</t>
        </is>
      </c>
      <c r="G102" s="0" t="inlineStr">
        <is>
          <t>18)</t>
        </is>
      </c>
    </row>
    <row r="103">
      <c r="A103" s="0" t="inlineStr">
        <is>
          <t>New</t>
        </is>
      </c>
      <c r="B103" s="0" t="inlineStr">
        <is>
          <t>Item</t>
        </is>
      </c>
      <c r="C103" s="0" t="inlineStr">
        <is>
          <t>Acquired</t>
        </is>
      </c>
      <c r="D103" s="0" t="inlineStr">
        <is>
          <t>:</t>
        </is>
      </c>
      <c r="E103" s="0" t="inlineStr">
        <is>
          <t>112.50K</t>
        </is>
      </c>
      <c r="F103" s="0" t="inlineStr">
        <is>
          <t>(5,</t>
        </is>
      </c>
      <c r="G103" s="0" t="inlineStr">
        <is>
          <t>7)</t>
        </is>
      </c>
    </row>
    <row r="104">
      <c r="A104" s="0" t="inlineStr">
        <is>
          <t>New</t>
        </is>
      </c>
      <c r="B104" s="0" t="inlineStr">
        <is>
          <t>Item</t>
        </is>
      </c>
      <c r="C104" s="0" t="inlineStr">
        <is>
          <t>Acquired</t>
        </is>
      </c>
      <c r="D104" s="0" t="inlineStr">
        <is>
          <t>:</t>
        </is>
      </c>
      <c r="E104" s="0" t="inlineStr">
        <is>
          <t>120.00K</t>
        </is>
      </c>
      <c r="F104" s="0" t="inlineStr">
        <is>
          <t>(8,</t>
        </is>
      </c>
      <c r="G104" s="0" t="inlineStr">
        <is>
          <t>10)</t>
        </is>
      </c>
    </row>
    <row r="105">
      <c r="A105" s="0" t="inlineStr">
        <is>
          <t>New</t>
        </is>
      </c>
      <c r="B105" s="0" t="inlineStr">
        <is>
          <t>Item</t>
        </is>
      </c>
      <c r="C105" s="0" t="inlineStr">
        <is>
          <t>Acquired</t>
        </is>
      </c>
      <c r="D105" s="0" t="inlineStr">
        <is>
          <t>:</t>
        </is>
      </c>
      <c r="E105" s="0" t="inlineStr">
        <is>
          <t>112.50K</t>
        </is>
      </c>
      <c r="F105" s="0" t="inlineStr">
        <is>
          <t>(5,</t>
        </is>
      </c>
      <c r="G105" s="0" t="inlineStr">
        <is>
          <t>9)</t>
        </is>
      </c>
    </row>
    <row r="106">
      <c r="A106" s="0" t="inlineStr">
        <is>
          <t>New</t>
        </is>
      </c>
      <c r="B106" s="0" t="inlineStr">
        <is>
          <t>Item</t>
        </is>
      </c>
      <c r="C106" s="0" t="inlineStr">
        <is>
          <t>Acquired</t>
        </is>
      </c>
      <c r="D106" s="0" t="inlineStr">
        <is>
          <t>:</t>
        </is>
      </c>
      <c r="E106" s="0" t="inlineStr">
        <is>
          <t>Minor</t>
        </is>
      </c>
      <c r="F106" s="0" t="inlineStr">
        <is>
          <t>(5,</t>
        </is>
      </c>
      <c r="G106" s="0" t="inlineStr">
        <is>
          <t>20)</t>
        </is>
      </c>
    </row>
    <row r="107">
      <c r="A107" s="0" t="inlineStr">
        <is>
          <t>New</t>
        </is>
      </c>
      <c r="B107" s="0" t="inlineStr">
        <is>
          <t>Item</t>
        </is>
      </c>
      <c r="C107" s="0" t="inlineStr">
        <is>
          <t>Acquired</t>
        </is>
      </c>
      <c r="D107" s="0" t="inlineStr">
        <is>
          <t>:</t>
        </is>
      </c>
      <c r="E107" s="0" t="inlineStr">
        <is>
          <t>90.00K</t>
        </is>
      </c>
      <c r="F107" s="0" t="inlineStr">
        <is>
          <t>(7,</t>
        </is>
      </c>
      <c r="G107" s="0" t="inlineStr">
        <is>
          <t>12)</t>
        </is>
      </c>
    </row>
    <row r="108">
      <c r="A108" s="0" t="inlineStr">
        <is>
          <t>New</t>
        </is>
      </c>
      <c r="B108" s="0" t="inlineStr">
        <is>
          <t>Item</t>
        </is>
      </c>
      <c r="C108" s="0" t="inlineStr">
        <is>
          <t>Acquired</t>
        </is>
      </c>
      <c r="D108" s="0" t="inlineStr">
        <is>
          <t>:</t>
        </is>
      </c>
      <c r="E108" s="0" t="inlineStr">
        <is>
          <t>75.00K</t>
        </is>
      </c>
      <c r="F108" s="0" t="inlineStr">
        <is>
          <t>(6,</t>
        </is>
      </c>
      <c r="G108" s="0" t="inlineStr">
        <is>
          <t>10)</t>
        </is>
      </c>
    </row>
    <row r="109">
      <c r="A109" s="0" t="inlineStr">
        <is>
          <t>New</t>
        </is>
      </c>
      <c r="B109" s="0" t="inlineStr">
        <is>
          <t>Item</t>
        </is>
      </c>
      <c r="C109" s="0" t="inlineStr">
        <is>
          <t>Acquired</t>
        </is>
      </c>
      <c r="D109" s="0" t="inlineStr">
        <is>
          <t>:</t>
        </is>
      </c>
      <c r="E109" s="0" t="inlineStr">
        <is>
          <t>175.00K</t>
        </is>
      </c>
      <c r="F109" s="0" t="inlineStr">
        <is>
          <t>(6,</t>
        </is>
      </c>
      <c r="G109" s="0" t="inlineStr">
        <is>
          <t>15)</t>
        </is>
      </c>
    </row>
    <row r="110">
      <c r="A110" s="0" t="inlineStr">
        <is>
          <t>New</t>
        </is>
      </c>
      <c r="B110" s="0" t="inlineStr">
        <is>
          <t>Item</t>
        </is>
      </c>
      <c r="C110" s="0" t="inlineStr">
        <is>
          <t>Acquired</t>
        </is>
      </c>
      <c r="D110" s="0" t="inlineStr">
        <is>
          <t>:</t>
        </is>
      </c>
      <c r="E110" s="0" t="inlineStr">
        <is>
          <t>67.50K</t>
        </is>
      </c>
      <c r="F110" s="0" t="inlineStr">
        <is>
          <t>(5,</t>
        </is>
      </c>
      <c r="G110" s="0" t="inlineStr">
        <is>
          <t>25)</t>
        </is>
      </c>
    </row>
    <row r="111">
      <c r="A111" s="0" t="inlineStr">
        <is>
          <t>New</t>
        </is>
      </c>
      <c r="B111" s="0" t="inlineStr">
        <is>
          <t>Item</t>
        </is>
      </c>
      <c r="C111" s="0" t="inlineStr">
        <is>
          <t>Acquired</t>
        </is>
      </c>
      <c r="D111" s="0" t="inlineStr">
        <is>
          <t>:</t>
        </is>
      </c>
      <c r="E111" s="0" t="inlineStr">
        <is>
          <t>175.00K</t>
        </is>
      </c>
      <c r="F111" s="0" t="inlineStr">
        <is>
          <t>(6,</t>
        </is>
      </c>
      <c r="G111" s="0" t="inlineStr">
        <is>
          <t>7)</t>
        </is>
      </c>
    </row>
    <row r="112">
      <c r="A112" s="0" t="inlineStr">
        <is>
          <t>New</t>
        </is>
      </c>
      <c r="B112" s="0" t="inlineStr">
        <is>
          <t>Item</t>
        </is>
      </c>
      <c r="C112" s="0" t="inlineStr">
        <is>
          <t>Acquired</t>
        </is>
      </c>
      <c r="D112" s="0" t="inlineStr">
        <is>
          <t>:</t>
        </is>
      </c>
      <c r="E112" s="0" t="inlineStr">
        <is>
          <t>150.00K</t>
        </is>
      </c>
      <c r="F112" s="0" t="inlineStr">
        <is>
          <t>(7,</t>
        </is>
      </c>
      <c r="G112" s="0" t="inlineStr">
        <is>
          <t>6)</t>
        </is>
      </c>
    </row>
    <row r="113">
      <c r="A113" s="0" t="inlineStr">
        <is>
          <t>New</t>
        </is>
      </c>
      <c r="B113" s="0" t="inlineStr">
        <is>
          <t>Item</t>
        </is>
      </c>
      <c r="C113" s="0" t="inlineStr">
        <is>
          <t>Acquired</t>
        </is>
      </c>
      <c r="D113" s="0" t="inlineStr">
        <is>
          <t>:</t>
        </is>
      </c>
      <c r="E113" s="0" t="inlineStr">
        <is>
          <t>150.00K</t>
        </is>
      </c>
      <c r="F113" s="0" t="inlineStr">
        <is>
          <t>(7,</t>
        </is>
      </c>
      <c r="G113" s="0" t="inlineStr">
        <is>
          <t>19)</t>
        </is>
      </c>
    </row>
    <row r="114">
      <c r="A114" s="0" t="inlineStr">
        <is>
          <t>New</t>
        </is>
      </c>
      <c r="B114" s="0" t="inlineStr">
        <is>
          <t>Item</t>
        </is>
      </c>
      <c r="C114" s="0" t="inlineStr">
        <is>
          <t>Acquired</t>
        </is>
      </c>
      <c r="D114" s="0" t="inlineStr">
        <is>
          <t>:</t>
        </is>
      </c>
      <c r="E114" s="0" t="inlineStr">
        <is>
          <t>75.00K</t>
        </is>
      </c>
      <c r="F114" s="0" t="inlineStr">
        <is>
          <t>(6,</t>
        </is>
      </c>
      <c r="G114" s="0" t="inlineStr">
        <is>
          <t>4)</t>
        </is>
      </c>
    </row>
    <row r="115">
      <c r="A115" s="0" t="inlineStr">
        <is>
          <t>New</t>
        </is>
      </c>
      <c r="B115" s="0" t="inlineStr">
        <is>
          <t>Item</t>
        </is>
      </c>
      <c r="C115" s="0" t="inlineStr">
        <is>
          <t>Acquired</t>
        </is>
      </c>
      <c r="D115" s="0" t="inlineStr">
        <is>
          <t>:</t>
        </is>
      </c>
      <c r="E115" s="0" t="inlineStr">
        <is>
          <t>120.00K</t>
        </is>
      </c>
      <c r="F115" s="0" t="inlineStr">
        <is>
          <t>(8,</t>
        </is>
      </c>
      <c r="G115" s="0" t="inlineStr">
        <is>
          <t>23)</t>
        </is>
      </c>
    </row>
    <row r="116">
      <c r="A116" s="0" t="inlineStr">
        <is>
          <t>New</t>
        </is>
      </c>
      <c r="B116" s="0" t="inlineStr">
        <is>
          <t>Item</t>
        </is>
      </c>
      <c r="C116" s="0" t="inlineStr">
        <is>
          <t>Acquired</t>
        </is>
      </c>
      <c r="D116" s="0" t="inlineStr">
        <is>
          <t>:</t>
        </is>
      </c>
      <c r="E116" s="0" t="inlineStr">
        <is>
          <t>67.50K</t>
        </is>
      </c>
      <c r="F116" s="0" t="inlineStr">
        <is>
          <t>(5,</t>
        </is>
      </c>
      <c r="G116" s="0" t="inlineStr">
        <is>
          <t>24)</t>
        </is>
      </c>
    </row>
    <row r="117">
      <c r="A117" s="0" t="inlineStr">
        <is>
          <t>New</t>
        </is>
      </c>
      <c r="B117" s="0" t="inlineStr">
        <is>
          <t>Item</t>
        </is>
      </c>
      <c r="C117" s="0" t="inlineStr">
        <is>
          <t>Acquired</t>
        </is>
      </c>
      <c r="D117" s="0" t="inlineStr">
        <is>
          <t>:</t>
        </is>
      </c>
      <c r="E117" s="0" t="inlineStr">
        <is>
          <t>105.00K</t>
        </is>
      </c>
      <c r="F117" s="0" t="inlineStr">
        <is>
          <t>(3,</t>
        </is>
      </c>
      <c r="G117" s="0" t="inlineStr">
        <is>
          <t>22)</t>
        </is>
      </c>
    </row>
    <row r="118">
      <c r="A118" s="0" t="inlineStr">
        <is>
          <t>New</t>
        </is>
      </c>
      <c r="B118" s="0" t="inlineStr">
        <is>
          <t>Item</t>
        </is>
      </c>
      <c r="C118" s="0" t="inlineStr">
        <is>
          <t>Acquired</t>
        </is>
      </c>
      <c r="D118" s="0" t="inlineStr">
        <is>
          <t>:</t>
        </is>
      </c>
      <c r="E118" s="0" t="inlineStr">
        <is>
          <t>Mini</t>
        </is>
      </c>
      <c r="F118" s="0" t="inlineStr">
        <is>
          <t>(6,</t>
        </is>
      </c>
      <c r="G118" s="0" t="inlineStr">
        <is>
          <t>22)</t>
        </is>
      </c>
    </row>
    <row r="119">
      <c r="A119" s="0" t="inlineStr">
        <is>
          <t>New</t>
        </is>
      </c>
      <c r="B119" s="0" t="inlineStr">
        <is>
          <t>Item</t>
        </is>
      </c>
      <c r="C119" s="0" t="inlineStr">
        <is>
          <t>Acquired</t>
        </is>
      </c>
      <c r="D119" s="0" t="inlineStr">
        <is>
          <t>:</t>
        </is>
      </c>
      <c r="E119" s="0" t="inlineStr">
        <is>
          <t>175.00K</t>
        </is>
      </c>
      <c r="F119" s="0" t="inlineStr">
        <is>
          <t>(6,</t>
        </is>
      </c>
      <c r="G119" s="0" t="inlineStr">
        <is>
          <t>20)</t>
        </is>
      </c>
    </row>
    <row r="120">
      <c r="A120" s="0" t="inlineStr">
        <is>
          <t>Line</t>
        </is>
      </c>
      <c r="B120" s="0" t="inlineStr">
        <is>
          <t>Prize</t>
        </is>
      </c>
      <c r="C120" s="0" t="inlineStr">
        <is>
          <t>Acquired</t>
        </is>
      </c>
      <c r="D120" s="0" t="inlineStr">
        <is>
          <t>:</t>
        </is>
      </c>
      <c r="E120" s="0" t="inlineStr">
        <is>
          <t>1.00M</t>
        </is>
      </c>
      <c r="F120" s="0" t="inlineStr">
        <is>
          <t>(Stage</t>
        </is>
      </c>
      <c r="G120" s="0" t="inlineStr">
        <is>
          <t>:</t>
        </is>
      </c>
      <c r="H120" s="0" t="inlineStr">
        <is>
          <t>6)</t>
        </is>
      </c>
      <c r="I120" s="0" t="inlineStr">
        <is>
          <t>-</t>
        </is>
      </c>
      <c r="J120" s="0" t="n">
        <v>1000000</v>
      </c>
    </row>
    <row r="121">
      <c r="A121" s="0" t="inlineStr">
        <is>
          <t>Line</t>
        </is>
      </c>
      <c r="B121" s="0" t="inlineStr">
        <is>
          <t>Prize</t>
        </is>
      </c>
      <c r="C121" s="0" t="inlineStr">
        <is>
          <t>Acquired</t>
        </is>
      </c>
      <c r="D121" s="0" t="inlineStr">
        <is>
          <t>:</t>
        </is>
      </c>
      <c r="E121" s="0" t="inlineStr">
        <is>
          <t>1.30M</t>
        </is>
      </c>
      <c r="F121" s="0" t="inlineStr">
        <is>
          <t>(Stage</t>
        </is>
      </c>
      <c r="G121" s="0" t="inlineStr">
        <is>
          <t>:</t>
        </is>
      </c>
      <c r="H121" s="0" t="inlineStr">
        <is>
          <t>6)</t>
        </is>
      </c>
      <c r="I121" s="0" t="inlineStr">
        <is>
          <t>-</t>
        </is>
      </c>
      <c r="J121" s="0" t="n">
        <v>1300000</v>
      </c>
    </row>
    <row r="122">
      <c r="A122" s="0" t="inlineStr">
        <is>
          <t>Clear</t>
        </is>
      </c>
      <c r="B122" s="0" t="inlineStr">
        <is>
          <t>Gem</t>
        </is>
      </c>
      <c r="C122" s="0" t="inlineStr">
        <is>
          <t>Acquired</t>
        </is>
      </c>
      <c r="D122" s="0" t="inlineStr">
        <is>
          <t>:</t>
        </is>
      </c>
      <c r="E122" s="0" t="n">
        <v>400</v>
      </c>
      <c r="F122" s="0" t="inlineStr">
        <is>
          <t>-&gt;</t>
        </is>
      </c>
      <c r="G122" s="0" t="n">
        <v>500</v>
      </c>
      <c r="H122" s="0" t="inlineStr">
        <is>
          <t>(Stage</t>
        </is>
      </c>
      <c r="I122" s="0" t="inlineStr">
        <is>
          <t>:</t>
        </is>
      </c>
      <c r="J122" s="0" t="inlineStr">
        <is>
          <t>6)</t>
        </is>
      </c>
    </row>
    <row r="123">
      <c r="A123" s="0" t="inlineStr">
        <is>
          <t>New</t>
        </is>
      </c>
      <c r="B123" s="0" t="inlineStr">
        <is>
          <t>Item</t>
        </is>
      </c>
      <c r="C123" s="0" t="inlineStr">
        <is>
          <t>Acquired</t>
        </is>
      </c>
      <c r="D123" s="0" t="inlineStr">
        <is>
          <t>:</t>
        </is>
      </c>
      <c r="E123" s="0" t="inlineStr">
        <is>
          <t>60.00K</t>
        </is>
      </c>
      <c r="F123" s="0" t="inlineStr">
        <is>
          <t>(4,</t>
        </is>
      </c>
      <c r="G123" s="0" t="inlineStr">
        <is>
          <t>19)</t>
        </is>
      </c>
    </row>
    <row r="124">
      <c r="A124" s="0" t="inlineStr">
        <is>
          <t>New</t>
        </is>
      </c>
      <c r="B124" s="0" t="inlineStr">
        <is>
          <t>Item</t>
        </is>
      </c>
      <c r="C124" s="0" t="inlineStr">
        <is>
          <t>Acquired</t>
        </is>
      </c>
      <c r="D124" s="0" t="inlineStr">
        <is>
          <t>:</t>
        </is>
      </c>
      <c r="E124" s="0" t="inlineStr">
        <is>
          <t>75.00K</t>
        </is>
      </c>
      <c r="F124" s="0" t="inlineStr">
        <is>
          <t>(6,</t>
        </is>
      </c>
      <c r="G124" s="0" t="inlineStr">
        <is>
          <t>22)</t>
        </is>
      </c>
    </row>
    <row r="125">
      <c r="A125" s="0" t="inlineStr">
        <is>
          <t>New</t>
        </is>
      </c>
      <c r="B125" s="0" t="inlineStr">
        <is>
          <t>Item</t>
        </is>
      </c>
      <c r="C125" s="0" t="inlineStr">
        <is>
          <t>Acquired</t>
        </is>
      </c>
      <c r="D125" s="0" t="inlineStr">
        <is>
          <t>:</t>
        </is>
      </c>
      <c r="E125" s="0" t="inlineStr">
        <is>
          <t>Mini</t>
        </is>
      </c>
      <c r="F125" s="0" t="inlineStr">
        <is>
          <t>(7,</t>
        </is>
      </c>
      <c r="G125" s="0" t="inlineStr">
        <is>
          <t>21)</t>
        </is>
      </c>
    </row>
    <row r="126">
      <c r="A126" s="0" t="inlineStr">
        <is>
          <t>New</t>
        </is>
      </c>
      <c r="B126" s="0" t="inlineStr">
        <is>
          <t>Item</t>
        </is>
      </c>
      <c r="C126" s="0" t="inlineStr">
        <is>
          <t>Acquired</t>
        </is>
      </c>
      <c r="D126" s="0" t="inlineStr">
        <is>
          <t>:</t>
        </is>
      </c>
      <c r="E126" s="0" t="inlineStr">
        <is>
          <t>150.00K</t>
        </is>
      </c>
      <c r="F126" s="0" t="inlineStr">
        <is>
          <t>(7,</t>
        </is>
      </c>
      <c r="G126" s="0" t="inlineStr">
        <is>
          <t>23)</t>
        </is>
      </c>
    </row>
    <row r="127">
      <c r="A127" s="0" t="inlineStr">
        <is>
          <t>Line</t>
        </is>
      </c>
      <c r="B127" s="0" t="inlineStr">
        <is>
          <t>Prize</t>
        </is>
      </c>
      <c r="C127" s="0" t="inlineStr">
        <is>
          <t>Acquired</t>
        </is>
      </c>
      <c r="D127" s="0" t="inlineStr">
        <is>
          <t>:</t>
        </is>
      </c>
      <c r="E127" s="0" t="inlineStr">
        <is>
          <t>1.14M</t>
        </is>
      </c>
      <c r="F127" s="0" t="inlineStr">
        <is>
          <t>(Stage</t>
        </is>
      </c>
      <c r="G127" s="0" t="inlineStr">
        <is>
          <t>:</t>
        </is>
      </c>
      <c r="H127" s="0" t="inlineStr">
        <is>
          <t>7)</t>
        </is>
      </c>
      <c r="I127" s="0" t="inlineStr">
        <is>
          <t>-</t>
        </is>
      </c>
      <c r="J127" s="0" t="n">
        <v>1140000</v>
      </c>
    </row>
    <row r="128">
      <c r="A128" s="0" t="inlineStr">
        <is>
          <t>Clear</t>
        </is>
      </c>
      <c r="B128" s="0" t="inlineStr">
        <is>
          <t>Gem</t>
        </is>
      </c>
      <c r="C128" s="0" t="inlineStr">
        <is>
          <t>Acquired</t>
        </is>
      </c>
      <c r="D128" s="0" t="inlineStr">
        <is>
          <t>:</t>
        </is>
      </c>
      <c r="E128" s="0" t="n">
        <v>500</v>
      </c>
      <c r="F128" s="0" t="inlineStr">
        <is>
          <t>-&gt;</t>
        </is>
      </c>
      <c r="G128" s="0" t="n">
        <v>600</v>
      </c>
      <c r="H128" s="0" t="inlineStr">
        <is>
          <t>(Stage</t>
        </is>
      </c>
      <c r="I128" s="0" t="inlineStr">
        <is>
          <t>:</t>
        </is>
      </c>
      <c r="J128" s="0" t="inlineStr">
        <is>
          <t>7)</t>
        </is>
      </c>
    </row>
    <row r="129">
      <c r="A129" s="0" t="inlineStr">
        <is>
          <t>New</t>
        </is>
      </c>
      <c r="B129" s="0" t="inlineStr">
        <is>
          <t>Item</t>
        </is>
      </c>
      <c r="C129" s="0" t="inlineStr">
        <is>
          <t>Acquired</t>
        </is>
      </c>
      <c r="D129" s="0" t="inlineStr">
        <is>
          <t>:</t>
        </is>
      </c>
      <c r="E129" s="0" t="inlineStr">
        <is>
          <t>90.00K</t>
        </is>
      </c>
      <c r="F129" s="0" t="inlineStr">
        <is>
          <t>(7,</t>
        </is>
      </c>
      <c r="G129" s="0" t="inlineStr">
        <is>
          <t>25)</t>
        </is>
      </c>
    </row>
    <row r="130">
      <c r="A130" s="0" t="inlineStr">
        <is>
          <t>New</t>
        </is>
      </c>
      <c r="B130" s="0" t="inlineStr">
        <is>
          <t>Item</t>
        </is>
      </c>
      <c r="C130" s="0" t="inlineStr">
        <is>
          <t>Acquired</t>
        </is>
      </c>
      <c r="D130" s="0" t="inlineStr">
        <is>
          <t>:</t>
        </is>
      </c>
      <c r="E130" s="0" t="inlineStr">
        <is>
          <t>210.00K</t>
        </is>
      </c>
      <c r="F130" s="0" t="inlineStr">
        <is>
          <t>(7,</t>
        </is>
      </c>
      <c r="G130" s="0" t="inlineStr">
        <is>
          <t>12)</t>
        </is>
      </c>
    </row>
    <row r="131">
      <c r="A131" s="0" t="inlineStr">
        <is>
          <t>New</t>
        </is>
      </c>
      <c r="B131" s="0" t="inlineStr">
        <is>
          <t>Item</t>
        </is>
      </c>
      <c r="C131" s="0" t="inlineStr">
        <is>
          <t>Acquired</t>
        </is>
      </c>
      <c r="D131" s="0" t="inlineStr">
        <is>
          <t>:</t>
        </is>
      </c>
      <c r="E131" s="0" t="inlineStr">
        <is>
          <t>87.50K</t>
        </is>
      </c>
      <c r="F131" s="0" t="inlineStr">
        <is>
          <t>(2,</t>
        </is>
      </c>
      <c r="G131" s="0" t="inlineStr">
        <is>
          <t>3)</t>
        </is>
      </c>
    </row>
    <row r="132">
      <c r="A132" s="0" t="inlineStr">
        <is>
          <t>New</t>
        </is>
      </c>
      <c r="B132" s="0" t="inlineStr">
        <is>
          <t>Item</t>
        </is>
      </c>
      <c r="C132" s="0" t="inlineStr">
        <is>
          <t>Acquired</t>
        </is>
      </c>
      <c r="D132" s="0" t="inlineStr">
        <is>
          <t>:</t>
        </is>
      </c>
      <c r="E132" s="0" t="inlineStr">
        <is>
          <t>67.50K</t>
        </is>
      </c>
      <c r="F132" s="0" t="inlineStr">
        <is>
          <t>(5,</t>
        </is>
      </c>
      <c r="G132" s="0" t="inlineStr">
        <is>
          <t>17)</t>
        </is>
      </c>
    </row>
    <row r="133">
      <c r="A133" s="0" t="inlineStr">
        <is>
          <t>New</t>
        </is>
      </c>
      <c r="B133" s="0" t="inlineStr">
        <is>
          <t>Item</t>
        </is>
      </c>
      <c r="C133" s="0" t="inlineStr">
        <is>
          <t>Acquired</t>
        </is>
      </c>
      <c r="D133" s="0" t="inlineStr">
        <is>
          <t>:</t>
        </is>
      </c>
      <c r="E133" s="0" t="inlineStr">
        <is>
          <t>125.00K</t>
        </is>
      </c>
      <c r="F133" s="0" t="inlineStr">
        <is>
          <t>(6,</t>
        </is>
      </c>
      <c r="G133" s="0" t="inlineStr">
        <is>
          <t>18)</t>
        </is>
      </c>
    </row>
    <row r="134">
      <c r="A134" s="0" t="inlineStr">
        <is>
          <t>New</t>
        </is>
      </c>
      <c r="B134" s="0" t="inlineStr">
        <is>
          <t>Item</t>
        </is>
      </c>
      <c r="C134" s="0" t="inlineStr">
        <is>
          <t>Acquired</t>
        </is>
      </c>
      <c r="D134" s="0" t="inlineStr">
        <is>
          <t>:</t>
        </is>
      </c>
      <c r="E134" s="0" t="inlineStr">
        <is>
          <t>112.50K</t>
        </is>
      </c>
      <c r="F134" s="0" t="inlineStr">
        <is>
          <t>(5,</t>
        </is>
      </c>
      <c r="G134" s="0" t="inlineStr">
        <is>
          <t>19)</t>
        </is>
      </c>
    </row>
    <row r="135">
      <c r="A135" s="0" t="inlineStr">
        <is>
          <t>New</t>
        </is>
      </c>
      <c r="B135" s="0" t="inlineStr">
        <is>
          <t>Item</t>
        </is>
      </c>
      <c r="C135" s="0" t="inlineStr">
        <is>
          <t>Acquired</t>
        </is>
      </c>
      <c r="D135" s="0" t="inlineStr">
        <is>
          <t>:</t>
        </is>
      </c>
      <c r="E135" s="0" t="inlineStr">
        <is>
          <t>75.00K</t>
        </is>
      </c>
      <c r="F135" s="0" t="inlineStr">
        <is>
          <t>(6,</t>
        </is>
      </c>
      <c r="G135" s="0" t="inlineStr">
        <is>
          <t>3)</t>
        </is>
      </c>
    </row>
    <row r="136">
      <c r="A136" s="0" t="inlineStr">
        <is>
          <t>New</t>
        </is>
      </c>
      <c r="B136" s="0" t="inlineStr">
        <is>
          <t>Item</t>
        </is>
      </c>
      <c r="C136" s="0" t="inlineStr">
        <is>
          <t>Acquired</t>
        </is>
      </c>
      <c r="D136" s="0" t="inlineStr">
        <is>
          <t>:</t>
        </is>
      </c>
      <c r="E136" s="0" t="inlineStr">
        <is>
          <t>125.00K</t>
        </is>
      </c>
      <c r="F136" s="0" t="inlineStr">
        <is>
          <t>(6,</t>
        </is>
      </c>
      <c r="G136" s="0" t="inlineStr">
        <is>
          <t>6)</t>
        </is>
      </c>
    </row>
    <row r="137">
      <c r="A137" s="0" t="inlineStr">
        <is>
          <t>New</t>
        </is>
      </c>
      <c r="B137" s="0" t="inlineStr">
        <is>
          <t>Item</t>
        </is>
      </c>
      <c r="C137" s="0" t="inlineStr">
        <is>
          <t>Acquired</t>
        </is>
      </c>
      <c r="D137" s="0" t="inlineStr">
        <is>
          <t>:</t>
        </is>
      </c>
      <c r="E137" s="0" t="inlineStr">
        <is>
          <t>75.00K</t>
        </is>
      </c>
      <c r="F137" s="0" t="inlineStr">
        <is>
          <t>(6,</t>
        </is>
      </c>
      <c r="G137" s="0" t="inlineStr">
        <is>
          <t>9)</t>
        </is>
      </c>
    </row>
    <row r="138">
      <c r="A138" s="0" t="inlineStr">
        <is>
          <t>New</t>
        </is>
      </c>
      <c r="B138" s="0" t="inlineStr">
        <is>
          <t>Item</t>
        </is>
      </c>
      <c r="C138" s="0" t="inlineStr">
        <is>
          <t>Acquired</t>
        </is>
      </c>
      <c r="D138" s="0" t="inlineStr">
        <is>
          <t>:</t>
        </is>
      </c>
      <c r="E138" s="0" t="inlineStr">
        <is>
          <t>210.00K</t>
        </is>
      </c>
      <c r="F138" s="0" t="inlineStr">
        <is>
          <t>(7,</t>
        </is>
      </c>
      <c r="G138" s="0" t="inlineStr">
        <is>
          <t>14)</t>
        </is>
      </c>
    </row>
    <row r="139">
      <c r="A139" s="0" t="inlineStr">
        <is>
          <t>New</t>
        </is>
      </c>
      <c r="B139" s="0" t="inlineStr">
        <is>
          <t>Item</t>
        </is>
      </c>
      <c r="C139" s="0" t="inlineStr">
        <is>
          <t>Acquired</t>
        </is>
      </c>
      <c r="D139" s="0" t="inlineStr">
        <is>
          <t>:</t>
        </is>
      </c>
      <c r="E139" s="0" t="inlineStr">
        <is>
          <t>90.00K</t>
        </is>
      </c>
      <c r="F139" s="0" t="inlineStr">
        <is>
          <t>(7,</t>
        </is>
      </c>
      <c r="G139" s="0" t="inlineStr">
        <is>
          <t>3)</t>
        </is>
      </c>
    </row>
    <row r="140">
      <c r="A140" s="0" t="inlineStr">
        <is>
          <t>New</t>
        </is>
      </c>
      <c r="B140" s="0" t="inlineStr">
        <is>
          <t>Item</t>
        </is>
      </c>
      <c r="C140" s="0" t="inlineStr">
        <is>
          <t>Acquired</t>
        </is>
      </c>
      <c r="D140" s="0" t="inlineStr">
        <is>
          <t>:</t>
        </is>
      </c>
      <c r="E140" s="0" t="inlineStr">
        <is>
          <t>112.50K</t>
        </is>
      </c>
      <c r="F140" s="0" t="inlineStr">
        <is>
          <t>(5,</t>
        </is>
      </c>
      <c r="G140" s="0" t="inlineStr">
        <is>
          <t>14)</t>
        </is>
      </c>
    </row>
    <row r="141">
      <c r="A141" s="0" t="inlineStr">
        <is>
          <t>New</t>
        </is>
      </c>
      <c r="B141" s="0" t="inlineStr">
        <is>
          <t>Item</t>
        </is>
      </c>
      <c r="C141" s="0" t="inlineStr">
        <is>
          <t>Acquired</t>
        </is>
      </c>
      <c r="D141" s="0" t="inlineStr">
        <is>
          <t>:</t>
        </is>
      </c>
      <c r="E141" s="0" t="inlineStr">
        <is>
          <t>175.00K</t>
        </is>
      </c>
      <c r="F141" s="0" t="inlineStr">
        <is>
          <t>(6,</t>
        </is>
      </c>
      <c r="G141" s="0" t="inlineStr">
        <is>
          <t>10)</t>
        </is>
      </c>
    </row>
    <row r="142">
      <c r="A142" s="0" t="inlineStr">
        <is>
          <t>New</t>
        </is>
      </c>
      <c r="B142" s="0" t="inlineStr">
        <is>
          <t>Item</t>
        </is>
      </c>
      <c r="C142" s="0" t="inlineStr">
        <is>
          <t>Acquired</t>
        </is>
      </c>
      <c r="D142" s="0" t="inlineStr">
        <is>
          <t>:</t>
        </is>
      </c>
      <c r="E142" s="0" t="inlineStr">
        <is>
          <t>175.00K</t>
        </is>
      </c>
      <c r="F142" s="0" t="inlineStr">
        <is>
          <t>(6,</t>
        </is>
      </c>
      <c r="G142" s="0" t="inlineStr">
        <is>
          <t>15)</t>
        </is>
      </c>
    </row>
    <row r="143">
      <c r="A143" s="0" t="inlineStr">
        <is>
          <t>New</t>
        </is>
      </c>
      <c r="B143" s="0" t="inlineStr">
        <is>
          <t>Item</t>
        </is>
      </c>
      <c r="C143" s="0" t="inlineStr">
        <is>
          <t>Acquired</t>
        </is>
      </c>
      <c r="D143" s="0" t="inlineStr">
        <is>
          <t>:</t>
        </is>
      </c>
      <c r="E143" s="0" t="inlineStr">
        <is>
          <t>75.00K</t>
        </is>
      </c>
      <c r="F143" s="0" t="inlineStr">
        <is>
          <t>(6,</t>
        </is>
      </c>
      <c r="G143" s="0" t="inlineStr">
        <is>
          <t>11)</t>
        </is>
      </c>
    </row>
    <row r="144">
      <c r="A144" s="0" t="inlineStr">
        <is>
          <t>New</t>
        </is>
      </c>
      <c r="B144" s="0" t="inlineStr">
        <is>
          <t>Item</t>
        </is>
      </c>
      <c r="C144" s="0" t="inlineStr">
        <is>
          <t>Acquired</t>
        </is>
      </c>
      <c r="D144" s="0" t="inlineStr">
        <is>
          <t>:</t>
        </is>
      </c>
      <c r="E144" s="0" t="inlineStr">
        <is>
          <t>157.50K</t>
        </is>
      </c>
      <c r="F144" s="0" t="inlineStr">
        <is>
          <t>(5,</t>
        </is>
      </c>
      <c r="G144" s="0" t="inlineStr">
        <is>
          <t>21)</t>
        </is>
      </c>
    </row>
    <row r="145">
      <c r="A145" s="0" t="inlineStr">
        <is>
          <t>New</t>
        </is>
      </c>
      <c r="B145" s="0" t="inlineStr">
        <is>
          <t>Item</t>
        </is>
      </c>
      <c r="C145" s="0" t="inlineStr">
        <is>
          <t>Acquired</t>
        </is>
      </c>
      <c r="D145" s="0" t="inlineStr">
        <is>
          <t>:</t>
        </is>
      </c>
      <c r="E145" s="0" t="inlineStr">
        <is>
          <t>150.00K</t>
        </is>
      </c>
      <c r="F145" s="0" t="inlineStr">
        <is>
          <t>(7,</t>
        </is>
      </c>
      <c r="G145" s="0" t="inlineStr">
        <is>
          <t>1)</t>
        </is>
      </c>
    </row>
    <row r="146">
      <c r="A146" s="0" t="inlineStr">
        <is>
          <t>New</t>
        </is>
      </c>
      <c r="B146" s="0" t="inlineStr">
        <is>
          <t>Item</t>
        </is>
      </c>
      <c r="C146" s="0" t="inlineStr">
        <is>
          <t>Acquired</t>
        </is>
      </c>
      <c r="D146" s="0" t="inlineStr">
        <is>
          <t>:</t>
        </is>
      </c>
      <c r="E146" s="0" t="inlineStr">
        <is>
          <t>90.00K</t>
        </is>
      </c>
      <c r="F146" s="0" t="inlineStr">
        <is>
          <t>(7,</t>
        </is>
      </c>
      <c r="G146" s="0" t="inlineStr">
        <is>
          <t>23)</t>
        </is>
      </c>
    </row>
    <row r="147">
      <c r="A147" s="0" t="inlineStr">
        <is>
          <t>New</t>
        </is>
      </c>
      <c r="B147" s="0" t="inlineStr">
        <is>
          <t>Item</t>
        </is>
      </c>
      <c r="C147" s="0" t="inlineStr">
        <is>
          <t>Acquired</t>
        </is>
      </c>
      <c r="D147" s="0" t="inlineStr">
        <is>
          <t>:</t>
        </is>
      </c>
      <c r="E147" s="0" t="inlineStr">
        <is>
          <t>125.00K</t>
        </is>
      </c>
      <c r="F147" s="0" t="inlineStr">
        <is>
          <t>(6,</t>
        </is>
      </c>
      <c r="G147" s="0" t="inlineStr">
        <is>
          <t>1)</t>
        </is>
      </c>
    </row>
    <row r="148">
      <c r="A148" s="0" t="inlineStr">
        <is>
          <t>New</t>
        </is>
      </c>
      <c r="B148" s="0" t="inlineStr">
        <is>
          <t>Item</t>
        </is>
      </c>
      <c r="C148" s="0" t="inlineStr">
        <is>
          <t>Acquired</t>
        </is>
      </c>
      <c r="D148" s="0" t="inlineStr">
        <is>
          <t>:</t>
        </is>
      </c>
      <c r="E148" s="0" t="inlineStr">
        <is>
          <t>75.00K</t>
        </is>
      </c>
      <c r="F148" s="0" t="inlineStr">
        <is>
          <t>(6,</t>
        </is>
      </c>
      <c r="G148" s="0" t="inlineStr">
        <is>
          <t>5)</t>
        </is>
      </c>
    </row>
    <row r="149">
      <c r="A149" s="0" t="inlineStr">
        <is>
          <t>New</t>
        </is>
      </c>
      <c r="B149" s="0" t="inlineStr">
        <is>
          <t>Item</t>
        </is>
      </c>
      <c r="C149" s="0" t="inlineStr">
        <is>
          <t>Acquired</t>
        </is>
      </c>
      <c r="D149" s="0" t="inlineStr">
        <is>
          <t>:</t>
        </is>
      </c>
      <c r="E149" s="0" t="inlineStr">
        <is>
          <t>112.50K</t>
        </is>
      </c>
      <c r="F149" s="0" t="inlineStr">
        <is>
          <t>(5,</t>
        </is>
      </c>
      <c r="G149" s="0" t="inlineStr">
        <is>
          <t>8)</t>
        </is>
      </c>
    </row>
    <row r="150">
      <c r="A150" s="0" t="inlineStr">
        <is>
          <t>New</t>
        </is>
      </c>
      <c r="B150" s="0" t="inlineStr">
        <is>
          <t>Item</t>
        </is>
      </c>
      <c r="C150" s="0" t="inlineStr">
        <is>
          <t>Acquired</t>
        </is>
      </c>
      <c r="D150" s="0" t="inlineStr">
        <is>
          <t>:</t>
        </is>
      </c>
      <c r="E150" s="0" t="inlineStr">
        <is>
          <t>Minor</t>
        </is>
      </c>
      <c r="F150" s="0" t="inlineStr">
        <is>
          <t>(8,</t>
        </is>
      </c>
      <c r="G150" s="0" t="inlineStr">
        <is>
          <t>18)</t>
        </is>
      </c>
    </row>
    <row r="151">
      <c r="A151" s="0" t="inlineStr">
        <is>
          <t>New</t>
        </is>
      </c>
      <c r="B151" s="0" t="inlineStr">
        <is>
          <t>Item</t>
        </is>
      </c>
      <c r="C151" s="0" t="inlineStr">
        <is>
          <t>Acquired</t>
        </is>
      </c>
      <c r="D151" s="0" t="inlineStr">
        <is>
          <t>:</t>
        </is>
      </c>
      <c r="E151" s="0" t="inlineStr">
        <is>
          <t>30.00K</t>
        </is>
      </c>
      <c r="F151" s="0" t="inlineStr">
        <is>
          <t>(1,</t>
        </is>
      </c>
      <c r="G151" s="0" t="inlineStr">
        <is>
          <t>25)</t>
        </is>
      </c>
    </row>
    <row r="152">
      <c r="A152" s="0" t="inlineStr">
        <is>
          <t>New</t>
        </is>
      </c>
      <c r="B152" s="0" t="inlineStr">
        <is>
          <t>Item</t>
        </is>
      </c>
      <c r="C152" s="0" t="inlineStr">
        <is>
          <t>Acquired</t>
        </is>
      </c>
      <c r="D152" s="0" t="inlineStr">
        <is>
          <t>:</t>
        </is>
      </c>
      <c r="E152" s="0" t="inlineStr">
        <is>
          <t>Mini</t>
        </is>
      </c>
      <c r="F152" s="0" t="inlineStr">
        <is>
          <t>(2,</t>
        </is>
      </c>
      <c r="G152" s="0" t="inlineStr">
        <is>
          <t>19)</t>
        </is>
      </c>
    </row>
    <row r="153">
      <c r="A153" s="0" t="inlineStr">
        <is>
          <t>New</t>
        </is>
      </c>
      <c r="B153" s="0" t="inlineStr">
        <is>
          <t>Item</t>
        </is>
      </c>
      <c r="C153" s="0" t="inlineStr">
        <is>
          <t>Acquired</t>
        </is>
      </c>
      <c r="D153" s="0" t="inlineStr">
        <is>
          <t>:</t>
        </is>
      </c>
      <c r="E153" s="0" t="inlineStr">
        <is>
          <t>210.00K</t>
        </is>
      </c>
      <c r="F153" s="0" t="inlineStr">
        <is>
          <t>(7,</t>
        </is>
      </c>
      <c r="G153" s="0" t="inlineStr">
        <is>
          <t>17)</t>
        </is>
      </c>
    </row>
    <row r="154">
      <c r="A154" s="0" t="inlineStr">
        <is>
          <t>New</t>
        </is>
      </c>
      <c r="B154" s="0" t="inlineStr">
        <is>
          <t>Item</t>
        </is>
      </c>
      <c r="C154" s="0" t="inlineStr">
        <is>
          <t>Acquired</t>
        </is>
      </c>
      <c r="D154" s="0" t="inlineStr">
        <is>
          <t>:</t>
        </is>
      </c>
      <c r="E154" s="0" t="inlineStr">
        <is>
          <t>90.00K</t>
        </is>
      </c>
      <c r="F154" s="0" t="inlineStr">
        <is>
          <t>(7,</t>
        </is>
      </c>
      <c r="G154" s="0" t="inlineStr">
        <is>
          <t>5)</t>
        </is>
      </c>
    </row>
    <row r="155">
      <c r="A155" s="0" t="inlineStr">
        <is>
          <t>New</t>
        </is>
      </c>
      <c r="B155" s="0" t="inlineStr">
        <is>
          <t>Item</t>
        </is>
      </c>
      <c r="C155" s="0" t="inlineStr">
        <is>
          <t>Acquired</t>
        </is>
      </c>
      <c r="D155" s="0" t="inlineStr">
        <is>
          <t>:</t>
        </is>
      </c>
      <c r="E155" s="0" t="inlineStr">
        <is>
          <t>150.00K</t>
        </is>
      </c>
      <c r="F155" s="0" t="inlineStr">
        <is>
          <t>(7,</t>
        </is>
      </c>
      <c r="G155" s="0" t="inlineStr">
        <is>
          <t>7)</t>
        </is>
      </c>
    </row>
    <row r="156">
      <c r="A156" s="0" t="inlineStr">
        <is>
          <t>New</t>
        </is>
      </c>
      <c r="B156" s="0" t="inlineStr">
        <is>
          <t>Item</t>
        </is>
      </c>
      <c r="C156" s="0" t="inlineStr">
        <is>
          <t>Acquired</t>
        </is>
      </c>
      <c r="D156" s="0" t="inlineStr">
        <is>
          <t>:</t>
        </is>
      </c>
      <c r="E156" s="0" t="inlineStr">
        <is>
          <t>125.00K</t>
        </is>
      </c>
      <c r="F156" s="0" t="inlineStr">
        <is>
          <t>(6,</t>
        </is>
      </c>
      <c r="G156" s="0" t="inlineStr">
        <is>
          <t>25)</t>
        </is>
      </c>
    </row>
    <row r="157">
      <c r="A157" s="0" t="inlineStr">
        <is>
          <t>New</t>
        </is>
      </c>
      <c r="B157" s="0" t="inlineStr">
        <is>
          <t>Item</t>
        </is>
      </c>
      <c r="C157" s="0" t="inlineStr">
        <is>
          <t>Acquired</t>
        </is>
      </c>
      <c r="D157" s="0" t="inlineStr">
        <is>
          <t>:</t>
        </is>
      </c>
      <c r="E157" s="0" t="inlineStr">
        <is>
          <t>Minor</t>
        </is>
      </c>
      <c r="F157" s="0" t="inlineStr">
        <is>
          <t>(6,</t>
        </is>
      </c>
      <c r="G157" s="0" t="inlineStr">
        <is>
          <t>24)</t>
        </is>
      </c>
    </row>
    <row r="158">
      <c r="A158" s="0" t="inlineStr">
        <is>
          <t>New</t>
        </is>
      </c>
      <c r="B158" s="0" t="inlineStr">
        <is>
          <t>Item</t>
        </is>
      </c>
      <c r="C158" s="0" t="inlineStr">
        <is>
          <t>Acquired</t>
        </is>
      </c>
      <c r="D158" s="0" t="inlineStr">
        <is>
          <t>:</t>
        </is>
      </c>
      <c r="E158" s="0" t="inlineStr">
        <is>
          <t>90.00K</t>
        </is>
      </c>
      <c r="F158" s="0" t="inlineStr">
        <is>
          <t>(7,</t>
        </is>
      </c>
      <c r="G158" s="0" t="inlineStr">
        <is>
          <t>16)</t>
        </is>
      </c>
    </row>
    <row r="159">
      <c r="A159" s="0" t="inlineStr">
        <is>
          <t>New</t>
        </is>
      </c>
      <c r="B159" s="0" t="inlineStr">
        <is>
          <t>Item</t>
        </is>
      </c>
      <c r="C159" s="0" t="inlineStr">
        <is>
          <t>Acquired</t>
        </is>
      </c>
      <c r="D159" s="0" t="inlineStr">
        <is>
          <t>:</t>
        </is>
      </c>
      <c r="E159" s="0" t="inlineStr">
        <is>
          <t>75.00K</t>
        </is>
      </c>
      <c r="F159" s="0" t="inlineStr">
        <is>
          <t>(6,</t>
        </is>
      </c>
      <c r="G159" s="0" t="inlineStr">
        <is>
          <t>4)</t>
        </is>
      </c>
    </row>
    <row r="160">
      <c r="A160" s="0" t="inlineStr">
        <is>
          <t>New</t>
        </is>
      </c>
      <c r="B160" s="0" t="inlineStr">
        <is>
          <t>Item</t>
        </is>
      </c>
      <c r="C160" s="0" t="inlineStr">
        <is>
          <t>Acquired</t>
        </is>
      </c>
      <c r="D160" s="0" t="inlineStr">
        <is>
          <t>:</t>
        </is>
      </c>
      <c r="E160" s="0" t="inlineStr">
        <is>
          <t>120.00K</t>
        </is>
      </c>
      <c r="F160" s="0" t="inlineStr">
        <is>
          <t>(8,</t>
        </is>
      </c>
      <c r="G160" s="0" t="inlineStr">
        <is>
          <t>21)</t>
        </is>
      </c>
    </row>
    <row r="161">
      <c r="A161" s="0" t="inlineStr">
        <is>
          <t>New</t>
        </is>
      </c>
      <c r="B161" s="0" t="inlineStr">
        <is>
          <t>Item</t>
        </is>
      </c>
      <c r="C161" s="0" t="inlineStr">
        <is>
          <t>Acquired</t>
        </is>
      </c>
      <c r="D161" s="0" t="inlineStr">
        <is>
          <t>:</t>
        </is>
      </c>
      <c r="E161" s="0" t="inlineStr">
        <is>
          <t>150.00K</t>
        </is>
      </c>
      <c r="F161" s="0" t="inlineStr">
        <is>
          <t>(7,</t>
        </is>
      </c>
      <c r="G161" s="0" t="inlineStr">
        <is>
          <t>2)</t>
        </is>
      </c>
    </row>
    <row r="162">
      <c r="A162" s="0" t="inlineStr">
        <is>
          <t>New</t>
        </is>
      </c>
      <c r="B162" s="0" t="inlineStr">
        <is>
          <t>Item</t>
        </is>
      </c>
      <c r="C162" s="0" t="inlineStr">
        <is>
          <t>Acquired</t>
        </is>
      </c>
      <c r="D162" s="0" t="inlineStr">
        <is>
          <t>:</t>
        </is>
      </c>
      <c r="E162" s="0" t="inlineStr">
        <is>
          <t>Minor</t>
        </is>
      </c>
      <c r="F162" s="0" t="inlineStr">
        <is>
          <t>(5,</t>
        </is>
      </c>
      <c r="G162" s="0" t="inlineStr">
        <is>
          <t>4)</t>
        </is>
      </c>
    </row>
    <row r="163">
      <c r="A163" s="0" t="inlineStr">
        <is>
          <t>Line</t>
        </is>
      </c>
      <c r="B163" s="0" t="inlineStr">
        <is>
          <t>Prize</t>
        </is>
      </c>
      <c r="C163" s="0" t="inlineStr">
        <is>
          <t>Acquired</t>
        </is>
      </c>
      <c r="D163" s="0" t="inlineStr">
        <is>
          <t>:</t>
        </is>
      </c>
      <c r="E163" s="0" t="inlineStr">
        <is>
          <t>1.08M</t>
        </is>
      </c>
      <c r="F163" s="0" t="inlineStr">
        <is>
          <t>(Stage</t>
        </is>
      </c>
      <c r="G163" s="0" t="inlineStr">
        <is>
          <t>:</t>
        </is>
      </c>
      <c r="H163" s="0" t="inlineStr">
        <is>
          <t>5)</t>
        </is>
      </c>
      <c r="I163" s="0" t="inlineStr">
        <is>
          <t>-</t>
        </is>
      </c>
      <c r="J163" s="0" t="n">
        <v>1080000</v>
      </c>
    </row>
    <row r="164">
      <c r="A164" s="0" t="inlineStr">
        <is>
          <t>Clear</t>
        </is>
      </c>
      <c r="B164" s="0" t="inlineStr">
        <is>
          <t>Gem</t>
        </is>
      </c>
      <c r="C164" s="0" t="inlineStr">
        <is>
          <t>Acquired</t>
        </is>
      </c>
      <c r="D164" s="0" t="inlineStr">
        <is>
          <t>:</t>
        </is>
      </c>
      <c r="E164" s="0" t="n">
        <v>600</v>
      </c>
      <c r="F164" s="0" t="inlineStr">
        <is>
          <t>-&gt;</t>
        </is>
      </c>
      <c r="G164" s="0" t="n">
        <v>700</v>
      </c>
      <c r="H164" s="0" t="inlineStr">
        <is>
          <t>(Stage</t>
        </is>
      </c>
      <c r="I164" s="0" t="inlineStr">
        <is>
          <t>:</t>
        </is>
      </c>
      <c r="J164" s="0" t="inlineStr">
        <is>
          <t>5)</t>
        </is>
      </c>
    </row>
    <row r="165">
      <c r="A165" s="0" t="inlineStr">
        <is>
          <t>New</t>
        </is>
      </c>
      <c r="B165" s="0" t="inlineStr">
        <is>
          <t>Item</t>
        </is>
      </c>
      <c r="C165" s="0" t="inlineStr">
        <is>
          <t>Acquired</t>
        </is>
      </c>
      <c r="D165" s="0" t="inlineStr">
        <is>
          <t>:</t>
        </is>
      </c>
      <c r="E165" s="0" t="inlineStr">
        <is>
          <t>Minor</t>
        </is>
      </c>
      <c r="F165" s="0" t="inlineStr">
        <is>
          <t>(5,</t>
        </is>
      </c>
      <c r="G165" s="0" t="inlineStr">
        <is>
          <t>19)</t>
        </is>
      </c>
    </row>
    <row r="166">
      <c r="A166" s="0" t="inlineStr">
        <is>
          <t>New</t>
        </is>
      </c>
      <c r="B166" s="0" t="inlineStr">
        <is>
          <t>Item</t>
        </is>
      </c>
      <c r="C166" s="0" t="inlineStr">
        <is>
          <t>Acquired</t>
        </is>
      </c>
      <c r="D166" s="0" t="inlineStr">
        <is>
          <t>:</t>
        </is>
      </c>
      <c r="E166" s="0" t="inlineStr">
        <is>
          <t>Mini</t>
        </is>
      </c>
      <c r="F166" s="0" t="inlineStr">
        <is>
          <t>(6,</t>
        </is>
      </c>
      <c r="G166" s="0" t="inlineStr">
        <is>
          <t>2)</t>
        </is>
      </c>
    </row>
    <row r="167">
      <c r="A167" s="0" t="inlineStr">
        <is>
          <t>Line</t>
        </is>
      </c>
      <c r="B167" s="0" t="inlineStr">
        <is>
          <t>Prize</t>
        </is>
      </c>
      <c r="C167" s="0" t="inlineStr">
        <is>
          <t>Acquired</t>
        </is>
      </c>
      <c r="D167" s="0" t="inlineStr">
        <is>
          <t>:</t>
        </is>
      </c>
      <c r="E167" s="0" t="inlineStr">
        <is>
          <t>850.00K</t>
        </is>
      </c>
      <c r="F167" s="0" t="inlineStr">
        <is>
          <t>(Stage</t>
        </is>
      </c>
      <c r="G167" s="0" t="inlineStr">
        <is>
          <t>:</t>
        </is>
      </c>
      <c r="H167" s="0" t="inlineStr">
        <is>
          <t>6)</t>
        </is>
      </c>
      <c r="I167" s="0" t="inlineStr">
        <is>
          <t>-</t>
        </is>
      </c>
      <c r="J167" s="0" t="n">
        <v>850000</v>
      </c>
    </row>
    <row r="168">
      <c r="A168" s="0" t="inlineStr">
        <is>
          <t>Clear</t>
        </is>
      </c>
      <c r="B168" s="0" t="inlineStr">
        <is>
          <t>Gem</t>
        </is>
      </c>
      <c r="C168" s="0" t="inlineStr">
        <is>
          <t>Acquired</t>
        </is>
      </c>
      <c r="D168" s="0" t="inlineStr">
        <is>
          <t>:</t>
        </is>
      </c>
      <c r="E168" s="0" t="n">
        <v>700</v>
      </c>
      <c r="F168" s="0" t="inlineStr">
        <is>
          <t>-&gt;</t>
        </is>
      </c>
      <c r="G168" s="0" t="n">
        <v>800</v>
      </c>
      <c r="H168" s="0" t="inlineStr">
        <is>
          <t>(Stage</t>
        </is>
      </c>
      <c r="I168" s="0" t="inlineStr">
        <is>
          <t>:</t>
        </is>
      </c>
      <c r="J168" s="0" t="inlineStr">
        <is>
          <t>6)</t>
        </is>
      </c>
    </row>
    <row r="169">
      <c r="A169" s="0" t="inlineStr">
        <is>
          <t>New</t>
        </is>
      </c>
      <c r="B169" s="0" t="inlineStr">
        <is>
          <t>Item</t>
        </is>
      </c>
      <c r="C169" s="0" t="inlineStr">
        <is>
          <t>Acquired</t>
        </is>
      </c>
      <c r="D169" s="0" t="inlineStr">
        <is>
          <t>:</t>
        </is>
      </c>
      <c r="E169" s="0" t="inlineStr">
        <is>
          <t>150.00K</t>
        </is>
      </c>
      <c r="F169" s="0" t="inlineStr">
        <is>
          <t>(7,</t>
        </is>
      </c>
      <c r="G169" s="0" t="inlineStr">
        <is>
          <t>6)</t>
        </is>
      </c>
    </row>
    <row r="170">
      <c r="A170" s="0" t="inlineStr">
        <is>
          <t>New</t>
        </is>
      </c>
      <c r="B170" s="0" t="inlineStr">
        <is>
          <t>Item</t>
        </is>
      </c>
      <c r="C170" s="0" t="inlineStr">
        <is>
          <t>Acquired</t>
        </is>
      </c>
      <c r="D170" s="0" t="inlineStr">
        <is>
          <t>:</t>
        </is>
      </c>
      <c r="E170" s="0" t="inlineStr">
        <is>
          <t>90.00K</t>
        </is>
      </c>
      <c r="F170" s="0" t="inlineStr">
        <is>
          <t>(7,</t>
        </is>
      </c>
      <c r="G170" s="0" t="inlineStr">
        <is>
          <t>22)</t>
        </is>
      </c>
    </row>
    <row r="171">
      <c r="A171" s="0" t="inlineStr">
        <is>
          <t>Line</t>
        </is>
      </c>
      <c r="B171" s="0" t="inlineStr">
        <is>
          <t>Prize</t>
        </is>
      </c>
      <c r="C171" s="0" t="inlineStr">
        <is>
          <t>Acquired</t>
        </is>
      </c>
      <c r="D171" s="0" t="inlineStr">
        <is>
          <t>:</t>
        </is>
      </c>
      <c r="E171" s="0" t="inlineStr">
        <is>
          <t>810.00K</t>
        </is>
      </c>
      <c r="F171" s="0" t="inlineStr">
        <is>
          <t>(Stage</t>
        </is>
      </c>
      <c r="G171" s="0" t="inlineStr">
        <is>
          <t>:</t>
        </is>
      </c>
      <c r="H171" s="0" t="inlineStr">
        <is>
          <t>7)</t>
        </is>
      </c>
      <c r="I171" s="0" t="inlineStr">
        <is>
          <t>-</t>
        </is>
      </c>
      <c r="J171" s="0" t="n">
        <v>810000</v>
      </c>
    </row>
    <row r="172">
      <c r="A172" s="0" t="inlineStr">
        <is>
          <t>Clear</t>
        </is>
      </c>
      <c r="B172" s="0" t="inlineStr">
        <is>
          <t>Gem</t>
        </is>
      </c>
      <c r="C172" s="0" t="inlineStr">
        <is>
          <t>Acquired</t>
        </is>
      </c>
      <c r="D172" s="0" t="inlineStr">
        <is>
          <t>:</t>
        </is>
      </c>
      <c r="E172" s="0" t="n">
        <v>800</v>
      </c>
      <c r="F172" s="0" t="inlineStr">
        <is>
          <t>-&gt;</t>
        </is>
      </c>
      <c r="G172" s="0" t="n">
        <v>900</v>
      </c>
      <c r="H172" s="0" t="inlineStr">
        <is>
          <t>(Stage</t>
        </is>
      </c>
      <c r="I172" s="0" t="inlineStr">
        <is>
          <t>:</t>
        </is>
      </c>
      <c r="J172" s="0" t="inlineStr">
        <is>
          <t>7)</t>
        </is>
      </c>
    </row>
    <row r="173">
      <c r="A173" s="0" t="inlineStr">
        <is>
          <t>New</t>
        </is>
      </c>
      <c r="B173" s="0" t="inlineStr">
        <is>
          <t>Item</t>
        </is>
      </c>
      <c r="C173" s="0" t="inlineStr">
        <is>
          <t>Acquired</t>
        </is>
      </c>
      <c r="D173" s="0" t="inlineStr">
        <is>
          <t>:</t>
        </is>
      </c>
      <c r="E173" s="0" t="inlineStr">
        <is>
          <t>Mini</t>
        </is>
      </c>
      <c r="F173" s="0" t="inlineStr">
        <is>
          <t>(7,</t>
        </is>
      </c>
      <c r="G173" s="0" t="inlineStr">
        <is>
          <t>10)</t>
        </is>
      </c>
    </row>
  </sheetData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selection activeCell="A1" sqref="A1"/>
    </sheetView>
  </sheetViews>
  <sheetFormatPr baseColWidth="8" defaultRowHeight="16.5"/>
  <cols>
    <col width="11" bestFit="1" customWidth="1" style="161" min="11" max="11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A2" s="0" t="inlineStr">
        <is>
          <t>New</t>
        </is>
      </c>
      <c r="B2" s="0" t="inlineStr">
        <is>
          <t>Item</t>
        </is>
      </c>
      <c r="C2" s="0" t="inlineStr">
        <is>
          <t>Acquired</t>
        </is>
      </c>
      <c r="D2" s="0" t="inlineStr">
        <is>
          <t>:</t>
        </is>
      </c>
      <c r="E2" s="0" t="inlineStr">
        <is>
          <t>Mini</t>
        </is>
      </c>
      <c r="F2" s="0" t="inlineStr">
        <is>
          <t>(4,</t>
        </is>
      </c>
      <c r="G2" s="0" t="inlineStr">
        <is>
          <t>22)</t>
        </is>
      </c>
      <c r="K2" s="0" t="inlineStr">
        <is>
          <t>Spins</t>
        </is>
      </c>
      <c r="L2" s="0" t="n">
        <v>3000</v>
      </c>
    </row>
    <row r="3">
      <c r="A3" s="0" t="inlineStr">
        <is>
          <t>New</t>
        </is>
      </c>
      <c r="B3" s="0" t="inlineStr">
        <is>
          <t>Item</t>
        </is>
      </c>
      <c r="C3" s="0" t="inlineStr">
        <is>
          <t>Acquired</t>
        </is>
      </c>
      <c r="D3" s="0" t="inlineStr">
        <is>
          <t>:</t>
        </is>
      </c>
      <c r="E3" s="0" t="inlineStr">
        <is>
          <t>120.00K</t>
        </is>
      </c>
      <c r="F3" s="0" t="inlineStr">
        <is>
          <t>(8,</t>
        </is>
      </c>
      <c r="G3" s="0" t="inlineStr">
        <is>
          <t>14)</t>
        </is>
      </c>
      <c r="K3" s="0" t="inlineStr">
        <is>
          <t>Symbol Pick</t>
        </is>
      </c>
      <c r="L3" s="0">
        <f>COUNTIF(A:A,"")</f>
        <v/>
      </c>
      <c r="M3" s="0">
        <f>L1/L2</f>
        <v/>
      </c>
    </row>
    <row r="4">
      <c r="A4" s="0" t="inlineStr">
        <is>
          <t>New</t>
        </is>
      </c>
      <c r="B4" s="0" t="inlineStr">
        <is>
          <t>Item</t>
        </is>
      </c>
      <c r="C4" s="0" t="inlineStr">
        <is>
          <t>Acquired</t>
        </is>
      </c>
      <c r="D4" s="0" t="inlineStr">
        <is>
          <t>:</t>
        </is>
      </c>
      <c r="E4" s="0" t="inlineStr">
        <is>
          <t>Major</t>
        </is>
      </c>
      <c r="F4" s="0" t="inlineStr">
        <is>
          <t>(4,</t>
        </is>
      </c>
      <c r="G4" s="0" t="inlineStr">
        <is>
          <t>6)</t>
        </is>
      </c>
      <c r="K4" s="0" t="inlineStr">
        <is>
          <t>Bingo Wins</t>
        </is>
      </c>
      <c r="L4" s="0">
        <f>COUNTIF(A:A,"Line")</f>
        <v/>
      </c>
      <c r="M4" s="0">
        <f>L1/L3</f>
        <v/>
      </c>
    </row>
    <row r="5">
      <c r="A5" s="0" t="inlineStr">
        <is>
          <t>New</t>
        </is>
      </c>
      <c r="B5" s="0" t="inlineStr">
        <is>
          <t>Item</t>
        </is>
      </c>
      <c r="C5" s="0" t="inlineStr">
        <is>
          <t>Acquired</t>
        </is>
      </c>
      <c r="D5" s="0" t="inlineStr">
        <is>
          <t>:</t>
        </is>
      </c>
      <c r="E5" s="0" t="inlineStr">
        <is>
          <t>112.50K</t>
        </is>
      </c>
      <c r="F5" s="0" t="inlineStr">
        <is>
          <t>(5,</t>
        </is>
      </c>
      <c r="G5" s="0" t="inlineStr">
        <is>
          <t>1)</t>
        </is>
      </c>
      <c r="L5" s="2">
        <f>L2/L3</f>
        <v/>
      </c>
    </row>
    <row r="6">
      <c r="A6" s="0" t="inlineStr">
        <is>
          <t>New</t>
        </is>
      </c>
      <c r="B6" s="0" t="inlineStr">
        <is>
          <t>Item</t>
        </is>
      </c>
      <c r="C6" s="0" t="inlineStr">
        <is>
          <t>Acquired</t>
        </is>
      </c>
      <c r="D6" s="0" t="inlineStr">
        <is>
          <t>:</t>
        </is>
      </c>
      <c r="E6" s="0" t="inlineStr">
        <is>
          <t>30.00K</t>
        </is>
      </c>
      <c r="F6" s="0" t="inlineStr">
        <is>
          <t>(1,</t>
        </is>
      </c>
      <c r="G6" s="0" t="inlineStr">
        <is>
          <t>17)</t>
        </is>
      </c>
    </row>
    <row r="7">
      <c r="A7" s="0" t="inlineStr">
        <is>
          <t>New</t>
        </is>
      </c>
      <c r="B7" s="0" t="inlineStr">
        <is>
          <t>Item</t>
        </is>
      </c>
      <c r="C7" s="0" t="inlineStr">
        <is>
          <t>Acquired</t>
        </is>
      </c>
      <c r="D7" s="0" t="inlineStr">
        <is>
          <t>:</t>
        </is>
      </c>
      <c r="E7" s="0" t="inlineStr">
        <is>
          <t>105.00K</t>
        </is>
      </c>
      <c r="F7" s="0" t="inlineStr">
        <is>
          <t>(4,</t>
        </is>
      </c>
      <c r="G7" s="0" t="inlineStr">
        <is>
          <t>15)</t>
        </is>
      </c>
    </row>
    <row r="8">
      <c r="A8" s="0" t="inlineStr">
        <is>
          <t>New</t>
        </is>
      </c>
      <c r="B8" s="0" t="inlineStr">
        <is>
          <t>Item</t>
        </is>
      </c>
      <c r="C8" s="0" t="inlineStr">
        <is>
          <t>Acquired</t>
        </is>
      </c>
      <c r="D8" s="0" t="inlineStr">
        <is>
          <t>:</t>
        </is>
      </c>
      <c r="E8" s="0" t="inlineStr">
        <is>
          <t>112.50K</t>
        </is>
      </c>
      <c r="F8" s="0" t="inlineStr">
        <is>
          <t>(5,</t>
        </is>
      </c>
      <c r="G8" s="0" t="inlineStr">
        <is>
          <t>15)</t>
        </is>
      </c>
    </row>
    <row r="9">
      <c r="A9" s="0" t="inlineStr">
        <is>
          <t>New</t>
        </is>
      </c>
      <c r="B9" s="0" t="inlineStr">
        <is>
          <t>Item</t>
        </is>
      </c>
      <c r="C9" s="0" t="inlineStr">
        <is>
          <t>Acquired</t>
        </is>
      </c>
      <c r="D9" s="0" t="inlineStr">
        <is>
          <t>:</t>
        </is>
      </c>
      <c r="E9" s="0" t="inlineStr">
        <is>
          <t>90.00K</t>
        </is>
      </c>
      <c r="F9" s="0" t="inlineStr">
        <is>
          <t>(7,</t>
        </is>
      </c>
      <c r="G9" s="0" t="inlineStr">
        <is>
          <t>22)</t>
        </is>
      </c>
    </row>
    <row r="10">
      <c r="A10" s="0" t="inlineStr">
        <is>
          <t>New</t>
        </is>
      </c>
      <c r="B10" s="0" t="inlineStr">
        <is>
          <t>Item</t>
        </is>
      </c>
      <c r="C10" s="0" t="inlineStr">
        <is>
          <t>Acquired</t>
        </is>
      </c>
      <c r="D10" s="0" t="inlineStr">
        <is>
          <t>:</t>
        </is>
      </c>
      <c r="E10" s="0" t="inlineStr">
        <is>
          <t>60.00K</t>
        </is>
      </c>
      <c r="F10" s="0" t="inlineStr">
        <is>
          <t>(4,</t>
        </is>
      </c>
      <c r="G10" s="0" t="inlineStr">
        <is>
          <t>24)</t>
        </is>
      </c>
    </row>
    <row r="11">
      <c r="A11" s="0" t="inlineStr">
        <is>
          <t>New</t>
        </is>
      </c>
      <c r="B11" s="0" t="inlineStr">
        <is>
          <t>Item</t>
        </is>
      </c>
      <c r="C11" s="0" t="inlineStr">
        <is>
          <t>Acquired</t>
        </is>
      </c>
      <c r="D11" s="0" t="inlineStr">
        <is>
          <t>:</t>
        </is>
      </c>
      <c r="E11" s="0" t="inlineStr">
        <is>
          <t>45.00K</t>
        </is>
      </c>
      <c r="F11" s="0" t="inlineStr">
        <is>
          <t>(3,</t>
        </is>
      </c>
      <c r="G11" s="0" t="inlineStr">
        <is>
          <t>6)</t>
        </is>
      </c>
    </row>
    <row r="12">
      <c r="A12" s="0" t="inlineStr">
        <is>
          <t>New</t>
        </is>
      </c>
      <c r="B12" s="0" t="inlineStr">
        <is>
          <t>Item</t>
        </is>
      </c>
      <c r="C12" s="0" t="inlineStr">
        <is>
          <t>Acquired</t>
        </is>
      </c>
      <c r="D12" s="0" t="inlineStr">
        <is>
          <t>:</t>
        </is>
      </c>
      <c r="E12" s="0" t="inlineStr">
        <is>
          <t>67.50K</t>
        </is>
      </c>
      <c r="F12" s="0" t="inlineStr">
        <is>
          <t>(5,</t>
        </is>
      </c>
      <c r="G12" s="0" t="inlineStr">
        <is>
          <t>3)</t>
        </is>
      </c>
    </row>
    <row r="13">
      <c r="A13" s="0" t="inlineStr">
        <is>
          <t>New</t>
        </is>
      </c>
      <c r="B13" s="0" t="inlineStr">
        <is>
          <t>Item</t>
        </is>
      </c>
      <c r="C13" s="0" t="inlineStr">
        <is>
          <t>Acquired</t>
        </is>
      </c>
      <c r="D13" s="0" t="inlineStr">
        <is>
          <t>:</t>
        </is>
      </c>
      <c r="E13" s="0" t="inlineStr">
        <is>
          <t>105.00K</t>
        </is>
      </c>
      <c r="F13" s="0" t="inlineStr">
        <is>
          <t>(4,</t>
        </is>
      </c>
      <c r="G13" s="0" t="inlineStr">
        <is>
          <t>21)</t>
        </is>
      </c>
    </row>
    <row r="14">
      <c r="A14" s="0" t="inlineStr">
        <is>
          <t>New</t>
        </is>
      </c>
      <c r="B14" s="0" t="inlineStr">
        <is>
          <t>Item</t>
        </is>
      </c>
      <c r="C14" s="0" t="inlineStr">
        <is>
          <t>Acquired</t>
        </is>
      </c>
      <c r="D14" s="0" t="inlineStr">
        <is>
          <t>:</t>
        </is>
      </c>
      <c r="E14" s="0" t="inlineStr">
        <is>
          <t>Mini</t>
        </is>
      </c>
      <c r="F14" s="0" t="inlineStr">
        <is>
          <t>(6,</t>
        </is>
      </c>
      <c r="G14" s="0" t="inlineStr">
        <is>
          <t>20)</t>
        </is>
      </c>
    </row>
    <row r="15">
      <c r="A15" s="0" t="inlineStr">
        <is>
          <t>New</t>
        </is>
      </c>
      <c r="B15" s="0" t="inlineStr">
        <is>
          <t>Item</t>
        </is>
      </c>
      <c r="C15" s="0" t="inlineStr">
        <is>
          <t>Acquired</t>
        </is>
      </c>
      <c r="D15" s="0" t="inlineStr">
        <is>
          <t>:</t>
        </is>
      </c>
      <c r="E15" s="0" t="inlineStr">
        <is>
          <t>75.00K</t>
        </is>
      </c>
      <c r="F15" s="0" t="inlineStr">
        <is>
          <t>(4,</t>
        </is>
      </c>
      <c r="G15" s="0" t="inlineStr">
        <is>
          <t>3)</t>
        </is>
      </c>
    </row>
    <row r="16">
      <c r="A16" s="0" t="inlineStr">
        <is>
          <t>New</t>
        </is>
      </c>
      <c r="B16" s="0" t="inlineStr">
        <is>
          <t>Item</t>
        </is>
      </c>
      <c r="C16" s="0" t="inlineStr">
        <is>
          <t>Acquired</t>
        </is>
      </c>
      <c r="D16" s="0" t="inlineStr">
        <is>
          <t>:</t>
        </is>
      </c>
      <c r="E16" s="0" t="inlineStr">
        <is>
          <t>45.00K</t>
        </is>
      </c>
      <c r="F16" s="0" t="inlineStr">
        <is>
          <t>(3,</t>
        </is>
      </c>
      <c r="G16" s="0" t="inlineStr">
        <is>
          <t>16)</t>
        </is>
      </c>
    </row>
    <row r="17">
      <c r="A17" s="0" t="inlineStr">
        <is>
          <t>New</t>
        </is>
      </c>
      <c r="B17" s="0" t="inlineStr">
        <is>
          <t>Item</t>
        </is>
      </c>
      <c r="C17" s="0" t="inlineStr">
        <is>
          <t>Acquired</t>
        </is>
      </c>
      <c r="D17" s="0" t="inlineStr">
        <is>
          <t>:</t>
        </is>
      </c>
      <c r="E17" s="0" t="inlineStr">
        <is>
          <t>175.00K</t>
        </is>
      </c>
      <c r="F17" s="0" t="inlineStr">
        <is>
          <t>(6,</t>
        </is>
      </c>
      <c r="G17" s="0" t="inlineStr">
        <is>
          <t>23)</t>
        </is>
      </c>
    </row>
    <row r="18">
      <c r="A18" s="0" t="inlineStr">
        <is>
          <t>New</t>
        </is>
      </c>
      <c r="B18" s="0" t="inlineStr">
        <is>
          <t>Item</t>
        </is>
      </c>
      <c r="C18" s="0" t="inlineStr">
        <is>
          <t>Acquired</t>
        </is>
      </c>
      <c r="D18" s="0" t="inlineStr">
        <is>
          <t>:</t>
        </is>
      </c>
      <c r="E18" s="0" t="inlineStr">
        <is>
          <t>75.00K</t>
        </is>
      </c>
      <c r="F18" s="0" t="inlineStr">
        <is>
          <t>(3,</t>
        </is>
      </c>
      <c r="G18" s="0" t="inlineStr">
        <is>
          <t>5)</t>
        </is>
      </c>
    </row>
    <row r="19">
      <c r="A19" s="0" t="inlineStr">
        <is>
          <t>New</t>
        </is>
      </c>
      <c r="B19" s="0" t="inlineStr">
        <is>
          <t>Item</t>
        </is>
      </c>
      <c r="C19" s="0" t="inlineStr">
        <is>
          <t>Acquired</t>
        </is>
      </c>
      <c r="D19" s="0" t="inlineStr">
        <is>
          <t>:</t>
        </is>
      </c>
      <c r="E19" s="0" t="inlineStr">
        <is>
          <t>Minor</t>
        </is>
      </c>
      <c r="F19" s="0" t="inlineStr">
        <is>
          <t>(4,</t>
        </is>
      </c>
      <c r="G19" s="0" t="inlineStr">
        <is>
          <t>2)</t>
        </is>
      </c>
    </row>
    <row r="20">
      <c r="A20" s="0" t="inlineStr">
        <is>
          <t>New</t>
        </is>
      </c>
      <c r="B20" s="0" t="inlineStr">
        <is>
          <t>Item</t>
        </is>
      </c>
      <c r="C20" s="0" t="inlineStr">
        <is>
          <t>Acquired</t>
        </is>
      </c>
      <c r="D20" s="0" t="inlineStr">
        <is>
          <t>:</t>
        </is>
      </c>
      <c r="E20" s="0" t="inlineStr">
        <is>
          <t>60.00K</t>
        </is>
      </c>
      <c r="F20" s="0" t="inlineStr">
        <is>
          <t>(4,</t>
        </is>
      </c>
      <c r="G20" s="0" t="inlineStr">
        <is>
          <t>1)</t>
        </is>
      </c>
    </row>
    <row r="21">
      <c r="A21" s="0" t="inlineStr">
        <is>
          <t>New</t>
        </is>
      </c>
      <c r="B21" s="0" t="inlineStr">
        <is>
          <t>Item</t>
        </is>
      </c>
      <c r="C21" s="0" t="inlineStr">
        <is>
          <t>Acquired</t>
        </is>
      </c>
      <c r="D21" s="0" t="inlineStr">
        <is>
          <t>:</t>
        </is>
      </c>
      <c r="E21" s="0" t="inlineStr">
        <is>
          <t>67.50K</t>
        </is>
      </c>
      <c r="F21" s="0" t="inlineStr">
        <is>
          <t>(5,</t>
        </is>
      </c>
      <c r="G21" s="0" t="inlineStr">
        <is>
          <t>24)</t>
        </is>
      </c>
    </row>
    <row r="22">
      <c r="A22" s="0" t="inlineStr">
        <is>
          <t>New</t>
        </is>
      </c>
      <c r="B22" s="0" t="inlineStr">
        <is>
          <t>Item</t>
        </is>
      </c>
      <c r="C22" s="0" t="inlineStr">
        <is>
          <t>Acquired</t>
        </is>
      </c>
      <c r="D22" s="0" t="inlineStr">
        <is>
          <t>:</t>
        </is>
      </c>
      <c r="E22" s="0" t="inlineStr">
        <is>
          <t>50.00K</t>
        </is>
      </c>
      <c r="F22" s="0" t="inlineStr">
        <is>
          <t>(1,</t>
        </is>
      </c>
      <c r="G22" s="0" t="inlineStr">
        <is>
          <t>20)</t>
        </is>
      </c>
    </row>
    <row r="23">
      <c r="A23" s="0" t="inlineStr">
        <is>
          <t>New</t>
        </is>
      </c>
      <c r="B23" s="0" t="inlineStr">
        <is>
          <t>Item</t>
        </is>
      </c>
      <c r="C23" s="0" t="inlineStr">
        <is>
          <t>Acquired</t>
        </is>
      </c>
      <c r="D23" s="0" t="inlineStr">
        <is>
          <t>:</t>
        </is>
      </c>
      <c r="E23" s="0" t="inlineStr">
        <is>
          <t>157.50K</t>
        </is>
      </c>
      <c r="F23" s="0" t="inlineStr">
        <is>
          <t>(5,</t>
        </is>
      </c>
      <c r="G23" s="0" t="inlineStr">
        <is>
          <t>4)</t>
        </is>
      </c>
    </row>
    <row r="24">
      <c r="A24" s="0" t="inlineStr">
        <is>
          <t>New</t>
        </is>
      </c>
      <c r="B24" s="0" t="inlineStr">
        <is>
          <t>Item</t>
        </is>
      </c>
      <c r="C24" s="0" t="inlineStr">
        <is>
          <t>Acquired</t>
        </is>
      </c>
      <c r="D24" s="0" t="inlineStr">
        <is>
          <t>:</t>
        </is>
      </c>
      <c r="E24" s="0" t="inlineStr">
        <is>
          <t>90.00K</t>
        </is>
      </c>
      <c r="F24" s="0" t="inlineStr">
        <is>
          <t>(7,</t>
        </is>
      </c>
      <c r="G24" s="0" t="inlineStr">
        <is>
          <t>20)</t>
        </is>
      </c>
    </row>
    <row r="25">
      <c r="A25" s="0" t="inlineStr">
        <is>
          <t>New</t>
        </is>
      </c>
      <c r="B25" s="0" t="inlineStr">
        <is>
          <t>Item</t>
        </is>
      </c>
      <c r="C25" s="0" t="inlineStr">
        <is>
          <t>Acquired</t>
        </is>
      </c>
      <c r="D25" s="0" t="inlineStr">
        <is>
          <t>:</t>
        </is>
      </c>
      <c r="E25" s="0" t="inlineStr">
        <is>
          <t>60.00K</t>
        </is>
      </c>
      <c r="F25" s="0" t="inlineStr">
        <is>
          <t>(4,</t>
        </is>
      </c>
      <c r="G25" s="0" t="inlineStr">
        <is>
          <t>14)</t>
        </is>
      </c>
    </row>
    <row r="26">
      <c r="A26" s="0" t="inlineStr">
        <is>
          <t>New</t>
        </is>
      </c>
      <c r="B26" s="0" t="inlineStr">
        <is>
          <t>Item</t>
        </is>
      </c>
      <c r="C26" s="0" t="inlineStr">
        <is>
          <t>Acquired</t>
        </is>
      </c>
      <c r="D26" s="0" t="inlineStr">
        <is>
          <t>:</t>
        </is>
      </c>
      <c r="E26" s="0" t="inlineStr">
        <is>
          <t>67.50K</t>
        </is>
      </c>
      <c r="F26" s="0" t="inlineStr">
        <is>
          <t>(5,</t>
        </is>
      </c>
      <c r="G26" s="0" t="inlineStr">
        <is>
          <t>12)</t>
        </is>
      </c>
    </row>
    <row r="27">
      <c r="A27" s="0" t="inlineStr">
        <is>
          <t>New</t>
        </is>
      </c>
      <c r="B27" s="0" t="inlineStr">
        <is>
          <t>Item</t>
        </is>
      </c>
      <c r="C27" s="0" t="inlineStr">
        <is>
          <t>Acquired</t>
        </is>
      </c>
      <c r="D27" s="0" t="inlineStr">
        <is>
          <t>:</t>
        </is>
      </c>
      <c r="E27" s="0" t="inlineStr">
        <is>
          <t>125.00K</t>
        </is>
      </c>
      <c r="F27" s="0" t="inlineStr">
        <is>
          <t>(6,</t>
        </is>
      </c>
      <c r="G27" s="0" t="inlineStr">
        <is>
          <t>19)</t>
        </is>
      </c>
    </row>
    <row r="28">
      <c r="A28" s="0" t="inlineStr">
        <is>
          <t>New</t>
        </is>
      </c>
      <c r="B28" s="0" t="inlineStr">
        <is>
          <t>Item</t>
        </is>
      </c>
      <c r="C28" s="0" t="inlineStr">
        <is>
          <t>Acquired</t>
        </is>
      </c>
      <c r="D28" s="0" t="inlineStr">
        <is>
          <t>:</t>
        </is>
      </c>
      <c r="E28" s="0" t="inlineStr">
        <is>
          <t>90.00K</t>
        </is>
      </c>
      <c r="F28" s="0" t="inlineStr">
        <is>
          <t>(7,</t>
        </is>
      </c>
      <c r="G28" s="0" t="inlineStr">
        <is>
          <t>7)</t>
        </is>
      </c>
    </row>
    <row r="29">
      <c r="A29" s="0" t="inlineStr">
        <is>
          <t>New</t>
        </is>
      </c>
      <c r="B29" s="0" t="inlineStr">
        <is>
          <t>Item</t>
        </is>
      </c>
      <c r="C29" s="0" t="inlineStr">
        <is>
          <t>Acquired</t>
        </is>
      </c>
      <c r="D29" s="0" t="inlineStr">
        <is>
          <t>:</t>
        </is>
      </c>
      <c r="E29" s="0" t="inlineStr">
        <is>
          <t>Mini</t>
        </is>
      </c>
      <c r="F29" s="0" t="inlineStr">
        <is>
          <t>(7,</t>
        </is>
      </c>
      <c r="G29" s="0" t="inlineStr">
        <is>
          <t>21)</t>
        </is>
      </c>
    </row>
    <row r="30">
      <c r="A30" s="0" t="inlineStr">
        <is>
          <t>New</t>
        </is>
      </c>
      <c r="B30" s="0" t="inlineStr">
        <is>
          <t>Item</t>
        </is>
      </c>
      <c r="C30" s="0" t="inlineStr">
        <is>
          <t>Acquired</t>
        </is>
      </c>
      <c r="D30" s="0" t="inlineStr">
        <is>
          <t>:</t>
        </is>
      </c>
      <c r="E30" s="0" t="inlineStr">
        <is>
          <t>157.50K</t>
        </is>
      </c>
      <c r="F30" s="0" t="inlineStr">
        <is>
          <t>(5,</t>
        </is>
      </c>
      <c r="G30" s="0" t="inlineStr">
        <is>
          <t>2)</t>
        </is>
      </c>
    </row>
    <row r="31">
      <c r="A31" s="0" t="inlineStr">
        <is>
          <t>New</t>
        </is>
      </c>
      <c r="B31" s="0" t="inlineStr">
        <is>
          <t>Item</t>
        </is>
      </c>
      <c r="C31" s="0" t="inlineStr">
        <is>
          <t>Acquired</t>
        </is>
      </c>
      <c r="D31" s="0" t="inlineStr">
        <is>
          <t>:</t>
        </is>
      </c>
      <c r="E31" s="0" t="inlineStr">
        <is>
          <t>120.00K</t>
        </is>
      </c>
      <c r="F31" s="0" t="inlineStr">
        <is>
          <t>(8,</t>
        </is>
      </c>
      <c r="G31" s="0" t="inlineStr">
        <is>
          <t>15)</t>
        </is>
      </c>
    </row>
    <row r="32">
      <c r="A32" s="0" t="inlineStr">
        <is>
          <t>New</t>
        </is>
      </c>
      <c r="B32" s="0" t="inlineStr">
        <is>
          <t>Item</t>
        </is>
      </c>
      <c r="C32" s="0" t="inlineStr">
        <is>
          <t>Acquired</t>
        </is>
      </c>
      <c r="D32" s="0" t="inlineStr">
        <is>
          <t>:</t>
        </is>
      </c>
      <c r="E32" s="0" t="inlineStr">
        <is>
          <t>75.00K</t>
        </is>
      </c>
      <c r="F32" s="0" t="inlineStr">
        <is>
          <t>(4,</t>
        </is>
      </c>
      <c r="G32" s="0" t="inlineStr">
        <is>
          <t>20)</t>
        </is>
      </c>
    </row>
    <row r="33">
      <c r="A33" s="0" t="inlineStr">
        <is>
          <t>New</t>
        </is>
      </c>
      <c r="B33" s="0" t="inlineStr">
        <is>
          <t>Item</t>
        </is>
      </c>
      <c r="C33" s="0" t="inlineStr">
        <is>
          <t>Acquired</t>
        </is>
      </c>
      <c r="D33" s="0" t="inlineStr">
        <is>
          <t>:</t>
        </is>
      </c>
      <c r="E33" s="0" t="inlineStr">
        <is>
          <t>67.50K</t>
        </is>
      </c>
      <c r="F33" s="0" t="inlineStr">
        <is>
          <t>(5,</t>
        </is>
      </c>
      <c r="G33" s="0" t="inlineStr">
        <is>
          <t>9)</t>
        </is>
      </c>
    </row>
    <row r="34">
      <c r="A34" s="0" t="inlineStr">
        <is>
          <t>New</t>
        </is>
      </c>
      <c r="B34" s="0" t="inlineStr">
        <is>
          <t>Item</t>
        </is>
      </c>
      <c r="C34" s="0" t="inlineStr">
        <is>
          <t>Acquired</t>
        </is>
      </c>
      <c r="D34" s="0" t="inlineStr">
        <is>
          <t>:</t>
        </is>
      </c>
      <c r="E34" s="0" t="inlineStr">
        <is>
          <t>210.00K</t>
        </is>
      </c>
      <c r="F34" s="0" t="inlineStr">
        <is>
          <t>(7,</t>
        </is>
      </c>
      <c r="G34" s="0" t="inlineStr">
        <is>
          <t>14)</t>
        </is>
      </c>
    </row>
    <row r="35">
      <c r="A35" s="0" t="inlineStr">
        <is>
          <t>New</t>
        </is>
      </c>
      <c r="B35" s="0" t="inlineStr">
        <is>
          <t>Item</t>
        </is>
      </c>
      <c r="C35" s="0" t="inlineStr">
        <is>
          <t>Acquired</t>
        </is>
      </c>
      <c r="D35" s="0" t="inlineStr">
        <is>
          <t>:</t>
        </is>
      </c>
      <c r="E35" s="0" t="inlineStr">
        <is>
          <t>60.00K</t>
        </is>
      </c>
      <c r="F35" s="0" t="inlineStr">
        <is>
          <t>(4,</t>
        </is>
      </c>
      <c r="G35" s="0" t="inlineStr">
        <is>
          <t>9)</t>
        </is>
      </c>
    </row>
    <row r="36">
      <c r="A36" s="0" t="inlineStr">
        <is>
          <t>New</t>
        </is>
      </c>
      <c r="B36" s="0" t="inlineStr">
        <is>
          <t>Item</t>
        </is>
      </c>
      <c r="C36" s="0" t="inlineStr">
        <is>
          <t>Acquired</t>
        </is>
      </c>
      <c r="D36" s="0" t="inlineStr">
        <is>
          <t>:</t>
        </is>
      </c>
      <c r="E36" s="0" t="inlineStr">
        <is>
          <t>150.00K</t>
        </is>
      </c>
      <c r="F36" s="0" t="inlineStr">
        <is>
          <t>(7,</t>
        </is>
      </c>
      <c r="G36" s="0" t="inlineStr">
        <is>
          <t>1)</t>
        </is>
      </c>
    </row>
    <row r="37">
      <c r="A37" s="0" t="inlineStr">
        <is>
          <t>New</t>
        </is>
      </c>
      <c r="B37" s="0" t="inlineStr">
        <is>
          <t>Item</t>
        </is>
      </c>
      <c r="C37" s="0" t="inlineStr">
        <is>
          <t>Acquired</t>
        </is>
      </c>
      <c r="D37" s="0" t="inlineStr">
        <is>
          <t>:</t>
        </is>
      </c>
      <c r="E37" s="0" t="inlineStr">
        <is>
          <t>67.50K</t>
        </is>
      </c>
      <c r="F37" s="0" t="inlineStr">
        <is>
          <t>(5,</t>
        </is>
      </c>
      <c r="G37" s="0" t="inlineStr">
        <is>
          <t>19)</t>
        </is>
      </c>
    </row>
    <row r="38">
      <c r="A38" s="0" t="inlineStr">
        <is>
          <t>Item</t>
        </is>
      </c>
      <c r="B38" s="0" t="inlineStr">
        <is>
          <t>ReSelect</t>
        </is>
      </c>
      <c r="C38" s="0" t="inlineStr">
        <is>
          <t>Failed</t>
        </is>
      </c>
      <c r="D38" s="0" t="inlineStr">
        <is>
          <t>:</t>
        </is>
      </c>
      <c r="E38" s="0" t="inlineStr">
        <is>
          <t>Attempt</t>
        </is>
      </c>
      <c r="F38" s="0" t="inlineStr">
        <is>
          <t>Count</t>
        </is>
      </c>
      <c r="G38" s="0" t="inlineStr">
        <is>
          <t>-</t>
        </is>
      </c>
      <c r="H38" s="0" t="n">
        <v>3</v>
      </c>
    </row>
    <row r="39">
      <c r="A39" s="0" t="inlineStr">
        <is>
          <t>New</t>
        </is>
      </c>
      <c r="B39" s="0" t="inlineStr">
        <is>
          <t>Item</t>
        </is>
      </c>
      <c r="C39" s="0" t="inlineStr">
        <is>
          <t>Acquired</t>
        </is>
      </c>
      <c r="D39" s="0" t="inlineStr">
        <is>
          <t>:</t>
        </is>
      </c>
      <c r="E39" s="0" t="inlineStr">
        <is>
          <t>112.50K</t>
        </is>
      </c>
      <c r="F39" s="0" t="inlineStr">
        <is>
          <t>(5,</t>
        </is>
      </c>
      <c r="G39" s="0" t="inlineStr">
        <is>
          <t>14)</t>
        </is>
      </c>
    </row>
    <row r="40">
      <c r="A40" s="0" t="inlineStr">
        <is>
          <t>Line</t>
        </is>
      </c>
      <c r="B40" s="0" t="inlineStr">
        <is>
          <t>Prize</t>
        </is>
      </c>
      <c r="C40" s="0" t="inlineStr">
        <is>
          <t>Acquired</t>
        </is>
      </c>
      <c r="D40" s="0" t="inlineStr">
        <is>
          <t>:</t>
        </is>
      </c>
      <c r="E40" s="0" t="inlineStr">
        <is>
          <t>472.50K</t>
        </is>
      </c>
      <c r="F40" s="0" t="inlineStr">
        <is>
          <t>(Stage</t>
        </is>
      </c>
      <c r="G40" s="0" t="inlineStr">
        <is>
          <t>:</t>
        </is>
      </c>
      <c r="H40" s="0" t="inlineStr">
        <is>
          <t>5)</t>
        </is>
      </c>
      <c r="I40" s="0" t="inlineStr">
        <is>
          <t>-</t>
        </is>
      </c>
      <c r="J40" s="0" t="n">
        <v>472500</v>
      </c>
    </row>
    <row r="41">
      <c r="A41" s="0" t="inlineStr">
        <is>
          <t>Clear</t>
        </is>
      </c>
      <c r="B41" s="0" t="inlineStr">
        <is>
          <t>Gem</t>
        </is>
      </c>
      <c r="C41" s="0" t="inlineStr">
        <is>
          <t>Acquired</t>
        </is>
      </c>
      <c r="D41" s="0" t="inlineStr">
        <is>
          <t>:</t>
        </is>
      </c>
      <c r="E41" s="0" t="n">
        <v>0</v>
      </c>
      <c r="F41" s="0" t="inlineStr">
        <is>
          <t>-&gt;</t>
        </is>
      </c>
      <c r="G41" s="0" t="n">
        <v>100</v>
      </c>
      <c r="H41" s="0" t="inlineStr">
        <is>
          <t>(Stage</t>
        </is>
      </c>
      <c r="I41" s="0" t="inlineStr">
        <is>
          <t>:</t>
        </is>
      </c>
      <c r="J41" s="0" t="inlineStr">
        <is>
          <t>5)</t>
        </is>
      </c>
    </row>
    <row r="42">
      <c r="A42" s="0" t="inlineStr">
        <is>
          <t>New</t>
        </is>
      </c>
      <c r="B42" s="0" t="inlineStr">
        <is>
          <t>Item</t>
        </is>
      </c>
      <c r="C42" s="0" t="inlineStr">
        <is>
          <t>Acquired</t>
        </is>
      </c>
      <c r="D42" s="0" t="inlineStr">
        <is>
          <t>:</t>
        </is>
      </c>
      <c r="E42" s="0" t="inlineStr">
        <is>
          <t>112.50K</t>
        </is>
      </c>
      <c r="F42" s="0" t="inlineStr">
        <is>
          <t>(5,</t>
        </is>
      </c>
      <c r="G42" s="0" t="inlineStr">
        <is>
          <t>12)</t>
        </is>
      </c>
    </row>
    <row r="43">
      <c r="A43" s="0" t="inlineStr">
        <is>
          <t>New</t>
        </is>
      </c>
      <c r="B43" s="0" t="inlineStr">
        <is>
          <t>Item</t>
        </is>
      </c>
      <c r="C43" s="0" t="inlineStr">
        <is>
          <t>Acquired</t>
        </is>
      </c>
      <c r="D43" s="0" t="inlineStr">
        <is>
          <t>:</t>
        </is>
      </c>
      <c r="E43" s="0" t="inlineStr">
        <is>
          <t>67.50K</t>
        </is>
      </c>
      <c r="F43" s="0" t="inlineStr">
        <is>
          <t>(5,</t>
        </is>
      </c>
      <c r="G43" s="0" t="inlineStr">
        <is>
          <t>2)</t>
        </is>
      </c>
    </row>
    <row r="44">
      <c r="A44" s="0" t="inlineStr">
        <is>
          <t>New</t>
        </is>
      </c>
      <c r="B44" s="0" t="inlineStr">
        <is>
          <t>Item</t>
        </is>
      </c>
      <c r="C44" s="0" t="inlineStr">
        <is>
          <t>Acquired</t>
        </is>
      </c>
      <c r="D44" s="0" t="inlineStr">
        <is>
          <t>:</t>
        </is>
      </c>
      <c r="E44" s="0" t="inlineStr">
        <is>
          <t>175.00K</t>
        </is>
      </c>
      <c r="F44" s="0" t="inlineStr">
        <is>
          <t>(6,</t>
        </is>
      </c>
      <c r="G44" s="0" t="inlineStr">
        <is>
          <t>8)</t>
        </is>
      </c>
    </row>
    <row r="45">
      <c r="A45" s="0" t="inlineStr">
        <is>
          <t>New</t>
        </is>
      </c>
      <c r="B45" s="0" t="inlineStr">
        <is>
          <t>Item</t>
        </is>
      </c>
      <c r="C45" s="0" t="inlineStr">
        <is>
          <t>Acquired</t>
        </is>
      </c>
      <c r="D45" s="0" t="inlineStr">
        <is>
          <t>:</t>
        </is>
      </c>
      <c r="E45" s="0" t="inlineStr">
        <is>
          <t>Minor</t>
        </is>
      </c>
      <c r="F45" s="0" t="inlineStr">
        <is>
          <t>(6,</t>
        </is>
      </c>
      <c r="G45" s="0" t="inlineStr">
        <is>
          <t>21)</t>
        </is>
      </c>
    </row>
    <row r="46">
      <c r="A46" s="0" t="inlineStr">
        <is>
          <t>New</t>
        </is>
      </c>
      <c r="B46" s="0" t="inlineStr">
        <is>
          <t>Item</t>
        </is>
      </c>
      <c r="C46" s="0" t="inlineStr">
        <is>
          <t>Acquired</t>
        </is>
      </c>
      <c r="D46" s="0" t="inlineStr">
        <is>
          <t>:</t>
        </is>
      </c>
      <c r="E46" s="0" t="inlineStr">
        <is>
          <t>125.00K</t>
        </is>
      </c>
      <c r="F46" s="0" t="inlineStr">
        <is>
          <t>(6,</t>
        </is>
      </c>
      <c r="G46" s="0" t="inlineStr">
        <is>
          <t>10)</t>
        </is>
      </c>
    </row>
    <row r="47">
      <c r="A47" s="0" t="inlineStr">
        <is>
          <t>New</t>
        </is>
      </c>
      <c r="B47" s="0" t="inlineStr">
        <is>
          <t>Item</t>
        </is>
      </c>
      <c r="C47" s="0" t="inlineStr">
        <is>
          <t>Acquired</t>
        </is>
      </c>
      <c r="D47" s="0" t="inlineStr">
        <is>
          <t>:</t>
        </is>
      </c>
      <c r="E47" s="0" t="inlineStr">
        <is>
          <t>60.00K</t>
        </is>
      </c>
      <c r="F47" s="0" t="inlineStr">
        <is>
          <t>(4,</t>
        </is>
      </c>
      <c r="G47" s="0" t="inlineStr">
        <is>
          <t>5)</t>
        </is>
      </c>
    </row>
    <row r="48">
      <c r="A48" s="0" t="inlineStr">
        <is>
          <t>New</t>
        </is>
      </c>
      <c r="B48" s="0" t="inlineStr">
        <is>
          <t>Item</t>
        </is>
      </c>
      <c r="C48" s="0" t="inlineStr">
        <is>
          <t>Acquired</t>
        </is>
      </c>
      <c r="D48" s="0" t="inlineStr">
        <is>
          <t>:</t>
        </is>
      </c>
      <c r="E48" s="0" t="inlineStr">
        <is>
          <t>112.50K</t>
        </is>
      </c>
      <c r="F48" s="0" t="inlineStr">
        <is>
          <t>(5,</t>
        </is>
      </c>
      <c r="G48" s="0" t="inlineStr">
        <is>
          <t>9)</t>
        </is>
      </c>
    </row>
    <row r="49">
      <c r="A49" s="0" t="inlineStr">
        <is>
          <t>New</t>
        </is>
      </c>
      <c r="B49" s="0" t="inlineStr">
        <is>
          <t>Item</t>
        </is>
      </c>
      <c r="C49" s="0" t="inlineStr">
        <is>
          <t>Acquired</t>
        </is>
      </c>
      <c r="D49" s="0" t="inlineStr">
        <is>
          <t>:</t>
        </is>
      </c>
      <c r="E49" s="0" t="inlineStr">
        <is>
          <t>67.50K</t>
        </is>
      </c>
      <c r="F49" s="0" t="inlineStr">
        <is>
          <t>(5,</t>
        </is>
      </c>
      <c r="G49" s="0" t="inlineStr">
        <is>
          <t>23)</t>
        </is>
      </c>
    </row>
    <row r="50">
      <c r="A50" s="0" t="inlineStr">
        <is>
          <t>New</t>
        </is>
      </c>
      <c r="B50" s="0" t="inlineStr">
        <is>
          <t>Item</t>
        </is>
      </c>
      <c r="C50" s="0" t="inlineStr">
        <is>
          <t>Acquired</t>
        </is>
      </c>
      <c r="D50" s="0" t="inlineStr">
        <is>
          <t>:</t>
        </is>
      </c>
      <c r="E50" s="0" t="inlineStr">
        <is>
          <t>150.00K</t>
        </is>
      </c>
      <c r="F50" s="0" t="inlineStr">
        <is>
          <t>(7,</t>
        </is>
      </c>
      <c r="G50" s="0" t="inlineStr">
        <is>
          <t>12)</t>
        </is>
      </c>
    </row>
    <row r="51">
      <c r="A51" s="0" t="inlineStr">
        <is>
          <t>New</t>
        </is>
      </c>
      <c r="B51" s="0" t="inlineStr">
        <is>
          <t>Item</t>
        </is>
      </c>
      <c r="C51" s="0" t="inlineStr">
        <is>
          <t>Acquired</t>
        </is>
      </c>
      <c r="D51" s="0" t="inlineStr">
        <is>
          <t>:</t>
        </is>
      </c>
      <c r="E51" s="0" t="inlineStr">
        <is>
          <t>67.50K</t>
        </is>
      </c>
      <c r="F51" s="0" t="inlineStr">
        <is>
          <t>(5,</t>
        </is>
      </c>
      <c r="G51" s="0" t="inlineStr">
        <is>
          <t>10)</t>
        </is>
      </c>
    </row>
    <row r="52">
      <c r="A52" s="0" t="inlineStr">
        <is>
          <t>New</t>
        </is>
      </c>
      <c r="B52" s="0" t="inlineStr">
        <is>
          <t>Item</t>
        </is>
      </c>
      <c r="C52" s="0" t="inlineStr">
        <is>
          <t>Acquired</t>
        </is>
      </c>
      <c r="D52" s="0" t="inlineStr">
        <is>
          <t>:</t>
        </is>
      </c>
      <c r="E52" s="0" t="inlineStr">
        <is>
          <t>Mini</t>
        </is>
      </c>
      <c r="F52" s="0" t="inlineStr">
        <is>
          <t>(5,</t>
        </is>
      </c>
      <c r="G52" s="0" t="inlineStr">
        <is>
          <t>11)</t>
        </is>
      </c>
    </row>
    <row r="53">
      <c r="A53" s="0" t="inlineStr">
        <is>
          <t>New</t>
        </is>
      </c>
      <c r="B53" s="0" t="inlineStr">
        <is>
          <t>Item</t>
        </is>
      </c>
      <c r="C53" s="0" t="inlineStr">
        <is>
          <t>Acquired</t>
        </is>
      </c>
      <c r="D53" s="0" t="inlineStr">
        <is>
          <t>:</t>
        </is>
      </c>
      <c r="E53" s="0" t="inlineStr">
        <is>
          <t>60.00K</t>
        </is>
      </c>
      <c r="F53" s="0" t="inlineStr">
        <is>
          <t>(4,</t>
        </is>
      </c>
      <c r="G53" s="0" t="inlineStr">
        <is>
          <t>19)</t>
        </is>
      </c>
    </row>
    <row r="54">
      <c r="A54" s="0" t="inlineStr">
        <is>
          <t>New</t>
        </is>
      </c>
      <c r="B54" s="0" t="inlineStr">
        <is>
          <t>Item</t>
        </is>
      </c>
      <c r="C54" s="0" t="inlineStr">
        <is>
          <t>Acquired</t>
        </is>
      </c>
      <c r="D54" s="0" t="inlineStr">
        <is>
          <t>:</t>
        </is>
      </c>
      <c r="E54" s="0" t="inlineStr">
        <is>
          <t>112.50K</t>
        </is>
      </c>
      <c r="F54" s="0" t="inlineStr">
        <is>
          <t>(5,</t>
        </is>
      </c>
      <c r="G54" s="0" t="inlineStr">
        <is>
          <t>7)</t>
        </is>
      </c>
    </row>
    <row r="55">
      <c r="A55" s="0" t="inlineStr">
        <is>
          <t>New</t>
        </is>
      </c>
      <c r="B55" s="0" t="inlineStr">
        <is>
          <t>Item</t>
        </is>
      </c>
      <c r="C55" s="0" t="inlineStr">
        <is>
          <t>Acquired</t>
        </is>
      </c>
      <c r="D55" s="0" t="inlineStr">
        <is>
          <t>:</t>
        </is>
      </c>
      <c r="E55" s="0" t="inlineStr">
        <is>
          <t>67.50K</t>
        </is>
      </c>
      <c r="F55" s="0" t="inlineStr">
        <is>
          <t>(5,</t>
        </is>
      </c>
      <c r="G55" s="0" t="inlineStr">
        <is>
          <t>1)</t>
        </is>
      </c>
    </row>
    <row r="56">
      <c r="A56" s="0" t="inlineStr">
        <is>
          <t>Item</t>
        </is>
      </c>
      <c r="B56" s="0" t="inlineStr">
        <is>
          <t>ReSelect</t>
        </is>
      </c>
      <c r="C56" s="0" t="inlineStr">
        <is>
          <t>Failed</t>
        </is>
      </c>
      <c r="D56" s="0" t="inlineStr">
        <is>
          <t>:</t>
        </is>
      </c>
      <c r="E56" s="0" t="inlineStr">
        <is>
          <t>Attempt</t>
        </is>
      </c>
      <c r="F56" s="0" t="inlineStr">
        <is>
          <t>Count</t>
        </is>
      </c>
      <c r="G56" s="0" t="inlineStr">
        <is>
          <t>-</t>
        </is>
      </c>
      <c r="H56" s="0" t="n">
        <v>3</v>
      </c>
    </row>
    <row r="57">
      <c r="A57" s="0" t="inlineStr">
        <is>
          <t>New</t>
        </is>
      </c>
      <c r="B57" s="0" t="inlineStr">
        <is>
          <t>Item</t>
        </is>
      </c>
      <c r="C57" s="0" t="inlineStr">
        <is>
          <t>Acquired</t>
        </is>
      </c>
      <c r="D57" s="0" t="inlineStr">
        <is>
          <t>:</t>
        </is>
      </c>
      <c r="E57" s="0" t="inlineStr">
        <is>
          <t>Major</t>
        </is>
      </c>
      <c r="F57" s="0" t="inlineStr">
        <is>
          <t>(5,</t>
        </is>
      </c>
      <c r="G57" s="0" t="inlineStr">
        <is>
          <t>19)</t>
        </is>
      </c>
    </row>
    <row r="58">
      <c r="A58" s="0" t="inlineStr">
        <is>
          <t>New</t>
        </is>
      </c>
      <c r="B58" s="0" t="inlineStr">
        <is>
          <t>Item</t>
        </is>
      </c>
      <c r="C58" s="0" t="inlineStr">
        <is>
          <t>Acquired</t>
        </is>
      </c>
      <c r="D58" s="0" t="inlineStr">
        <is>
          <t>:</t>
        </is>
      </c>
      <c r="E58" s="0" t="inlineStr">
        <is>
          <t>105.00K</t>
        </is>
      </c>
      <c r="F58" s="0" t="inlineStr">
        <is>
          <t>(4,</t>
        </is>
      </c>
      <c r="G58" s="0" t="inlineStr">
        <is>
          <t>4)</t>
        </is>
      </c>
    </row>
    <row r="59">
      <c r="A59" s="0" t="inlineStr">
        <is>
          <t>Line</t>
        </is>
      </c>
      <c r="B59" s="0" t="inlineStr">
        <is>
          <t>Prize</t>
        </is>
      </c>
      <c r="C59" s="0" t="inlineStr">
        <is>
          <t>Acquired</t>
        </is>
      </c>
      <c r="D59" s="0" t="inlineStr">
        <is>
          <t>:</t>
        </is>
      </c>
      <c r="E59" s="0" t="inlineStr">
        <is>
          <t>900.00K</t>
        </is>
      </c>
      <c r="F59" s="0" t="inlineStr">
        <is>
          <t>(Stage</t>
        </is>
      </c>
      <c r="G59" s="0" t="inlineStr">
        <is>
          <t>:</t>
        </is>
      </c>
      <c r="H59" s="0" t="inlineStr">
        <is>
          <t>4)</t>
        </is>
      </c>
      <c r="I59" s="0" t="inlineStr">
        <is>
          <t>-</t>
        </is>
      </c>
      <c r="J59" s="0" t="n">
        <v>900000</v>
      </c>
    </row>
    <row r="60">
      <c r="A60" s="0" t="inlineStr">
        <is>
          <t>Line</t>
        </is>
      </c>
      <c r="B60" s="0" t="inlineStr">
        <is>
          <t>Prize</t>
        </is>
      </c>
      <c r="C60" s="0" t="inlineStr">
        <is>
          <t>Acquired</t>
        </is>
      </c>
      <c r="D60" s="0" t="inlineStr">
        <is>
          <t>:</t>
        </is>
      </c>
      <c r="E60" s="0" t="inlineStr">
        <is>
          <t>345.00K</t>
        </is>
      </c>
      <c r="F60" s="0" t="inlineStr">
        <is>
          <t>(Stage</t>
        </is>
      </c>
      <c r="G60" s="0" t="inlineStr">
        <is>
          <t>:</t>
        </is>
      </c>
      <c r="H60" s="0" t="inlineStr">
        <is>
          <t>4)</t>
        </is>
      </c>
      <c r="I60" s="0" t="inlineStr">
        <is>
          <t>-</t>
        </is>
      </c>
      <c r="J60" s="0" t="n">
        <v>345000</v>
      </c>
    </row>
    <row r="61">
      <c r="A61" s="0" t="inlineStr">
        <is>
          <t>Clear</t>
        </is>
      </c>
      <c r="B61" s="0" t="inlineStr">
        <is>
          <t>Gem</t>
        </is>
      </c>
      <c r="C61" s="0" t="inlineStr">
        <is>
          <t>Acquired</t>
        </is>
      </c>
      <c r="D61" s="0" t="inlineStr">
        <is>
          <t>:</t>
        </is>
      </c>
      <c r="E61" s="0" t="n">
        <v>100</v>
      </c>
      <c r="F61" s="0" t="inlineStr">
        <is>
          <t>-&gt;</t>
        </is>
      </c>
      <c r="G61" s="0" t="n">
        <v>200</v>
      </c>
      <c r="H61" s="0" t="inlineStr">
        <is>
          <t>(Stage</t>
        </is>
      </c>
      <c r="I61" s="0" t="inlineStr">
        <is>
          <t>:</t>
        </is>
      </c>
      <c r="J61" s="0" t="inlineStr">
        <is>
          <t>4)</t>
        </is>
      </c>
    </row>
    <row r="62">
      <c r="A62" s="0" t="inlineStr">
        <is>
          <t>New</t>
        </is>
      </c>
      <c r="B62" s="0" t="inlineStr">
        <is>
          <t>Item</t>
        </is>
      </c>
      <c r="C62" s="0" t="inlineStr">
        <is>
          <t>Acquired</t>
        </is>
      </c>
      <c r="D62" s="0" t="inlineStr">
        <is>
          <t>:</t>
        </is>
      </c>
      <c r="E62" s="0" t="inlineStr">
        <is>
          <t>Mini</t>
        </is>
      </c>
      <c r="F62" s="0" t="inlineStr">
        <is>
          <t>(6,</t>
        </is>
      </c>
      <c r="G62" s="0" t="inlineStr">
        <is>
          <t>17)</t>
        </is>
      </c>
    </row>
    <row r="63">
      <c r="A63" s="0" t="inlineStr">
        <is>
          <t>New</t>
        </is>
      </c>
      <c r="B63" s="0" t="inlineStr">
        <is>
          <t>Item</t>
        </is>
      </c>
      <c r="C63" s="0" t="inlineStr">
        <is>
          <t>Acquired</t>
        </is>
      </c>
      <c r="D63" s="0" t="inlineStr">
        <is>
          <t>:</t>
        </is>
      </c>
      <c r="E63" s="0" t="inlineStr">
        <is>
          <t>Minor</t>
        </is>
      </c>
      <c r="F63" s="0" t="inlineStr">
        <is>
          <t>(4,</t>
        </is>
      </c>
      <c r="G63" s="0" t="inlineStr">
        <is>
          <t>5)</t>
        </is>
      </c>
    </row>
    <row r="64">
      <c r="A64" s="0" t="inlineStr">
        <is>
          <t>New</t>
        </is>
      </c>
      <c r="B64" s="0" t="inlineStr">
        <is>
          <t>Item</t>
        </is>
      </c>
      <c r="C64" s="0" t="inlineStr">
        <is>
          <t>Acquired</t>
        </is>
      </c>
      <c r="D64" s="0" t="inlineStr">
        <is>
          <t>:</t>
        </is>
      </c>
      <c r="E64" s="0" t="inlineStr">
        <is>
          <t>75.00K</t>
        </is>
      </c>
      <c r="F64" s="0" t="inlineStr">
        <is>
          <t>(4,</t>
        </is>
      </c>
      <c r="G64" s="0" t="inlineStr">
        <is>
          <t>24)</t>
        </is>
      </c>
    </row>
    <row r="65">
      <c r="A65" s="0" t="inlineStr">
        <is>
          <t>New</t>
        </is>
      </c>
      <c r="B65" s="0" t="inlineStr">
        <is>
          <t>Item</t>
        </is>
      </c>
      <c r="C65" s="0" t="inlineStr">
        <is>
          <t>Acquired</t>
        </is>
      </c>
      <c r="D65" s="0" t="inlineStr">
        <is>
          <t>:</t>
        </is>
      </c>
      <c r="E65" s="0" t="inlineStr">
        <is>
          <t>125.00K</t>
        </is>
      </c>
      <c r="F65" s="0" t="inlineStr">
        <is>
          <t>(6,</t>
        </is>
      </c>
      <c r="G65" s="0" t="inlineStr">
        <is>
          <t>6)</t>
        </is>
      </c>
    </row>
    <row r="66">
      <c r="A66" s="0" t="inlineStr">
        <is>
          <t>New</t>
        </is>
      </c>
      <c r="B66" s="0" t="inlineStr">
        <is>
          <t>Item</t>
        </is>
      </c>
      <c r="C66" s="0" t="inlineStr">
        <is>
          <t>Acquired</t>
        </is>
      </c>
      <c r="D66" s="0" t="inlineStr">
        <is>
          <t>:</t>
        </is>
      </c>
      <c r="E66" s="0" t="inlineStr">
        <is>
          <t>90.00K</t>
        </is>
      </c>
      <c r="F66" s="0" t="inlineStr">
        <is>
          <t>(7,</t>
        </is>
      </c>
      <c r="G66" s="0" t="inlineStr">
        <is>
          <t>25)</t>
        </is>
      </c>
    </row>
    <row r="67">
      <c r="A67" s="0" t="inlineStr">
        <is>
          <t>New</t>
        </is>
      </c>
      <c r="B67" s="0" t="inlineStr">
        <is>
          <t>Item</t>
        </is>
      </c>
      <c r="C67" s="0" t="inlineStr">
        <is>
          <t>Acquired</t>
        </is>
      </c>
      <c r="D67" s="0" t="inlineStr">
        <is>
          <t>:</t>
        </is>
      </c>
      <c r="E67" s="0" t="inlineStr">
        <is>
          <t>70.00K</t>
        </is>
      </c>
      <c r="F67" s="0" t="inlineStr">
        <is>
          <t>(1,</t>
        </is>
      </c>
      <c r="G67" s="0" t="inlineStr">
        <is>
          <t>2)</t>
        </is>
      </c>
    </row>
    <row r="68">
      <c r="A68" s="0" t="inlineStr">
        <is>
          <t>New</t>
        </is>
      </c>
      <c r="B68" s="0" t="inlineStr">
        <is>
          <t>Item</t>
        </is>
      </c>
      <c r="C68" s="0" t="inlineStr">
        <is>
          <t>Acquired</t>
        </is>
      </c>
      <c r="D68" s="0" t="inlineStr">
        <is>
          <t>:</t>
        </is>
      </c>
      <c r="E68" s="0" t="inlineStr">
        <is>
          <t>60.00K</t>
        </is>
      </c>
      <c r="F68" s="0" t="inlineStr">
        <is>
          <t>(4,</t>
        </is>
      </c>
      <c r="G68" s="0" t="inlineStr">
        <is>
          <t>2)</t>
        </is>
      </c>
    </row>
    <row r="69">
      <c r="A69" s="0" t="inlineStr">
        <is>
          <t>New</t>
        </is>
      </c>
      <c r="B69" s="0" t="inlineStr">
        <is>
          <t>Item</t>
        </is>
      </c>
      <c r="C69" s="0" t="inlineStr">
        <is>
          <t>Acquired</t>
        </is>
      </c>
      <c r="D69" s="0" t="inlineStr">
        <is>
          <t>:</t>
        </is>
      </c>
      <c r="E69" s="0" t="inlineStr">
        <is>
          <t>125.00K</t>
        </is>
      </c>
      <c r="F69" s="0" t="inlineStr">
        <is>
          <t>(6,</t>
        </is>
      </c>
      <c r="G69" s="0" t="inlineStr">
        <is>
          <t>4)</t>
        </is>
      </c>
    </row>
    <row r="70">
      <c r="A70" s="0" t="inlineStr">
        <is>
          <t>New</t>
        </is>
      </c>
      <c r="B70" s="0" t="inlineStr">
        <is>
          <t>Item</t>
        </is>
      </c>
      <c r="C70" s="0" t="inlineStr">
        <is>
          <t>Acquired</t>
        </is>
      </c>
      <c r="D70" s="0" t="inlineStr">
        <is>
          <t>:</t>
        </is>
      </c>
      <c r="E70" s="0" t="inlineStr">
        <is>
          <t>157.50K</t>
        </is>
      </c>
      <c r="F70" s="0" t="inlineStr">
        <is>
          <t>(5,</t>
        </is>
      </c>
      <c r="G70" s="0" t="inlineStr">
        <is>
          <t>14)</t>
        </is>
      </c>
    </row>
    <row r="71">
      <c r="A71" s="0" t="inlineStr">
        <is>
          <t>New</t>
        </is>
      </c>
      <c r="B71" s="0" t="inlineStr">
        <is>
          <t>Item</t>
        </is>
      </c>
      <c r="C71" s="0" t="inlineStr">
        <is>
          <t>Acquired</t>
        </is>
      </c>
      <c r="D71" s="0" t="inlineStr">
        <is>
          <t>:</t>
        </is>
      </c>
      <c r="E71" s="0" t="inlineStr">
        <is>
          <t>157.50K</t>
        </is>
      </c>
      <c r="F71" s="0" t="inlineStr">
        <is>
          <t>(5,</t>
        </is>
      </c>
      <c r="G71" s="0" t="inlineStr">
        <is>
          <t>25)</t>
        </is>
      </c>
    </row>
    <row r="72">
      <c r="A72" s="0" t="inlineStr">
        <is>
          <t>Line</t>
        </is>
      </c>
      <c r="B72" s="0" t="inlineStr">
        <is>
          <t>Prize</t>
        </is>
      </c>
      <c r="C72" s="0" t="inlineStr">
        <is>
          <t>Acquired</t>
        </is>
      </c>
      <c r="D72" s="0" t="inlineStr">
        <is>
          <t>:</t>
        </is>
      </c>
      <c r="E72" s="0" t="inlineStr">
        <is>
          <t>3.04M</t>
        </is>
      </c>
      <c r="F72" s="0" t="inlineStr">
        <is>
          <t>(Stage</t>
        </is>
      </c>
      <c r="G72" s="0" t="inlineStr">
        <is>
          <t>:</t>
        </is>
      </c>
      <c r="H72" s="0" t="inlineStr">
        <is>
          <t>5)</t>
        </is>
      </c>
      <c r="I72" s="0" t="inlineStr">
        <is>
          <t>-</t>
        </is>
      </c>
      <c r="J72" s="0" t="n">
        <v>3037500</v>
      </c>
    </row>
    <row r="73">
      <c r="A73" s="0" t="inlineStr">
        <is>
          <t>Clear</t>
        </is>
      </c>
      <c r="B73" s="0" t="inlineStr">
        <is>
          <t>Gem</t>
        </is>
      </c>
      <c r="C73" s="0" t="inlineStr">
        <is>
          <t>Acquired</t>
        </is>
      </c>
      <c r="D73" s="0" t="inlineStr">
        <is>
          <t>:</t>
        </is>
      </c>
      <c r="E73" s="0" t="n">
        <v>200</v>
      </c>
      <c r="F73" s="0" t="inlineStr">
        <is>
          <t>-&gt;</t>
        </is>
      </c>
      <c r="G73" s="0" t="n">
        <v>300</v>
      </c>
      <c r="H73" s="0" t="inlineStr">
        <is>
          <t>(Stage</t>
        </is>
      </c>
      <c r="I73" s="0" t="inlineStr">
        <is>
          <t>:</t>
        </is>
      </c>
      <c r="J73" s="0" t="inlineStr">
        <is>
          <t>5)</t>
        </is>
      </c>
    </row>
    <row r="74">
      <c r="A74" s="0" t="inlineStr">
        <is>
          <t>New</t>
        </is>
      </c>
      <c r="B74" s="0" t="inlineStr">
        <is>
          <t>Item</t>
        </is>
      </c>
      <c r="C74" s="0" t="inlineStr">
        <is>
          <t>Acquired</t>
        </is>
      </c>
      <c r="D74" s="0" t="inlineStr">
        <is>
          <t>:</t>
        </is>
      </c>
      <c r="E74" s="0" t="inlineStr">
        <is>
          <t>30.00K</t>
        </is>
      </c>
      <c r="F74" s="0" t="inlineStr">
        <is>
          <t>(1,</t>
        </is>
      </c>
      <c r="G74" s="0" t="inlineStr">
        <is>
          <t>6)</t>
        </is>
      </c>
    </row>
    <row r="75">
      <c r="A75" s="0" t="inlineStr">
        <is>
          <t>New</t>
        </is>
      </c>
      <c r="B75" s="0" t="inlineStr">
        <is>
          <t>Item</t>
        </is>
      </c>
      <c r="C75" s="0" t="inlineStr">
        <is>
          <t>Acquired</t>
        </is>
      </c>
      <c r="D75" s="0" t="inlineStr">
        <is>
          <t>:</t>
        </is>
      </c>
      <c r="E75" s="0" t="inlineStr">
        <is>
          <t>90.00K</t>
        </is>
      </c>
      <c r="F75" s="0" t="inlineStr">
        <is>
          <t>(7,</t>
        </is>
      </c>
      <c r="G75" s="0" t="inlineStr">
        <is>
          <t>2)</t>
        </is>
      </c>
    </row>
    <row r="76">
      <c r="A76" s="0" t="inlineStr">
        <is>
          <t>New</t>
        </is>
      </c>
      <c r="B76" s="0" t="inlineStr">
        <is>
          <t>Item</t>
        </is>
      </c>
      <c r="C76" s="0" t="inlineStr">
        <is>
          <t>Acquired</t>
        </is>
      </c>
      <c r="D76" s="0" t="inlineStr">
        <is>
          <t>:</t>
        </is>
      </c>
      <c r="E76" s="0" t="inlineStr">
        <is>
          <t>Mega</t>
        </is>
      </c>
      <c r="F76" s="0" t="inlineStr">
        <is>
          <t>(5,</t>
        </is>
      </c>
      <c r="G76" s="0" t="inlineStr">
        <is>
          <t>4)</t>
        </is>
      </c>
    </row>
    <row r="77">
      <c r="A77" s="0" t="inlineStr">
        <is>
          <t>New</t>
        </is>
      </c>
      <c r="B77" s="0" t="inlineStr">
        <is>
          <t>Item</t>
        </is>
      </c>
      <c r="C77" s="0" t="inlineStr">
        <is>
          <t>Acquired</t>
        </is>
      </c>
      <c r="D77" s="0" t="inlineStr">
        <is>
          <t>:</t>
        </is>
      </c>
      <c r="E77" s="0" t="inlineStr">
        <is>
          <t>120.00K</t>
        </is>
      </c>
      <c r="F77" s="0" t="inlineStr">
        <is>
          <t>(8,</t>
        </is>
      </c>
      <c r="G77" s="0" t="inlineStr">
        <is>
          <t>2)</t>
        </is>
      </c>
    </row>
    <row r="78">
      <c r="A78" s="0" t="inlineStr">
        <is>
          <t>New</t>
        </is>
      </c>
      <c r="B78" s="0" t="inlineStr">
        <is>
          <t>Item</t>
        </is>
      </c>
      <c r="C78" s="0" t="inlineStr">
        <is>
          <t>Acquired</t>
        </is>
      </c>
      <c r="D78" s="0" t="inlineStr">
        <is>
          <t>:</t>
        </is>
      </c>
      <c r="E78" s="0" t="inlineStr">
        <is>
          <t>Mini</t>
        </is>
      </c>
      <c r="F78" s="0" t="inlineStr">
        <is>
          <t>(5,</t>
        </is>
      </c>
      <c r="G78" s="0" t="inlineStr">
        <is>
          <t>5)</t>
        </is>
      </c>
    </row>
    <row r="79">
      <c r="A79" s="0" t="inlineStr">
        <is>
          <t>New</t>
        </is>
      </c>
      <c r="B79" s="0" t="inlineStr">
        <is>
          <t>Item</t>
        </is>
      </c>
      <c r="C79" s="0" t="inlineStr">
        <is>
          <t>Acquired</t>
        </is>
      </c>
      <c r="D79" s="0" t="inlineStr">
        <is>
          <t>:</t>
        </is>
      </c>
      <c r="E79" s="0" t="inlineStr">
        <is>
          <t>105.00K</t>
        </is>
      </c>
      <c r="F79" s="0" t="inlineStr">
        <is>
          <t>(3,</t>
        </is>
      </c>
      <c r="G79" s="0" t="inlineStr">
        <is>
          <t>24)</t>
        </is>
      </c>
    </row>
    <row r="80">
      <c r="A80" s="0" t="inlineStr">
        <is>
          <t>New</t>
        </is>
      </c>
      <c r="B80" s="0" t="inlineStr">
        <is>
          <t>Item</t>
        </is>
      </c>
      <c r="C80" s="0" t="inlineStr">
        <is>
          <t>Acquired</t>
        </is>
      </c>
      <c r="D80" s="0" t="inlineStr">
        <is>
          <t>:</t>
        </is>
      </c>
      <c r="E80" s="0" t="inlineStr">
        <is>
          <t>Minor</t>
        </is>
      </c>
      <c r="F80" s="0" t="inlineStr">
        <is>
          <t>(4,</t>
        </is>
      </c>
      <c r="G80" s="0" t="inlineStr">
        <is>
          <t>9)</t>
        </is>
      </c>
    </row>
    <row r="81">
      <c r="A81" s="0" t="inlineStr">
        <is>
          <t>New</t>
        </is>
      </c>
      <c r="B81" s="0" t="inlineStr">
        <is>
          <t>Item</t>
        </is>
      </c>
      <c r="C81" s="0" t="inlineStr">
        <is>
          <t>Acquired</t>
        </is>
      </c>
      <c r="D81" s="0" t="inlineStr">
        <is>
          <t>:</t>
        </is>
      </c>
      <c r="E81" s="0" t="inlineStr">
        <is>
          <t>175.00K</t>
        </is>
      </c>
      <c r="F81" s="0" t="inlineStr">
        <is>
          <t>(6,</t>
        </is>
      </c>
      <c r="G81" s="0" t="inlineStr">
        <is>
          <t>9)</t>
        </is>
      </c>
    </row>
    <row r="82">
      <c r="A82" s="0" t="inlineStr">
        <is>
          <t>New</t>
        </is>
      </c>
      <c r="B82" s="0" t="inlineStr">
        <is>
          <t>Item</t>
        </is>
      </c>
      <c r="C82" s="0" t="inlineStr">
        <is>
          <t>Acquired</t>
        </is>
      </c>
      <c r="D82" s="0" t="inlineStr">
        <is>
          <t>:</t>
        </is>
      </c>
      <c r="E82" s="0" t="inlineStr">
        <is>
          <t>Mini</t>
        </is>
      </c>
      <c r="F82" s="0" t="inlineStr">
        <is>
          <t>(4,</t>
        </is>
      </c>
      <c r="G82" s="0" t="inlineStr">
        <is>
          <t>8)</t>
        </is>
      </c>
    </row>
    <row r="83">
      <c r="A83" s="0" t="inlineStr">
        <is>
          <t>New</t>
        </is>
      </c>
      <c r="B83" s="0" t="inlineStr">
        <is>
          <t>Item</t>
        </is>
      </c>
      <c r="C83" s="0" t="inlineStr">
        <is>
          <t>Acquired</t>
        </is>
      </c>
      <c r="D83" s="0" t="inlineStr">
        <is>
          <t>:</t>
        </is>
      </c>
      <c r="E83" s="0" t="inlineStr">
        <is>
          <t>105.00K</t>
        </is>
      </c>
      <c r="F83" s="0" t="inlineStr">
        <is>
          <t>(4,</t>
        </is>
      </c>
      <c r="G83" s="0" t="inlineStr">
        <is>
          <t>14)</t>
        </is>
      </c>
    </row>
    <row r="84">
      <c r="A84" s="0" t="inlineStr">
        <is>
          <t>New</t>
        </is>
      </c>
      <c r="B84" s="0" t="inlineStr">
        <is>
          <t>Item</t>
        </is>
      </c>
      <c r="C84" s="0" t="inlineStr">
        <is>
          <t>Acquired</t>
        </is>
      </c>
      <c r="D84" s="0" t="inlineStr">
        <is>
          <t>:</t>
        </is>
      </c>
      <c r="E84" s="0" t="inlineStr">
        <is>
          <t>90.00K</t>
        </is>
      </c>
      <c r="F84" s="0" t="inlineStr">
        <is>
          <t>(7,</t>
        </is>
      </c>
      <c r="G84" s="0" t="inlineStr">
        <is>
          <t>8)</t>
        </is>
      </c>
    </row>
    <row r="85">
      <c r="A85" s="0" t="inlineStr">
        <is>
          <t>New</t>
        </is>
      </c>
      <c r="B85" s="0" t="inlineStr">
        <is>
          <t>Item</t>
        </is>
      </c>
      <c r="C85" s="0" t="inlineStr">
        <is>
          <t>Acquired</t>
        </is>
      </c>
      <c r="D85" s="0" t="inlineStr">
        <is>
          <t>:</t>
        </is>
      </c>
      <c r="E85" s="0" t="inlineStr">
        <is>
          <t>60.00K</t>
        </is>
      </c>
      <c r="F85" s="0" t="inlineStr">
        <is>
          <t>(4,</t>
        </is>
      </c>
      <c r="G85" s="0" t="inlineStr">
        <is>
          <t>20)</t>
        </is>
      </c>
    </row>
    <row r="86">
      <c r="A86" s="0" t="inlineStr">
        <is>
          <t>New</t>
        </is>
      </c>
      <c r="B86" s="0" t="inlineStr">
        <is>
          <t>Item</t>
        </is>
      </c>
      <c r="C86" s="0" t="inlineStr">
        <is>
          <t>Acquired</t>
        </is>
      </c>
      <c r="D86" s="0" t="inlineStr">
        <is>
          <t>:</t>
        </is>
      </c>
      <c r="E86" s="0" t="inlineStr">
        <is>
          <t>75.00K</t>
        </is>
      </c>
      <c r="F86" s="0" t="inlineStr">
        <is>
          <t>(6,</t>
        </is>
      </c>
      <c r="G86" s="0" t="inlineStr">
        <is>
          <t>11)</t>
        </is>
      </c>
    </row>
    <row r="87">
      <c r="A87" s="0" t="inlineStr">
        <is>
          <t>New</t>
        </is>
      </c>
      <c r="B87" s="0" t="inlineStr">
        <is>
          <t>Item</t>
        </is>
      </c>
      <c r="C87" s="0" t="inlineStr">
        <is>
          <t>Acquired</t>
        </is>
      </c>
      <c r="D87" s="0" t="inlineStr">
        <is>
          <t>:</t>
        </is>
      </c>
      <c r="E87" s="0" t="inlineStr">
        <is>
          <t>Mini</t>
        </is>
      </c>
      <c r="F87" s="0" t="inlineStr">
        <is>
          <t>(5,</t>
        </is>
      </c>
      <c r="G87" s="0" t="inlineStr">
        <is>
          <t>24)</t>
        </is>
      </c>
    </row>
    <row r="88">
      <c r="A88" s="0" t="inlineStr">
        <is>
          <t>New</t>
        </is>
      </c>
      <c r="B88" s="0" t="inlineStr">
        <is>
          <t>Item</t>
        </is>
      </c>
      <c r="C88" s="0" t="inlineStr">
        <is>
          <t>Acquired</t>
        </is>
      </c>
      <c r="D88" s="0" t="inlineStr">
        <is>
          <t>:</t>
        </is>
      </c>
      <c r="E88" s="0" t="inlineStr">
        <is>
          <t>75.00K</t>
        </is>
      </c>
      <c r="F88" s="0" t="inlineStr">
        <is>
          <t>(4,</t>
        </is>
      </c>
      <c r="G88" s="0" t="inlineStr">
        <is>
          <t>18)</t>
        </is>
      </c>
    </row>
    <row r="89">
      <c r="A89" s="0" t="inlineStr">
        <is>
          <t>New</t>
        </is>
      </c>
      <c r="B89" s="0" t="inlineStr">
        <is>
          <t>Item</t>
        </is>
      </c>
      <c r="C89" s="0" t="inlineStr">
        <is>
          <t>Acquired</t>
        </is>
      </c>
      <c r="D89" s="0" t="inlineStr">
        <is>
          <t>:</t>
        </is>
      </c>
      <c r="E89" s="0" t="inlineStr">
        <is>
          <t>157.50K</t>
        </is>
      </c>
      <c r="F89" s="0" t="inlineStr">
        <is>
          <t>(5,</t>
        </is>
      </c>
      <c r="G89" s="0" t="inlineStr">
        <is>
          <t>6)</t>
        </is>
      </c>
    </row>
    <row r="90">
      <c r="A90" s="0" t="inlineStr">
        <is>
          <t>New</t>
        </is>
      </c>
      <c r="B90" s="0" t="inlineStr">
        <is>
          <t>Item</t>
        </is>
      </c>
      <c r="C90" s="0" t="inlineStr">
        <is>
          <t>Acquired</t>
        </is>
      </c>
      <c r="D90" s="0" t="inlineStr">
        <is>
          <t>:</t>
        </is>
      </c>
      <c r="E90" s="0" t="inlineStr">
        <is>
          <t>125.00K</t>
        </is>
      </c>
      <c r="F90" s="0" t="inlineStr">
        <is>
          <t>(6,</t>
        </is>
      </c>
      <c r="G90" s="0" t="inlineStr">
        <is>
          <t>7)</t>
        </is>
      </c>
    </row>
    <row r="91">
      <c r="A91" s="0" t="inlineStr">
        <is>
          <t>Line</t>
        </is>
      </c>
      <c r="B91" s="0" t="inlineStr">
        <is>
          <t>Prize</t>
        </is>
      </c>
      <c r="C91" s="0" t="inlineStr">
        <is>
          <t>Acquired</t>
        </is>
      </c>
      <c r="D91" s="0" t="inlineStr">
        <is>
          <t>:</t>
        </is>
      </c>
      <c r="E91" s="0" t="inlineStr">
        <is>
          <t>725.00K</t>
        </is>
      </c>
      <c r="F91" s="0" t="inlineStr">
        <is>
          <t>(Stage</t>
        </is>
      </c>
      <c r="G91" s="0" t="inlineStr">
        <is>
          <t>:</t>
        </is>
      </c>
      <c r="H91" s="0" t="inlineStr">
        <is>
          <t>6)</t>
        </is>
      </c>
      <c r="I91" s="0" t="inlineStr">
        <is>
          <t>-</t>
        </is>
      </c>
      <c r="J91" s="0" t="n">
        <v>725000</v>
      </c>
    </row>
    <row r="92">
      <c r="A92" s="0" t="inlineStr">
        <is>
          <t>Clear</t>
        </is>
      </c>
      <c r="B92" s="0" t="inlineStr">
        <is>
          <t>Gem</t>
        </is>
      </c>
      <c r="C92" s="0" t="inlineStr">
        <is>
          <t>Acquired</t>
        </is>
      </c>
      <c r="D92" s="0" t="inlineStr">
        <is>
          <t>:</t>
        </is>
      </c>
      <c r="E92" s="0" t="n">
        <v>300</v>
      </c>
      <c r="F92" s="0" t="inlineStr">
        <is>
          <t>-&gt;</t>
        </is>
      </c>
      <c r="G92" s="0" t="n">
        <v>400</v>
      </c>
      <c r="H92" s="0" t="inlineStr">
        <is>
          <t>(Stage</t>
        </is>
      </c>
      <c r="I92" s="0" t="inlineStr">
        <is>
          <t>:</t>
        </is>
      </c>
      <c r="J92" s="0" t="inlineStr">
        <is>
          <t>6)</t>
        </is>
      </c>
    </row>
    <row r="93">
      <c r="A93" s="0" t="inlineStr">
        <is>
          <t>New</t>
        </is>
      </c>
      <c r="B93" s="0" t="inlineStr">
        <is>
          <t>Item</t>
        </is>
      </c>
      <c r="C93" s="0" t="inlineStr">
        <is>
          <t>Acquired</t>
        </is>
      </c>
      <c r="D93" s="0" t="inlineStr">
        <is>
          <t>:</t>
        </is>
      </c>
      <c r="E93" s="0" t="inlineStr">
        <is>
          <t>105.00K</t>
        </is>
      </c>
      <c r="F93" s="0" t="inlineStr">
        <is>
          <t>(4,</t>
        </is>
      </c>
      <c r="G93" s="0" t="inlineStr">
        <is>
          <t>22)</t>
        </is>
      </c>
    </row>
    <row r="94">
      <c r="A94" s="0" t="inlineStr">
        <is>
          <t>New</t>
        </is>
      </c>
      <c r="B94" s="0" t="inlineStr">
        <is>
          <t>Item</t>
        </is>
      </c>
      <c r="C94" s="0" t="inlineStr">
        <is>
          <t>Acquired</t>
        </is>
      </c>
      <c r="D94" s="0" t="inlineStr">
        <is>
          <t>:</t>
        </is>
      </c>
      <c r="E94" s="0" t="inlineStr">
        <is>
          <t>75.00K</t>
        </is>
      </c>
      <c r="F94" s="0" t="inlineStr">
        <is>
          <t>(6,</t>
        </is>
      </c>
      <c r="G94" s="0" t="inlineStr">
        <is>
          <t>24)</t>
        </is>
      </c>
    </row>
    <row r="95">
      <c r="A95" s="0" t="inlineStr">
        <is>
          <t>New</t>
        </is>
      </c>
      <c r="B95" s="0" t="inlineStr">
        <is>
          <t>Item</t>
        </is>
      </c>
      <c r="C95" s="0" t="inlineStr">
        <is>
          <t>Acquired</t>
        </is>
      </c>
      <c r="D95" s="0" t="inlineStr">
        <is>
          <t>:</t>
        </is>
      </c>
      <c r="E95" s="0" t="inlineStr">
        <is>
          <t>67.50K</t>
        </is>
      </c>
      <c r="F95" s="0" t="inlineStr">
        <is>
          <t>(5,</t>
        </is>
      </c>
      <c r="G95" s="0" t="inlineStr">
        <is>
          <t>20)</t>
        </is>
      </c>
    </row>
    <row r="96">
      <c r="A96" s="0" t="inlineStr">
        <is>
          <t>New</t>
        </is>
      </c>
      <c r="B96" s="0" t="inlineStr">
        <is>
          <t>Item</t>
        </is>
      </c>
      <c r="C96" s="0" t="inlineStr">
        <is>
          <t>Acquired</t>
        </is>
      </c>
      <c r="D96" s="0" t="inlineStr">
        <is>
          <t>:</t>
        </is>
      </c>
      <c r="E96" s="0" t="inlineStr">
        <is>
          <t>67.50K</t>
        </is>
      </c>
      <c r="F96" s="0" t="inlineStr">
        <is>
          <t>(5,</t>
        </is>
      </c>
      <c r="G96" s="0" t="inlineStr">
        <is>
          <t>1)</t>
        </is>
      </c>
    </row>
    <row r="97">
      <c r="A97" s="0" t="inlineStr">
        <is>
          <t>New</t>
        </is>
      </c>
      <c r="B97" s="0" t="inlineStr">
        <is>
          <t>Item</t>
        </is>
      </c>
      <c r="C97" s="0" t="inlineStr">
        <is>
          <t>Acquired</t>
        </is>
      </c>
      <c r="D97" s="0" t="inlineStr">
        <is>
          <t>:</t>
        </is>
      </c>
      <c r="E97" s="0" t="inlineStr">
        <is>
          <t>62.50K</t>
        </is>
      </c>
      <c r="F97" s="0" t="inlineStr">
        <is>
          <t>(2,</t>
        </is>
      </c>
      <c r="G97" s="0" t="inlineStr">
        <is>
          <t>24)</t>
        </is>
      </c>
    </row>
    <row r="98">
      <c r="A98" s="0" t="inlineStr">
        <is>
          <t>New</t>
        </is>
      </c>
      <c r="B98" s="0" t="inlineStr">
        <is>
          <t>Item</t>
        </is>
      </c>
      <c r="C98" s="0" t="inlineStr">
        <is>
          <t>Acquired</t>
        </is>
      </c>
      <c r="D98" s="0" t="inlineStr">
        <is>
          <t>:</t>
        </is>
      </c>
      <c r="E98" s="0" t="inlineStr">
        <is>
          <t>125.00K</t>
        </is>
      </c>
      <c r="F98" s="0" t="inlineStr">
        <is>
          <t>(6,</t>
        </is>
      </c>
      <c r="G98" s="0" t="inlineStr">
        <is>
          <t>19)</t>
        </is>
      </c>
    </row>
    <row r="99">
      <c r="A99" s="0" t="inlineStr">
        <is>
          <t>New</t>
        </is>
      </c>
      <c r="B99" s="0" t="inlineStr">
        <is>
          <t>Item</t>
        </is>
      </c>
      <c r="C99" s="0" t="inlineStr">
        <is>
          <t>Acquired</t>
        </is>
      </c>
      <c r="D99" s="0" t="inlineStr">
        <is>
          <t>:</t>
        </is>
      </c>
      <c r="E99" s="0" t="inlineStr">
        <is>
          <t>112.50K</t>
        </is>
      </c>
      <c r="F99" s="0" t="inlineStr">
        <is>
          <t>(5,</t>
        </is>
      </c>
      <c r="G99" s="0" t="inlineStr">
        <is>
          <t>17)</t>
        </is>
      </c>
    </row>
    <row r="100">
      <c r="A100" s="0" t="inlineStr">
        <is>
          <t>New</t>
        </is>
      </c>
      <c r="B100" s="0" t="inlineStr">
        <is>
          <t>Item</t>
        </is>
      </c>
      <c r="C100" s="0" t="inlineStr">
        <is>
          <t>Acquired</t>
        </is>
      </c>
      <c r="D100" s="0" t="inlineStr">
        <is>
          <t>:</t>
        </is>
      </c>
      <c r="E100" s="0" t="inlineStr">
        <is>
          <t>175.00K</t>
        </is>
      </c>
      <c r="F100" s="0" t="inlineStr">
        <is>
          <t>(6,</t>
        </is>
      </c>
      <c r="G100" s="0" t="inlineStr">
        <is>
          <t>16)</t>
        </is>
      </c>
    </row>
    <row r="101">
      <c r="A101" s="0" t="inlineStr">
        <is>
          <t>New</t>
        </is>
      </c>
      <c r="B101" s="0" t="inlineStr">
        <is>
          <t>Item</t>
        </is>
      </c>
      <c r="C101" s="0" t="inlineStr">
        <is>
          <t>Acquired</t>
        </is>
      </c>
      <c r="D101" s="0" t="inlineStr">
        <is>
          <t>:</t>
        </is>
      </c>
      <c r="E101" s="0" t="inlineStr">
        <is>
          <t>105.00K</t>
        </is>
      </c>
      <c r="F101" s="0" t="inlineStr">
        <is>
          <t>(4,</t>
        </is>
      </c>
      <c r="G101" s="0" t="inlineStr">
        <is>
          <t>16)</t>
        </is>
      </c>
    </row>
    <row r="102">
      <c r="A102" s="0" t="inlineStr">
        <is>
          <t>New</t>
        </is>
      </c>
      <c r="B102" s="0" t="inlineStr">
        <is>
          <t>Item</t>
        </is>
      </c>
      <c r="C102" s="0" t="inlineStr">
        <is>
          <t>Acquired</t>
        </is>
      </c>
      <c r="D102" s="0" t="inlineStr">
        <is>
          <t>:</t>
        </is>
      </c>
      <c r="E102" s="0" t="inlineStr">
        <is>
          <t>75.00K</t>
        </is>
      </c>
      <c r="F102" s="0" t="inlineStr">
        <is>
          <t>(6,</t>
        </is>
      </c>
      <c r="G102" s="0" t="inlineStr">
        <is>
          <t>10)</t>
        </is>
      </c>
    </row>
    <row r="103">
      <c r="A103" s="0" t="inlineStr">
        <is>
          <t>New</t>
        </is>
      </c>
      <c r="B103" s="0" t="inlineStr">
        <is>
          <t>Item</t>
        </is>
      </c>
      <c r="C103" s="0" t="inlineStr">
        <is>
          <t>Acquired</t>
        </is>
      </c>
      <c r="D103" s="0" t="inlineStr">
        <is>
          <t>:</t>
        </is>
      </c>
      <c r="E103" s="0" t="inlineStr">
        <is>
          <t>105.00K</t>
        </is>
      </c>
      <c r="F103" s="0" t="inlineStr">
        <is>
          <t>(4,</t>
        </is>
      </c>
      <c r="G103" s="0" t="inlineStr">
        <is>
          <t>6)</t>
        </is>
      </c>
    </row>
    <row r="104">
      <c r="A104" s="0" t="inlineStr">
        <is>
          <t>New</t>
        </is>
      </c>
      <c r="B104" s="0" t="inlineStr">
        <is>
          <t>Item</t>
        </is>
      </c>
      <c r="C104" s="0" t="inlineStr">
        <is>
          <t>Acquired</t>
        </is>
      </c>
      <c r="D104" s="0" t="inlineStr">
        <is>
          <t>:</t>
        </is>
      </c>
      <c r="E104" s="0" t="inlineStr">
        <is>
          <t>200.00K</t>
        </is>
      </c>
      <c r="F104" s="0" t="inlineStr">
        <is>
          <t>(8,</t>
        </is>
      </c>
      <c r="G104" s="0" t="inlineStr">
        <is>
          <t>10)</t>
        </is>
      </c>
    </row>
    <row r="105">
      <c r="A105" s="0" t="inlineStr">
        <is>
          <t>New</t>
        </is>
      </c>
      <c r="B105" s="0" t="inlineStr">
        <is>
          <t>Item</t>
        </is>
      </c>
      <c r="C105" s="0" t="inlineStr">
        <is>
          <t>Acquired</t>
        </is>
      </c>
      <c r="D105" s="0" t="inlineStr">
        <is>
          <t>:</t>
        </is>
      </c>
      <c r="E105" s="0" t="inlineStr">
        <is>
          <t>60.00K</t>
        </is>
      </c>
      <c r="F105" s="0" t="inlineStr">
        <is>
          <t>(4,</t>
        </is>
      </c>
      <c r="G105" s="0" t="inlineStr">
        <is>
          <t>10)</t>
        </is>
      </c>
    </row>
    <row r="106">
      <c r="A106" s="0" t="inlineStr">
        <is>
          <t>New</t>
        </is>
      </c>
      <c r="B106" s="0" t="inlineStr">
        <is>
          <t>Item</t>
        </is>
      </c>
      <c r="C106" s="0" t="inlineStr">
        <is>
          <t>Acquired</t>
        </is>
      </c>
      <c r="D106" s="0" t="inlineStr">
        <is>
          <t>:</t>
        </is>
      </c>
      <c r="E106" s="0" t="inlineStr">
        <is>
          <t>60.00K</t>
        </is>
      </c>
      <c r="F106" s="0" t="inlineStr">
        <is>
          <t>(4,</t>
        </is>
      </c>
      <c r="G106" s="0" t="inlineStr">
        <is>
          <t>15)</t>
        </is>
      </c>
    </row>
    <row r="107">
      <c r="A107" s="0" t="inlineStr">
        <is>
          <t>New</t>
        </is>
      </c>
      <c r="B107" s="0" t="inlineStr">
        <is>
          <t>Item</t>
        </is>
      </c>
      <c r="C107" s="0" t="inlineStr">
        <is>
          <t>Acquired</t>
        </is>
      </c>
      <c r="D107" s="0" t="inlineStr">
        <is>
          <t>:</t>
        </is>
      </c>
      <c r="E107" s="0" t="inlineStr">
        <is>
          <t>75.00K</t>
        </is>
      </c>
      <c r="F107" s="0" t="inlineStr">
        <is>
          <t>(6,</t>
        </is>
      </c>
      <c r="G107" s="0" t="inlineStr">
        <is>
          <t>23)</t>
        </is>
      </c>
    </row>
    <row r="108">
      <c r="A108" s="0" t="inlineStr">
        <is>
          <t>New</t>
        </is>
      </c>
      <c r="B108" s="0" t="inlineStr">
        <is>
          <t>Item</t>
        </is>
      </c>
      <c r="C108" s="0" t="inlineStr">
        <is>
          <t>Acquired</t>
        </is>
      </c>
      <c r="D108" s="0" t="inlineStr">
        <is>
          <t>:</t>
        </is>
      </c>
      <c r="E108" s="0" t="inlineStr">
        <is>
          <t>75.00K</t>
        </is>
      </c>
      <c r="F108" s="0" t="inlineStr">
        <is>
          <t>(4,</t>
        </is>
      </c>
      <c r="G108" s="0" t="inlineStr">
        <is>
          <t>12)</t>
        </is>
      </c>
    </row>
    <row r="109">
      <c r="A109" s="0" t="inlineStr">
        <is>
          <t>New</t>
        </is>
      </c>
      <c r="B109" s="0" t="inlineStr">
        <is>
          <t>Item</t>
        </is>
      </c>
      <c r="C109" s="0" t="inlineStr">
        <is>
          <t>Acquired</t>
        </is>
      </c>
      <c r="D109" s="0" t="inlineStr">
        <is>
          <t>:</t>
        </is>
      </c>
      <c r="E109" s="0" t="inlineStr">
        <is>
          <t>150.00K</t>
        </is>
      </c>
      <c r="F109" s="0" t="inlineStr">
        <is>
          <t>(7,</t>
        </is>
      </c>
      <c r="G109" s="0" t="inlineStr">
        <is>
          <t>15)</t>
        </is>
      </c>
    </row>
    <row r="110">
      <c r="A110" s="0" t="inlineStr">
        <is>
          <t>New</t>
        </is>
      </c>
      <c r="B110" s="0" t="inlineStr">
        <is>
          <t>Item</t>
        </is>
      </c>
      <c r="C110" s="0" t="inlineStr">
        <is>
          <t>Acquired</t>
        </is>
      </c>
      <c r="D110" s="0" t="inlineStr">
        <is>
          <t>:</t>
        </is>
      </c>
      <c r="E110" s="0" t="inlineStr">
        <is>
          <t>67.50K</t>
        </is>
      </c>
      <c r="F110" s="0" t="inlineStr">
        <is>
          <t>(5,</t>
        </is>
      </c>
      <c r="G110" s="0" t="inlineStr">
        <is>
          <t>21)</t>
        </is>
      </c>
    </row>
    <row r="111">
      <c r="A111" s="0" t="inlineStr">
        <is>
          <t>New</t>
        </is>
      </c>
      <c r="B111" s="0" t="inlineStr">
        <is>
          <t>Item</t>
        </is>
      </c>
      <c r="C111" s="0" t="inlineStr">
        <is>
          <t>Acquired</t>
        </is>
      </c>
      <c r="D111" s="0" t="inlineStr">
        <is>
          <t>:</t>
        </is>
      </c>
      <c r="E111" s="0" t="inlineStr">
        <is>
          <t>280.00K</t>
        </is>
      </c>
      <c r="F111" s="0" t="inlineStr">
        <is>
          <t>(8,</t>
        </is>
      </c>
      <c r="G111" s="0" t="inlineStr">
        <is>
          <t>22)</t>
        </is>
      </c>
    </row>
    <row r="112">
      <c r="A112" s="0" t="inlineStr">
        <is>
          <t>New</t>
        </is>
      </c>
      <c r="B112" s="0" t="inlineStr">
        <is>
          <t>Item</t>
        </is>
      </c>
      <c r="C112" s="0" t="inlineStr">
        <is>
          <t>Acquired</t>
        </is>
      </c>
      <c r="D112" s="0" t="inlineStr">
        <is>
          <t>:</t>
        </is>
      </c>
      <c r="E112" s="0" t="inlineStr">
        <is>
          <t>125.00K</t>
        </is>
      </c>
      <c r="F112" s="0" t="inlineStr">
        <is>
          <t>(6,</t>
        </is>
      </c>
      <c r="G112" s="0" t="inlineStr">
        <is>
          <t>1)</t>
        </is>
      </c>
    </row>
    <row r="113">
      <c r="A113" s="0" t="inlineStr">
        <is>
          <t>New</t>
        </is>
      </c>
      <c r="B113" s="0" t="inlineStr">
        <is>
          <t>Item</t>
        </is>
      </c>
      <c r="C113" s="0" t="inlineStr">
        <is>
          <t>Acquired</t>
        </is>
      </c>
      <c r="D113" s="0" t="inlineStr">
        <is>
          <t>:</t>
        </is>
      </c>
      <c r="E113" s="0" t="inlineStr">
        <is>
          <t>75.00K</t>
        </is>
      </c>
      <c r="F113" s="0" t="inlineStr">
        <is>
          <t>(6,</t>
        </is>
      </c>
      <c r="G113" s="0" t="inlineStr">
        <is>
          <t>5)</t>
        </is>
      </c>
    </row>
    <row r="114">
      <c r="A114" s="0" t="inlineStr">
        <is>
          <t>New</t>
        </is>
      </c>
      <c r="B114" s="0" t="inlineStr">
        <is>
          <t>Item</t>
        </is>
      </c>
      <c r="C114" s="0" t="inlineStr">
        <is>
          <t>Acquired</t>
        </is>
      </c>
      <c r="D114" s="0" t="inlineStr">
        <is>
          <t>:</t>
        </is>
      </c>
      <c r="E114" s="0" t="inlineStr">
        <is>
          <t>75.00K</t>
        </is>
      </c>
      <c r="F114" s="0" t="inlineStr">
        <is>
          <t>(6,</t>
        </is>
      </c>
      <c r="G114" s="0" t="inlineStr">
        <is>
          <t>6)</t>
        </is>
      </c>
    </row>
    <row r="115">
      <c r="A115" s="0" t="inlineStr">
        <is>
          <t>New</t>
        </is>
      </c>
      <c r="B115" s="0" t="inlineStr">
        <is>
          <t>Item</t>
        </is>
      </c>
      <c r="C115" s="0" t="inlineStr">
        <is>
          <t>Acquired</t>
        </is>
      </c>
      <c r="D115" s="0" t="inlineStr">
        <is>
          <t>:</t>
        </is>
      </c>
      <c r="E115" s="0" t="inlineStr">
        <is>
          <t>105.00K</t>
        </is>
      </c>
      <c r="F115" s="0" t="inlineStr">
        <is>
          <t>(4,</t>
        </is>
      </c>
      <c r="G115" s="0" t="inlineStr">
        <is>
          <t>7)</t>
        </is>
      </c>
    </row>
    <row r="116">
      <c r="A116" s="0" t="inlineStr">
        <is>
          <t>Line</t>
        </is>
      </c>
      <c r="B116" s="0" t="inlineStr">
        <is>
          <t>Prize</t>
        </is>
      </c>
      <c r="C116" s="0" t="inlineStr">
        <is>
          <t>Acquired</t>
        </is>
      </c>
      <c r="D116" s="0" t="inlineStr">
        <is>
          <t>:</t>
        </is>
      </c>
      <c r="E116" s="0" t="inlineStr">
        <is>
          <t>1.27M</t>
        </is>
      </c>
      <c r="F116" s="0" t="inlineStr">
        <is>
          <t>(Stage</t>
        </is>
      </c>
      <c r="G116" s="0" t="inlineStr">
        <is>
          <t>:</t>
        </is>
      </c>
      <c r="H116" s="0" t="inlineStr">
        <is>
          <t>4)</t>
        </is>
      </c>
      <c r="I116" s="0" t="inlineStr">
        <is>
          <t>-</t>
        </is>
      </c>
      <c r="J116" s="0" t="n">
        <v>1270000</v>
      </c>
    </row>
    <row r="117">
      <c r="A117" s="0" t="inlineStr">
        <is>
          <t>Clear</t>
        </is>
      </c>
      <c r="B117" s="0" t="inlineStr">
        <is>
          <t>Gem</t>
        </is>
      </c>
      <c r="C117" s="0" t="inlineStr">
        <is>
          <t>Acquired</t>
        </is>
      </c>
      <c r="D117" s="0" t="inlineStr">
        <is>
          <t>:</t>
        </is>
      </c>
      <c r="E117" s="0" t="n">
        <v>400</v>
      </c>
      <c r="F117" s="0" t="inlineStr">
        <is>
          <t>-&gt;</t>
        </is>
      </c>
      <c r="G117" s="0" t="n">
        <v>500</v>
      </c>
      <c r="H117" s="0" t="inlineStr">
        <is>
          <t>(Stage</t>
        </is>
      </c>
      <c r="I117" s="0" t="inlineStr">
        <is>
          <t>:</t>
        </is>
      </c>
      <c r="J117" s="0" t="inlineStr">
        <is>
          <t>4)</t>
        </is>
      </c>
    </row>
    <row r="118">
      <c r="A118" s="0" t="inlineStr">
        <is>
          <t>New</t>
        </is>
      </c>
      <c r="B118" s="0" t="inlineStr">
        <is>
          <t>Item</t>
        </is>
      </c>
      <c r="C118" s="0" t="inlineStr">
        <is>
          <t>Acquired</t>
        </is>
      </c>
      <c r="D118" s="0" t="inlineStr">
        <is>
          <t>:</t>
        </is>
      </c>
      <c r="E118" s="0" t="inlineStr">
        <is>
          <t>175.00K</t>
        </is>
      </c>
      <c r="F118" s="0" t="inlineStr">
        <is>
          <t>(6,</t>
        </is>
      </c>
      <c r="G118" s="0" t="inlineStr">
        <is>
          <t>21)</t>
        </is>
      </c>
    </row>
    <row r="119">
      <c r="A119" s="0" t="inlineStr">
        <is>
          <t>New</t>
        </is>
      </c>
      <c r="B119" s="0" t="inlineStr">
        <is>
          <t>Item</t>
        </is>
      </c>
      <c r="C119" s="0" t="inlineStr">
        <is>
          <t>Acquired</t>
        </is>
      </c>
      <c r="D119" s="0" t="inlineStr">
        <is>
          <t>:</t>
        </is>
      </c>
      <c r="E119" s="0" t="inlineStr">
        <is>
          <t>45.00K</t>
        </is>
      </c>
      <c r="F119" s="0" t="inlineStr">
        <is>
          <t>(3,</t>
        </is>
      </c>
      <c r="G119" s="0" t="inlineStr">
        <is>
          <t>15)</t>
        </is>
      </c>
    </row>
    <row r="120">
      <c r="A120" s="0" t="inlineStr">
        <is>
          <t>New</t>
        </is>
      </c>
      <c r="B120" s="0" t="inlineStr">
        <is>
          <t>Item</t>
        </is>
      </c>
      <c r="C120" s="0" t="inlineStr">
        <is>
          <t>Acquired</t>
        </is>
      </c>
      <c r="D120" s="0" t="inlineStr">
        <is>
          <t>:</t>
        </is>
      </c>
      <c r="E120" s="0" t="inlineStr">
        <is>
          <t>Mini</t>
        </is>
      </c>
      <c r="F120" s="0" t="inlineStr">
        <is>
          <t>(4,</t>
        </is>
      </c>
      <c r="G120" s="0" t="inlineStr">
        <is>
          <t>9)</t>
        </is>
      </c>
    </row>
    <row r="121">
      <c r="A121" s="0" t="inlineStr">
        <is>
          <t>New</t>
        </is>
      </c>
      <c r="B121" s="0" t="inlineStr">
        <is>
          <t>Item</t>
        </is>
      </c>
      <c r="C121" s="0" t="inlineStr">
        <is>
          <t>Acquired</t>
        </is>
      </c>
      <c r="D121" s="0" t="inlineStr">
        <is>
          <t>:</t>
        </is>
      </c>
      <c r="E121" s="0" t="inlineStr">
        <is>
          <t>112.50K</t>
        </is>
      </c>
      <c r="F121" s="0" t="inlineStr">
        <is>
          <t>(5,</t>
        </is>
      </c>
      <c r="G121" s="0" t="inlineStr">
        <is>
          <t>16)</t>
        </is>
      </c>
    </row>
    <row r="122">
      <c r="A122" s="0" t="inlineStr">
        <is>
          <t>New</t>
        </is>
      </c>
      <c r="B122" s="0" t="inlineStr">
        <is>
          <t>Item</t>
        </is>
      </c>
      <c r="C122" s="0" t="inlineStr">
        <is>
          <t>Acquired</t>
        </is>
      </c>
      <c r="D122" s="0" t="inlineStr">
        <is>
          <t>:</t>
        </is>
      </c>
      <c r="E122" s="0" t="inlineStr">
        <is>
          <t>75.00K</t>
        </is>
      </c>
      <c r="F122" s="0" t="inlineStr">
        <is>
          <t>(4,</t>
        </is>
      </c>
      <c r="G122" s="0" t="inlineStr">
        <is>
          <t>20)</t>
        </is>
      </c>
    </row>
    <row r="123">
      <c r="A123" s="0" t="inlineStr">
        <is>
          <t>New</t>
        </is>
      </c>
      <c r="B123" s="0" t="inlineStr">
        <is>
          <t>Item</t>
        </is>
      </c>
      <c r="C123" s="0" t="inlineStr">
        <is>
          <t>Acquired</t>
        </is>
      </c>
      <c r="D123" s="0" t="inlineStr">
        <is>
          <t>:</t>
        </is>
      </c>
      <c r="E123" s="0" t="inlineStr">
        <is>
          <t>70.00K</t>
        </is>
      </c>
      <c r="F123" s="0" t="inlineStr">
        <is>
          <t>(1,</t>
        </is>
      </c>
      <c r="G123" s="0" t="inlineStr">
        <is>
          <t>18)</t>
        </is>
      </c>
    </row>
    <row r="124">
      <c r="A124" s="0" t="inlineStr">
        <is>
          <t>New</t>
        </is>
      </c>
      <c r="B124" s="0" t="inlineStr">
        <is>
          <t>Item</t>
        </is>
      </c>
      <c r="C124" s="0" t="inlineStr">
        <is>
          <t>Acquired</t>
        </is>
      </c>
      <c r="D124" s="0" t="inlineStr">
        <is>
          <t>:</t>
        </is>
      </c>
      <c r="E124" s="0" t="inlineStr">
        <is>
          <t>125.00K</t>
        </is>
      </c>
      <c r="F124" s="0" t="inlineStr">
        <is>
          <t>(6,</t>
        </is>
      </c>
      <c r="G124" s="0" t="inlineStr">
        <is>
          <t>20)</t>
        </is>
      </c>
    </row>
    <row r="125">
      <c r="A125" s="0" t="inlineStr">
        <is>
          <t>New</t>
        </is>
      </c>
      <c r="B125" s="0" t="inlineStr">
        <is>
          <t>Item</t>
        </is>
      </c>
      <c r="C125" s="0" t="inlineStr">
        <is>
          <t>Acquired</t>
        </is>
      </c>
      <c r="D125" s="0" t="inlineStr">
        <is>
          <t>:</t>
        </is>
      </c>
      <c r="E125" s="0" t="inlineStr">
        <is>
          <t>280.00K</t>
        </is>
      </c>
      <c r="F125" s="0" t="inlineStr">
        <is>
          <t>(8,</t>
        </is>
      </c>
      <c r="G125" s="0" t="inlineStr">
        <is>
          <t>25)</t>
        </is>
      </c>
    </row>
    <row r="126">
      <c r="A126" s="0" t="inlineStr">
        <is>
          <t>New</t>
        </is>
      </c>
      <c r="B126" s="0" t="inlineStr">
        <is>
          <t>Item</t>
        </is>
      </c>
      <c r="C126" s="0" t="inlineStr">
        <is>
          <t>Acquired</t>
        </is>
      </c>
      <c r="D126" s="0" t="inlineStr">
        <is>
          <t>:</t>
        </is>
      </c>
      <c r="E126" s="0" t="inlineStr">
        <is>
          <t>87.50K</t>
        </is>
      </c>
      <c r="F126" s="0" t="inlineStr">
        <is>
          <t>(2,</t>
        </is>
      </c>
      <c r="G126" s="0" t="inlineStr">
        <is>
          <t>4)</t>
        </is>
      </c>
    </row>
    <row r="127">
      <c r="A127" s="0" t="inlineStr">
        <is>
          <t>New</t>
        </is>
      </c>
      <c r="B127" s="0" t="inlineStr">
        <is>
          <t>Item</t>
        </is>
      </c>
      <c r="C127" s="0" t="inlineStr">
        <is>
          <t>Acquired</t>
        </is>
      </c>
      <c r="D127" s="0" t="inlineStr">
        <is>
          <t>:</t>
        </is>
      </c>
      <c r="E127" s="0" t="inlineStr">
        <is>
          <t>45.00K</t>
        </is>
      </c>
      <c r="F127" s="0" t="inlineStr">
        <is>
          <t>(3,</t>
        </is>
      </c>
      <c r="G127" s="0" t="inlineStr">
        <is>
          <t>18)</t>
        </is>
      </c>
    </row>
    <row r="128">
      <c r="A128" s="0" t="inlineStr">
        <is>
          <t>New</t>
        </is>
      </c>
      <c r="B128" s="0" t="inlineStr">
        <is>
          <t>Item</t>
        </is>
      </c>
      <c r="C128" s="0" t="inlineStr">
        <is>
          <t>Acquired</t>
        </is>
      </c>
      <c r="D128" s="0" t="inlineStr">
        <is>
          <t>:</t>
        </is>
      </c>
      <c r="E128" s="0" t="inlineStr">
        <is>
          <t>62.50K</t>
        </is>
      </c>
      <c r="F128" s="0" t="inlineStr">
        <is>
          <t>(2,</t>
        </is>
      </c>
      <c r="G128" s="0" t="inlineStr">
        <is>
          <t>17)</t>
        </is>
      </c>
    </row>
    <row r="129">
      <c r="A129" s="0" t="inlineStr">
        <is>
          <t>New</t>
        </is>
      </c>
      <c r="B129" s="0" t="inlineStr">
        <is>
          <t>Item</t>
        </is>
      </c>
      <c r="C129" s="0" t="inlineStr">
        <is>
          <t>Acquired</t>
        </is>
      </c>
      <c r="D129" s="0" t="inlineStr">
        <is>
          <t>:</t>
        </is>
      </c>
      <c r="E129" s="0" t="inlineStr">
        <is>
          <t>75.00K</t>
        </is>
      </c>
      <c r="F129" s="0" t="inlineStr">
        <is>
          <t>(6,</t>
        </is>
      </c>
      <c r="G129" s="0" t="inlineStr">
        <is>
          <t>11)</t>
        </is>
      </c>
    </row>
    <row r="130">
      <c r="A130" s="0" t="inlineStr">
        <is>
          <t>Line</t>
        </is>
      </c>
      <c r="B130" s="0" t="inlineStr">
        <is>
          <t>Prize</t>
        </is>
      </c>
      <c r="C130" s="0" t="inlineStr">
        <is>
          <t>Acquired</t>
        </is>
      </c>
      <c r="D130" s="0" t="inlineStr">
        <is>
          <t>:</t>
        </is>
      </c>
      <c r="E130" s="0" t="inlineStr">
        <is>
          <t>625.00K</t>
        </is>
      </c>
      <c r="F130" s="0" t="inlineStr">
        <is>
          <t>(Stage</t>
        </is>
      </c>
      <c r="G130" s="0" t="inlineStr">
        <is>
          <t>:</t>
        </is>
      </c>
      <c r="H130" s="0" t="inlineStr">
        <is>
          <t>6)</t>
        </is>
      </c>
      <c r="I130" s="0" t="inlineStr">
        <is>
          <t>-</t>
        </is>
      </c>
      <c r="J130" s="0" t="n">
        <v>625000</v>
      </c>
    </row>
    <row r="131">
      <c r="A131" s="0" t="inlineStr">
        <is>
          <t>Clear</t>
        </is>
      </c>
      <c r="B131" s="0" t="inlineStr">
        <is>
          <t>Gem</t>
        </is>
      </c>
      <c r="C131" s="0" t="inlineStr">
        <is>
          <t>Acquired</t>
        </is>
      </c>
      <c r="D131" s="0" t="inlineStr">
        <is>
          <t>:</t>
        </is>
      </c>
      <c r="E131" s="0" t="n">
        <v>500</v>
      </c>
      <c r="F131" s="0" t="inlineStr">
        <is>
          <t>-&gt;</t>
        </is>
      </c>
      <c r="G131" s="0" t="n">
        <v>600</v>
      </c>
      <c r="H131" s="0" t="inlineStr">
        <is>
          <t>(Stage</t>
        </is>
      </c>
      <c r="I131" s="0" t="inlineStr">
        <is>
          <t>:</t>
        </is>
      </c>
      <c r="J131" s="0" t="inlineStr">
        <is>
          <t>6)</t>
        </is>
      </c>
    </row>
    <row r="132">
      <c r="A132" s="0" t="inlineStr">
        <is>
          <t>New</t>
        </is>
      </c>
      <c r="B132" s="0" t="inlineStr">
        <is>
          <t>Item</t>
        </is>
      </c>
      <c r="C132" s="0" t="inlineStr">
        <is>
          <t>Acquired</t>
        </is>
      </c>
      <c r="D132" s="0" t="inlineStr">
        <is>
          <t>:</t>
        </is>
      </c>
      <c r="E132" s="0" t="inlineStr">
        <is>
          <t>112.50K</t>
        </is>
      </c>
      <c r="F132" s="0" t="inlineStr">
        <is>
          <t>(5,</t>
        </is>
      </c>
      <c r="G132" s="0" t="inlineStr">
        <is>
          <t>10)</t>
        </is>
      </c>
    </row>
    <row r="133">
      <c r="A133" s="0" t="inlineStr">
        <is>
          <t>New</t>
        </is>
      </c>
      <c r="B133" s="0" t="inlineStr">
        <is>
          <t>Item</t>
        </is>
      </c>
      <c r="C133" s="0" t="inlineStr">
        <is>
          <t>Acquired</t>
        </is>
      </c>
      <c r="D133" s="0" t="inlineStr">
        <is>
          <t>:</t>
        </is>
      </c>
      <c r="E133" s="0" t="inlineStr">
        <is>
          <t>112.50K</t>
        </is>
      </c>
      <c r="F133" s="0" t="inlineStr">
        <is>
          <t>(5,</t>
        </is>
      </c>
      <c r="G133" s="0" t="inlineStr">
        <is>
          <t>3)</t>
        </is>
      </c>
    </row>
    <row r="134">
      <c r="A134" s="0" t="inlineStr">
        <is>
          <t>New</t>
        </is>
      </c>
      <c r="B134" s="0" t="inlineStr">
        <is>
          <t>Item</t>
        </is>
      </c>
      <c r="C134" s="0" t="inlineStr">
        <is>
          <t>Acquired</t>
        </is>
      </c>
      <c r="D134" s="0" t="inlineStr">
        <is>
          <t>:</t>
        </is>
      </c>
      <c r="E134" s="0" t="inlineStr">
        <is>
          <t>150.00K</t>
        </is>
      </c>
      <c r="F134" s="0" t="inlineStr">
        <is>
          <t>(7,</t>
        </is>
      </c>
      <c r="G134" s="0" t="inlineStr">
        <is>
          <t>11)</t>
        </is>
      </c>
    </row>
    <row r="135">
      <c r="A135" s="0" t="inlineStr">
        <is>
          <t>Line</t>
        </is>
      </c>
      <c r="B135" s="0" t="inlineStr">
        <is>
          <t>Prize</t>
        </is>
      </c>
      <c r="C135" s="0" t="inlineStr">
        <is>
          <t>Acquired</t>
        </is>
      </c>
      <c r="D135" s="0" t="inlineStr">
        <is>
          <t>:</t>
        </is>
      </c>
      <c r="E135" s="0" t="inlineStr">
        <is>
          <t>1.26M</t>
        </is>
      </c>
      <c r="F135" s="0" t="inlineStr">
        <is>
          <t>(Stage</t>
        </is>
      </c>
      <c r="G135" s="0" t="inlineStr">
        <is>
          <t>:</t>
        </is>
      </c>
      <c r="H135" s="0" t="inlineStr">
        <is>
          <t>7)</t>
        </is>
      </c>
      <c r="I135" s="0" t="inlineStr">
        <is>
          <t>-</t>
        </is>
      </c>
      <c r="J135" s="0" t="n">
        <v>1260000</v>
      </c>
    </row>
    <row r="136">
      <c r="A136" s="0" t="inlineStr">
        <is>
          <t>Clear</t>
        </is>
      </c>
      <c r="B136" s="0" t="inlineStr">
        <is>
          <t>Gem</t>
        </is>
      </c>
      <c r="C136" s="0" t="inlineStr">
        <is>
          <t>Acquired</t>
        </is>
      </c>
      <c r="D136" s="0" t="inlineStr">
        <is>
          <t>:</t>
        </is>
      </c>
      <c r="E136" s="0" t="n">
        <v>600</v>
      </c>
      <c r="F136" s="0" t="inlineStr">
        <is>
          <t>-&gt;</t>
        </is>
      </c>
      <c r="G136" s="0" t="n">
        <v>700</v>
      </c>
      <c r="H136" s="0" t="inlineStr">
        <is>
          <t>(Stage</t>
        </is>
      </c>
      <c r="I136" s="0" t="inlineStr">
        <is>
          <t>:</t>
        </is>
      </c>
      <c r="J136" s="0" t="inlineStr">
        <is>
          <t>7)</t>
        </is>
      </c>
    </row>
    <row r="137">
      <c r="A137" s="0" t="inlineStr">
        <is>
          <t>New</t>
        </is>
      </c>
      <c r="B137" s="0" t="inlineStr">
        <is>
          <t>Item</t>
        </is>
      </c>
      <c r="C137" s="0" t="inlineStr">
        <is>
          <t>Acquired</t>
        </is>
      </c>
      <c r="D137" s="0" t="inlineStr">
        <is>
          <t>:</t>
        </is>
      </c>
      <c r="E137" s="0" t="inlineStr">
        <is>
          <t>60.00K</t>
        </is>
      </c>
      <c r="F137" s="0" t="inlineStr">
        <is>
          <t>(4,</t>
        </is>
      </c>
      <c r="G137" s="0" t="inlineStr">
        <is>
          <t>12)</t>
        </is>
      </c>
    </row>
    <row r="138">
      <c r="A138" s="0" t="inlineStr">
        <is>
          <t>New</t>
        </is>
      </c>
      <c r="B138" s="0" t="inlineStr">
        <is>
          <t>Item</t>
        </is>
      </c>
      <c r="C138" s="0" t="inlineStr">
        <is>
          <t>Acquired</t>
        </is>
      </c>
      <c r="D138" s="0" t="inlineStr">
        <is>
          <t>:</t>
        </is>
      </c>
      <c r="E138" s="0" t="inlineStr">
        <is>
          <t>125.00K</t>
        </is>
      </c>
      <c r="F138" s="0" t="inlineStr">
        <is>
          <t>(6,</t>
        </is>
      </c>
      <c r="G138" s="0" t="inlineStr">
        <is>
          <t>9)</t>
        </is>
      </c>
    </row>
    <row r="139">
      <c r="A139" s="0" t="inlineStr">
        <is>
          <t>New</t>
        </is>
      </c>
      <c r="B139" s="0" t="inlineStr">
        <is>
          <t>Item</t>
        </is>
      </c>
      <c r="C139" s="0" t="inlineStr">
        <is>
          <t>Acquired</t>
        </is>
      </c>
      <c r="D139" s="0" t="inlineStr">
        <is>
          <t>:</t>
        </is>
      </c>
      <c r="E139" s="0" t="inlineStr">
        <is>
          <t>75.00K</t>
        </is>
      </c>
      <c r="F139" s="0" t="inlineStr">
        <is>
          <t>(4,</t>
        </is>
      </c>
      <c r="G139" s="0" t="inlineStr">
        <is>
          <t>15)</t>
        </is>
      </c>
    </row>
    <row r="140">
      <c r="A140" s="0" t="inlineStr">
        <is>
          <t>New</t>
        </is>
      </c>
      <c r="B140" s="0" t="inlineStr">
        <is>
          <t>Item</t>
        </is>
      </c>
      <c r="C140" s="0" t="inlineStr">
        <is>
          <t>Acquired</t>
        </is>
      </c>
      <c r="D140" s="0" t="inlineStr">
        <is>
          <t>:</t>
        </is>
      </c>
      <c r="E140" s="0" t="inlineStr">
        <is>
          <t>60.00K</t>
        </is>
      </c>
      <c r="F140" s="0" t="inlineStr">
        <is>
          <t>(4,</t>
        </is>
      </c>
      <c r="G140" s="0" t="inlineStr">
        <is>
          <t>7)</t>
        </is>
      </c>
    </row>
  </sheetData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6.5"/>
  <cols>
    <col width="11" bestFit="1" customWidth="1" style="161" min="11" max="11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A2" s="0" t="inlineStr">
        <is>
          <t>New</t>
        </is>
      </c>
      <c r="B2" s="0" t="inlineStr">
        <is>
          <t>Item</t>
        </is>
      </c>
      <c r="C2" s="0" t="inlineStr">
        <is>
          <t>Acquired</t>
        </is>
      </c>
      <c r="D2" s="0" t="inlineStr">
        <is>
          <t>:</t>
        </is>
      </c>
      <c r="E2" s="0" t="inlineStr">
        <is>
          <t>Mini</t>
        </is>
      </c>
      <c r="F2" s="0" t="inlineStr">
        <is>
          <t>(3,</t>
        </is>
      </c>
      <c r="G2" s="0" t="inlineStr">
        <is>
          <t>24)</t>
        </is>
      </c>
      <c r="K2" s="0" t="inlineStr">
        <is>
          <t>Spins</t>
        </is>
      </c>
      <c r="L2" s="0" t="n">
        <v>3000</v>
      </c>
    </row>
    <row r="3">
      <c r="A3" s="0" t="inlineStr">
        <is>
          <t>New</t>
        </is>
      </c>
      <c r="B3" s="0" t="inlineStr">
        <is>
          <t>Item</t>
        </is>
      </c>
      <c r="C3" s="0" t="inlineStr">
        <is>
          <t>Acquired</t>
        </is>
      </c>
      <c r="D3" s="0" t="inlineStr">
        <is>
          <t>:</t>
        </is>
      </c>
      <c r="E3" s="0" t="inlineStr">
        <is>
          <t>75.00K</t>
        </is>
      </c>
      <c r="F3" s="0" t="inlineStr">
        <is>
          <t>(4,</t>
        </is>
      </c>
      <c r="G3" s="0" t="inlineStr">
        <is>
          <t>1)</t>
        </is>
      </c>
      <c r="K3" s="0" t="inlineStr">
        <is>
          <t>Symbol Pick</t>
        </is>
      </c>
      <c r="L3" s="0">
        <f>COUNTIF(A:A,"")</f>
        <v/>
      </c>
      <c r="M3" s="0">
        <f>L1/L2</f>
        <v/>
      </c>
    </row>
    <row r="4">
      <c r="A4" s="0" t="inlineStr">
        <is>
          <t>New</t>
        </is>
      </c>
      <c r="B4" s="0" t="inlineStr">
        <is>
          <t>Item</t>
        </is>
      </c>
      <c r="C4" s="0" t="inlineStr">
        <is>
          <t>Acquired</t>
        </is>
      </c>
      <c r="D4" s="0" t="inlineStr">
        <is>
          <t>:</t>
        </is>
      </c>
      <c r="E4" s="0" t="inlineStr">
        <is>
          <t>280.00K</t>
        </is>
      </c>
      <c r="F4" s="0" t="inlineStr">
        <is>
          <t>(8,</t>
        </is>
      </c>
      <c r="G4" s="0" t="inlineStr">
        <is>
          <t>25)</t>
        </is>
      </c>
      <c r="K4" s="0" t="inlineStr">
        <is>
          <t>Bingo Wins</t>
        </is>
      </c>
      <c r="L4" s="0">
        <f>COUNTIF(A:A,"Line")</f>
        <v/>
      </c>
      <c r="M4" s="0">
        <f>L1/L3</f>
        <v/>
      </c>
    </row>
    <row r="5">
      <c r="A5" s="0" t="inlineStr">
        <is>
          <t>New</t>
        </is>
      </c>
      <c r="B5" s="0" t="inlineStr">
        <is>
          <t>Item</t>
        </is>
      </c>
      <c r="C5" s="0" t="inlineStr">
        <is>
          <t>Acquired</t>
        </is>
      </c>
      <c r="D5" s="0" t="inlineStr">
        <is>
          <t>:</t>
        </is>
      </c>
      <c r="E5" s="0" t="inlineStr">
        <is>
          <t>70.00K</t>
        </is>
      </c>
      <c r="F5" s="0" t="inlineStr">
        <is>
          <t>(1,</t>
        </is>
      </c>
      <c r="G5" s="0" t="inlineStr">
        <is>
          <t>19)</t>
        </is>
      </c>
      <c r="L5" s="2">
        <f>L2/L3</f>
        <v/>
      </c>
    </row>
    <row r="6">
      <c r="A6" s="0" t="inlineStr">
        <is>
          <t>New</t>
        </is>
      </c>
      <c r="B6" s="0" t="inlineStr">
        <is>
          <t>Item</t>
        </is>
      </c>
      <c r="C6" s="0" t="inlineStr">
        <is>
          <t>Acquired</t>
        </is>
      </c>
      <c r="D6" s="0" t="inlineStr">
        <is>
          <t>:</t>
        </is>
      </c>
      <c r="E6" s="0" t="inlineStr">
        <is>
          <t>60.00K</t>
        </is>
      </c>
      <c r="F6" s="0" t="inlineStr">
        <is>
          <t>(4,</t>
        </is>
      </c>
      <c r="G6" s="0" t="inlineStr">
        <is>
          <t>17)</t>
        </is>
      </c>
    </row>
    <row r="7">
      <c r="A7" s="0" t="inlineStr">
        <is>
          <t>New</t>
        </is>
      </c>
      <c r="B7" s="0" t="inlineStr">
        <is>
          <t>Item</t>
        </is>
      </c>
      <c r="C7" s="0" t="inlineStr">
        <is>
          <t>Acquired</t>
        </is>
      </c>
      <c r="D7" s="0" t="inlineStr">
        <is>
          <t>:</t>
        </is>
      </c>
      <c r="E7" s="0" t="inlineStr">
        <is>
          <t>Mini</t>
        </is>
      </c>
      <c r="F7" s="0" t="inlineStr">
        <is>
          <t>(1,</t>
        </is>
      </c>
      <c r="G7" s="0" t="inlineStr">
        <is>
          <t>23)</t>
        </is>
      </c>
    </row>
    <row r="8">
      <c r="A8" s="0" t="inlineStr">
        <is>
          <t>New</t>
        </is>
      </c>
      <c r="B8" s="0" t="inlineStr">
        <is>
          <t>Item</t>
        </is>
      </c>
      <c r="C8" s="0" t="inlineStr">
        <is>
          <t>Acquired</t>
        </is>
      </c>
      <c r="D8" s="0" t="inlineStr">
        <is>
          <t>:</t>
        </is>
      </c>
      <c r="E8" s="0" t="inlineStr">
        <is>
          <t>Minor</t>
        </is>
      </c>
      <c r="F8" s="0" t="inlineStr">
        <is>
          <t>(1,</t>
        </is>
      </c>
      <c r="G8" s="0" t="inlineStr">
        <is>
          <t>17)</t>
        </is>
      </c>
    </row>
    <row r="9">
      <c r="A9" s="0" t="inlineStr">
        <is>
          <t>New</t>
        </is>
      </c>
      <c r="B9" s="0" t="inlineStr">
        <is>
          <t>Item</t>
        </is>
      </c>
      <c r="C9" s="0" t="inlineStr">
        <is>
          <t>Acquired</t>
        </is>
      </c>
      <c r="D9" s="0" t="inlineStr">
        <is>
          <t>:</t>
        </is>
      </c>
      <c r="E9" s="0" t="inlineStr">
        <is>
          <t>200.00K</t>
        </is>
      </c>
      <c r="F9" s="0" t="inlineStr">
        <is>
          <t>(8,</t>
        </is>
      </c>
      <c r="G9" s="0" t="inlineStr">
        <is>
          <t>16)</t>
        </is>
      </c>
    </row>
    <row r="10">
      <c r="A10" s="0" t="inlineStr">
        <is>
          <t>New</t>
        </is>
      </c>
      <c r="B10" s="0" t="inlineStr">
        <is>
          <t>Item</t>
        </is>
      </c>
      <c r="C10" s="0" t="inlineStr">
        <is>
          <t>Acquired</t>
        </is>
      </c>
      <c r="D10" s="0" t="inlineStr">
        <is>
          <t>:</t>
        </is>
      </c>
      <c r="E10" s="0" t="inlineStr">
        <is>
          <t>105.00K</t>
        </is>
      </c>
      <c r="F10" s="0" t="inlineStr">
        <is>
          <t>(4,</t>
        </is>
      </c>
      <c r="G10" s="0" t="inlineStr">
        <is>
          <t>25)</t>
        </is>
      </c>
    </row>
    <row r="11">
      <c r="A11" s="0" t="inlineStr">
        <is>
          <t>New</t>
        </is>
      </c>
      <c r="B11" s="0" t="inlineStr">
        <is>
          <t>Item</t>
        </is>
      </c>
      <c r="C11" s="0" t="inlineStr">
        <is>
          <t>Acquired</t>
        </is>
      </c>
      <c r="D11" s="0" t="inlineStr">
        <is>
          <t>:</t>
        </is>
      </c>
      <c r="E11" s="0" t="inlineStr">
        <is>
          <t>67.50K</t>
        </is>
      </c>
      <c r="F11" s="0" t="inlineStr">
        <is>
          <t>(5,</t>
        </is>
      </c>
      <c r="G11" s="0" t="inlineStr">
        <is>
          <t>23)</t>
        </is>
      </c>
    </row>
    <row r="12">
      <c r="A12" s="0" t="inlineStr">
        <is>
          <t>New</t>
        </is>
      </c>
      <c r="B12" s="0" t="inlineStr">
        <is>
          <t>Item</t>
        </is>
      </c>
      <c r="C12" s="0" t="inlineStr">
        <is>
          <t>Acquired</t>
        </is>
      </c>
      <c r="D12" s="0" t="inlineStr">
        <is>
          <t>:</t>
        </is>
      </c>
      <c r="E12" s="0" t="inlineStr">
        <is>
          <t>37.50K</t>
        </is>
      </c>
      <c r="F12" s="0" t="inlineStr">
        <is>
          <t>(2,</t>
        </is>
      </c>
      <c r="G12" s="0" t="inlineStr">
        <is>
          <t>16)</t>
        </is>
      </c>
    </row>
    <row r="13">
      <c r="A13" s="0" t="inlineStr">
        <is>
          <t>New</t>
        </is>
      </c>
      <c r="B13" s="0" t="inlineStr">
        <is>
          <t>Item</t>
        </is>
      </c>
      <c r="C13" s="0" t="inlineStr">
        <is>
          <t>Acquired</t>
        </is>
      </c>
      <c r="D13" s="0" t="inlineStr">
        <is>
          <t>:</t>
        </is>
      </c>
      <c r="E13" s="0" t="inlineStr">
        <is>
          <t>75.00K</t>
        </is>
      </c>
      <c r="F13" s="0" t="inlineStr">
        <is>
          <t>(3,</t>
        </is>
      </c>
      <c r="G13" s="0" t="inlineStr">
        <is>
          <t>5)</t>
        </is>
      </c>
    </row>
    <row r="14">
      <c r="A14" s="0" t="inlineStr">
        <is>
          <t>New</t>
        </is>
      </c>
      <c r="B14" s="0" t="inlineStr">
        <is>
          <t>Item</t>
        </is>
      </c>
      <c r="C14" s="0" t="inlineStr">
        <is>
          <t>Acquired</t>
        </is>
      </c>
      <c r="D14" s="0" t="inlineStr">
        <is>
          <t>:</t>
        </is>
      </c>
      <c r="E14" s="0" t="inlineStr">
        <is>
          <t>37.50K</t>
        </is>
      </c>
      <c r="F14" s="0" t="inlineStr">
        <is>
          <t>(2,</t>
        </is>
      </c>
      <c r="G14" s="0" t="inlineStr">
        <is>
          <t>25)</t>
        </is>
      </c>
    </row>
    <row r="15">
      <c r="A15" s="0" t="inlineStr">
        <is>
          <t>New</t>
        </is>
      </c>
      <c r="B15" s="0" t="inlineStr">
        <is>
          <t>Item</t>
        </is>
      </c>
      <c r="C15" s="0" t="inlineStr">
        <is>
          <t>Acquired</t>
        </is>
      </c>
      <c r="D15" s="0" t="inlineStr">
        <is>
          <t>:</t>
        </is>
      </c>
      <c r="E15" s="0" t="inlineStr">
        <is>
          <t>37.50K</t>
        </is>
      </c>
      <c r="F15" s="0" t="inlineStr">
        <is>
          <t>(2,</t>
        </is>
      </c>
      <c r="G15" s="0" t="inlineStr">
        <is>
          <t>11)</t>
        </is>
      </c>
    </row>
    <row r="16">
      <c r="A16" s="0" t="inlineStr">
        <is>
          <t>New</t>
        </is>
      </c>
      <c r="B16" s="0" t="inlineStr">
        <is>
          <t>Item</t>
        </is>
      </c>
      <c r="C16" s="0" t="inlineStr">
        <is>
          <t>Acquired</t>
        </is>
      </c>
      <c r="D16" s="0" t="inlineStr">
        <is>
          <t>:</t>
        </is>
      </c>
      <c r="E16" s="0" t="inlineStr">
        <is>
          <t>37.50K</t>
        </is>
      </c>
      <c r="F16" s="0" t="inlineStr">
        <is>
          <t>(2,</t>
        </is>
      </c>
      <c r="G16" s="0" t="inlineStr">
        <is>
          <t>3)</t>
        </is>
      </c>
    </row>
    <row r="17">
      <c r="A17" s="0" t="inlineStr">
        <is>
          <t>New</t>
        </is>
      </c>
      <c r="B17" s="0" t="inlineStr">
        <is>
          <t>Item</t>
        </is>
      </c>
      <c r="C17" s="0" t="inlineStr">
        <is>
          <t>Acquired</t>
        </is>
      </c>
      <c r="D17" s="0" t="inlineStr">
        <is>
          <t>:</t>
        </is>
      </c>
      <c r="E17" s="0" t="inlineStr">
        <is>
          <t>50.00K</t>
        </is>
      </c>
      <c r="F17" s="0" t="inlineStr">
        <is>
          <t>(1,</t>
        </is>
      </c>
      <c r="G17" s="0" t="inlineStr">
        <is>
          <t>2)</t>
        </is>
      </c>
    </row>
    <row r="18">
      <c r="A18" s="0" t="inlineStr">
        <is>
          <t>New</t>
        </is>
      </c>
      <c r="B18" s="0" t="inlineStr">
        <is>
          <t>Item</t>
        </is>
      </c>
      <c r="C18" s="0" t="inlineStr">
        <is>
          <t>Acquired</t>
        </is>
      </c>
      <c r="D18" s="0" t="inlineStr">
        <is>
          <t>:</t>
        </is>
      </c>
      <c r="E18" s="0" t="inlineStr">
        <is>
          <t>45.00K</t>
        </is>
      </c>
      <c r="F18" s="0" t="inlineStr">
        <is>
          <t>(3,</t>
        </is>
      </c>
      <c r="G18" s="0" t="inlineStr">
        <is>
          <t>17)</t>
        </is>
      </c>
    </row>
    <row r="19">
      <c r="A19" s="0" t="inlineStr">
        <is>
          <t>New</t>
        </is>
      </c>
      <c r="B19" s="0" t="inlineStr">
        <is>
          <t>Item</t>
        </is>
      </c>
      <c r="C19" s="0" t="inlineStr">
        <is>
          <t>Acquired</t>
        </is>
      </c>
      <c r="D19" s="0" t="inlineStr">
        <is>
          <t>:</t>
        </is>
      </c>
      <c r="E19" s="0" t="inlineStr">
        <is>
          <t>Mega</t>
        </is>
      </c>
      <c r="F19" s="0" t="inlineStr">
        <is>
          <t>(2,</t>
        </is>
      </c>
      <c r="G19" s="0" t="inlineStr">
        <is>
          <t>23)</t>
        </is>
      </c>
    </row>
    <row r="20">
      <c r="A20" s="0" t="inlineStr">
        <is>
          <t>New</t>
        </is>
      </c>
      <c r="B20" s="0" t="inlineStr">
        <is>
          <t>Item</t>
        </is>
      </c>
      <c r="C20" s="0" t="inlineStr">
        <is>
          <t>Acquired</t>
        </is>
      </c>
      <c r="D20" s="0" t="inlineStr">
        <is>
          <t>:</t>
        </is>
      </c>
      <c r="E20" s="0" t="inlineStr">
        <is>
          <t>60.00K</t>
        </is>
      </c>
      <c r="F20" s="0" t="inlineStr">
        <is>
          <t>(4,</t>
        </is>
      </c>
      <c r="G20" s="0" t="inlineStr">
        <is>
          <t>11)</t>
        </is>
      </c>
    </row>
    <row r="21">
      <c r="A21" s="0" t="inlineStr">
        <is>
          <t>New</t>
        </is>
      </c>
      <c r="B21" s="0" t="inlineStr">
        <is>
          <t>Item</t>
        </is>
      </c>
      <c r="C21" s="0" t="inlineStr">
        <is>
          <t>Acquired</t>
        </is>
      </c>
      <c r="D21" s="0" t="inlineStr">
        <is>
          <t>:</t>
        </is>
      </c>
      <c r="E21" s="0" t="inlineStr">
        <is>
          <t>45.00K</t>
        </is>
      </c>
      <c r="F21" s="0" t="inlineStr">
        <is>
          <t>(3,</t>
        </is>
      </c>
      <c r="G21" s="0" t="inlineStr">
        <is>
          <t>8)</t>
        </is>
      </c>
    </row>
    <row r="22">
      <c r="A22" s="0" t="inlineStr">
        <is>
          <t>New</t>
        </is>
      </c>
      <c r="B22" s="0" t="inlineStr">
        <is>
          <t>Item</t>
        </is>
      </c>
      <c r="C22" s="0" t="inlineStr">
        <is>
          <t>Acquired</t>
        </is>
      </c>
      <c r="D22" s="0" t="inlineStr">
        <is>
          <t>:</t>
        </is>
      </c>
      <c r="E22" s="0" t="inlineStr">
        <is>
          <t>87.50K</t>
        </is>
      </c>
      <c r="F22" s="0" t="inlineStr">
        <is>
          <t>(2,</t>
        </is>
      </c>
      <c r="G22" s="0" t="inlineStr">
        <is>
          <t>10)</t>
        </is>
      </c>
    </row>
    <row r="23">
      <c r="A23" s="0" t="inlineStr">
        <is>
          <t>New</t>
        </is>
      </c>
      <c r="B23" s="0" t="inlineStr">
        <is>
          <t>Item</t>
        </is>
      </c>
      <c r="C23" s="0" t="inlineStr">
        <is>
          <t>Acquired</t>
        </is>
      </c>
      <c r="D23" s="0" t="inlineStr">
        <is>
          <t>:</t>
        </is>
      </c>
      <c r="E23" s="0" t="inlineStr">
        <is>
          <t>75.00K</t>
        </is>
      </c>
      <c r="F23" s="0" t="inlineStr">
        <is>
          <t>(3,</t>
        </is>
      </c>
      <c r="G23" s="0" t="inlineStr">
        <is>
          <t>1)</t>
        </is>
      </c>
    </row>
    <row r="24">
      <c r="A24" s="0" t="inlineStr">
        <is>
          <t>New</t>
        </is>
      </c>
      <c r="B24" s="0" t="inlineStr">
        <is>
          <t>Item</t>
        </is>
      </c>
      <c r="C24" s="0" t="inlineStr">
        <is>
          <t>Acquired</t>
        </is>
      </c>
      <c r="D24" s="0" t="inlineStr">
        <is>
          <t>:</t>
        </is>
      </c>
      <c r="E24" s="0" t="inlineStr">
        <is>
          <t>45.00K</t>
        </is>
      </c>
      <c r="F24" s="0" t="inlineStr">
        <is>
          <t>(3,</t>
        </is>
      </c>
      <c r="G24" s="0" t="inlineStr">
        <is>
          <t>16)</t>
        </is>
      </c>
    </row>
    <row r="25">
      <c r="A25" s="0" t="inlineStr">
        <is>
          <t>New</t>
        </is>
      </c>
      <c r="B25" s="0" t="inlineStr">
        <is>
          <t>Item</t>
        </is>
      </c>
      <c r="C25" s="0" t="inlineStr">
        <is>
          <t>Acquired</t>
        </is>
      </c>
      <c r="D25" s="0" t="inlineStr">
        <is>
          <t>:</t>
        </is>
      </c>
      <c r="E25" s="0" t="inlineStr">
        <is>
          <t>105.00K</t>
        </is>
      </c>
      <c r="F25" s="0" t="inlineStr">
        <is>
          <t>(4,</t>
        </is>
      </c>
      <c r="G25" s="0" t="inlineStr">
        <is>
          <t>12)</t>
        </is>
      </c>
    </row>
    <row r="26">
      <c r="A26" s="0" t="inlineStr">
        <is>
          <t>New</t>
        </is>
      </c>
      <c r="B26" s="0" t="inlineStr">
        <is>
          <t>Item</t>
        </is>
      </c>
      <c r="C26" s="0" t="inlineStr">
        <is>
          <t>Acquired</t>
        </is>
      </c>
      <c r="D26" s="0" t="inlineStr">
        <is>
          <t>:</t>
        </is>
      </c>
      <c r="E26" s="0" t="inlineStr">
        <is>
          <t>60.00K</t>
        </is>
      </c>
      <c r="F26" s="0" t="inlineStr">
        <is>
          <t>(4,</t>
        </is>
      </c>
      <c r="G26" s="0" t="inlineStr">
        <is>
          <t>9)</t>
        </is>
      </c>
    </row>
    <row r="27">
      <c r="A27" s="0" t="inlineStr">
        <is>
          <t>New</t>
        </is>
      </c>
      <c r="B27" s="0" t="inlineStr">
        <is>
          <t>Item</t>
        </is>
      </c>
      <c r="C27" s="0" t="inlineStr">
        <is>
          <t>Acquired</t>
        </is>
      </c>
      <c r="D27" s="0" t="inlineStr">
        <is>
          <t>:</t>
        </is>
      </c>
      <c r="E27" s="0" t="inlineStr">
        <is>
          <t>Mini</t>
        </is>
      </c>
      <c r="F27" s="0" t="inlineStr">
        <is>
          <t>(4,</t>
        </is>
      </c>
      <c r="G27" s="0" t="inlineStr">
        <is>
          <t>8)</t>
        </is>
      </c>
    </row>
    <row r="28">
      <c r="A28" s="0" t="inlineStr">
        <is>
          <t>New</t>
        </is>
      </c>
      <c r="B28" s="0" t="inlineStr">
        <is>
          <t>Item</t>
        </is>
      </c>
      <c r="C28" s="0" t="inlineStr">
        <is>
          <t>Acquired</t>
        </is>
      </c>
      <c r="D28" s="0" t="inlineStr">
        <is>
          <t>:</t>
        </is>
      </c>
      <c r="E28" s="0" t="inlineStr">
        <is>
          <t>60.00K</t>
        </is>
      </c>
      <c r="F28" s="0" t="inlineStr">
        <is>
          <t>(4,</t>
        </is>
      </c>
      <c r="G28" s="0" t="inlineStr">
        <is>
          <t>4)</t>
        </is>
      </c>
    </row>
    <row r="29">
      <c r="A29" s="0" t="inlineStr">
        <is>
          <t>New</t>
        </is>
      </c>
      <c r="B29" s="0" t="inlineStr">
        <is>
          <t>Item</t>
        </is>
      </c>
      <c r="C29" s="0" t="inlineStr">
        <is>
          <t>Acquired</t>
        </is>
      </c>
      <c r="D29" s="0" t="inlineStr">
        <is>
          <t>:</t>
        </is>
      </c>
      <c r="E29" s="0" t="inlineStr">
        <is>
          <t>Minor</t>
        </is>
      </c>
      <c r="F29" s="0" t="inlineStr">
        <is>
          <t>(7,</t>
        </is>
      </c>
      <c r="G29" s="0" t="inlineStr">
        <is>
          <t>25)</t>
        </is>
      </c>
    </row>
    <row r="30">
      <c r="A30" s="0" t="inlineStr">
        <is>
          <t>New</t>
        </is>
      </c>
      <c r="B30" s="0" t="inlineStr">
        <is>
          <t>Item</t>
        </is>
      </c>
      <c r="C30" s="0" t="inlineStr">
        <is>
          <t>Acquired</t>
        </is>
      </c>
      <c r="D30" s="0" t="inlineStr">
        <is>
          <t>:</t>
        </is>
      </c>
      <c r="E30" s="0" t="inlineStr">
        <is>
          <t>90.00K</t>
        </is>
      </c>
      <c r="F30" s="0" t="inlineStr">
        <is>
          <t>(7,</t>
        </is>
      </c>
      <c r="G30" s="0" t="inlineStr">
        <is>
          <t>7)</t>
        </is>
      </c>
    </row>
    <row r="31">
      <c r="A31" s="0" t="inlineStr">
        <is>
          <t>New</t>
        </is>
      </c>
      <c r="B31" s="0" t="inlineStr">
        <is>
          <t>Item</t>
        </is>
      </c>
      <c r="C31" s="0" t="inlineStr">
        <is>
          <t>Acquired</t>
        </is>
      </c>
      <c r="D31" s="0" t="inlineStr">
        <is>
          <t>:</t>
        </is>
      </c>
      <c r="E31" s="0" t="inlineStr">
        <is>
          <t>75.00K</t>
        </is>
      </c>
      <c r="F31" s="0" t="inlineStr">
        <is>
          <t>(4,</t>
        </is>
      </c>
      <c r="G31" s="0" t="inlineStr">
        <is>
          <t>10)</t>
        </is>
      </c>
    </row>
    <row r="32">
      <c r="A32" s="0" t="inlineStr">
        <is>
          <t>New</t>
        </is>
      </c>
      <c r="B32" s="0" t="inlineStr">
        <is>
          <t>Item</t>
        </is>
      </c>
      <c r="C32" s="0" t="inlineStr">
        <is>
          <t>Acquired</t>
        </is>
      </c>
      <c r="D32" s="0" t="inlineStr">
        <is>
          <t>:</t>
        </is>
      </c>
      <c r="E32" s="0" t="inlineStr">
        <is>
          <t>Minor</t>
        </is>
      </c>
      <c r="F32" s="0" t="inlineStr">
        <is>
          <t>(7,</t>
        </is>
      </c>
      <c r="G32" s="0" t="inlineStr">
        <is>
          <t>6)</t>
        </is>
      </c>
    </row>
    <row r="33">
      <c r="A33" s="0" t="inlineStr">
        <is>
          <t>New</t>
        </is>
      </c>
      <c r="B33" s="0" t="inlineStr">
        <is>
          <t>Item</t>
        </is>
      </c>
      <c r="C33" s="0" t="inlineStr">
        <is>
          <t>Acquired</t>
        </is>
      </c>
      <c r="D33" s="0" t="inlineStr">
        <is>
          <t>:</t>
        </is>
      </c>
      <c r="E33" s="0" t="inlineStr">
        <is>
          <t>75.00K</t>
        </is>
      </c>
      <c r="F33" s="0" t="inlineStr">
        <is>
          <t>(3,</t>
        </is>
      </c>
      <c r="G33" s="0" t="inlineStr">
        <is>
          <t>14)</t>
        </is>
      </c>
    </row>
    <row r="34">
      <c r="A34" s="0" t="inlineStr">
        <is>
          <t>New</t>
        </is>
      </c>
      <c r="B34" s="0" t="inlineStr">
        <is>
          <t>Item</t>
        </is>
      </c>
      <c r="C34" s="0" t="inlineStr">
        <is>
          <t>Acquired</t>
        </is>
      </c>
      <c r="D34" s="0" t="inlineStr">
        <is>
          <t>:</t>
        </is>
      </c>
      <c r="E34" s="0" t="inlineStr">
        <is>
          <t>75.00K</t>
        </is>
      </c>
      <c r="F34" s="0" t="inlineStr">
        <is>
          <t>(6,</t>
        </is>
      </c>
      <c r="G34" s="0" t="inlineStr">
        <is>
          <t>18)</t>
        </is>
      </c>
    </row>
    <row r="35">
      <c r="A35" s="0" t="inlineStr">
        <is>
          <t>New</t>
        </is>
      </c>
      <c r="B35" s="0" t="inlineStr">
        <is>
          <t>Item</t>
        </is>
      </c>
      <c r="C35" s="0" t="inlineStr">
        <is>
          <t>Acquired</t>
        </is>
      </c>
      <c r="D35" s="0" t="inlineStr">
        <is>
          <t>:</t>
        </is>
      </c>
      <c r="E35" s="0" t="inlineStr">
        <is>
          <t>50.00K</t>
        </is>
      </c>
      <c r="F35" s="0" t="inlineStr">
        <is>
          <t>(1,</t>
        </is>
      </c>
      <c r="G35" s="0" t="inlineStr">
        <is>
          <t>18)</t>
        </is>
      </c>
    </row>
    <row r="36">
      <c r="A36" s="0" t="inlineStr">
        <is>
          <t>New</t>
        </is>
      </c>
      <c r="B36" s="0" t="inlineStr">
        <is>
          <t>Item</t>
        </is>
      </c>
      <c r="C36" s="0" t="inlineStr">
        <is>
          <t>Acquired</t>
        </is>
      </c>
      <c r="D36" s="0" t="inlineStr">
        <is>
          <t>:</t>
        </is>
      </c>
      <c r="E36" s="0" t="inlineStr">
        <is>
          <t>Minor</t>
        </is>
      </c>
      <c r="F36" s="0" t="inlineStr">
        <is>
          <t>(6,</t>
        </is>
      </c>
      <c r="G36" s="0" t="inlineStr">
        <is>
          <t>4)</t>
        </is>
      </c>
    </row>
    <row r="37">
      <c r="A37" s="0" t="inlineStr">
        <is>
          <t>New</t>
        </is>
      </c>
      <c r="B37" s="0" t="inlineStr">
        <is>
          <t>Item</t>
        </is>
      </c>
      <c r="C37" s="0" t="inlineStr">
        <is>
          <t>Acquired</t>
        </is>
      </c>
      <c r="D37" s="0" t="inlineStr">
        <is>
          <t>:</t>
        </is>
      </c>
      <c r="E37" s="0" t="inlineStr">
        <is>
          <t>75.00K</t>
        </is>
      </c>
      <c r="F37" s="0" t="inlineStr">
        <is>
          <t>(3,</t>
        </is>
      </c>
      <c r="G37" s="0" t="inlineStr">
        <is>
          <t>20)</t>
        </is>
      </c>
    </row>
    <row r="38">
      <c r="A38" s="0" t="inlineStr">
        <is>
          <t>New</t>
        </is>
      </c>
      <c r="B38" s="0" t="inlineStr">
        <is>
          <t>Item</t>
        </is>
      </c>
      <c r="C38" s="0" t="inlineStr">
        <is>
          <t>Acquired</t>
        </is>
      </c>
      <c r="D38" s="0" t="inlineStr">
        <is>
          <t>:</t>
        </is>
      </c>
      <c r="E38" s="0" t="inlineStr">
        <is>
          <t>60.00K</t>
        </is>
      </c>
      <c r="F38" s="0" t="inlineStr">
        <is>
          <t>(4,</t>
        </is>
      </c>
      <c r="G38" s="0" t="inlineStr">
        <is>
          <t>16)</t>
        </is>
      </c>
    </row>
    <row r="39">
      <c r="A39" s="0" t="inlineStr">
        <is>
          <t>New</t>
        </is>
      </c>
      <c r="B39" s="0" t="inlineStr">
        <is>
          <t>Item</t>
        </is>
      </c>
      <c r="C39" s="0" t="inlineStr">
        <is>
          <t>Acquired</t>
        </is>
      </c>
      <c r="D39" s="0" t="inlineStr">
        <is>
          <t>:</t>
        </is>
      </c>
      <c r="E39" s="0" t="inlineStr">
        <is>
          <t>60.00K</t>
        </is>
      </c>
      <c r="F39" s="0" t="inlineStr">
        <is>
          <t>(4,</t>
        </is>
      </c>
      <c r="G39" s="0" t="inlineStr">
        <is>
          <t>23)</t>
        </is>
      </c>
    </row>
    <row r="40">
      <c r="A40" s="0" t="inlineStr">
        <is>
          <t>New</t>
        </is>
      </c>
      <c r="B40" s="0" t="inlineStr">
        <is>
          <t>Item</t>
        </is>
      </c>
      <c r="C40" s="0" t="inlineStr">
        <is>
          <t>Acquired</t>
        </is>
      </c>
      <c r="D40" s="0" t="inlineStr">
        <is>
          <t>:</t>
        </is>
      </c>
      <c r="E40" s="0" t="inlineStr">
        <is>
          <t>70.00K</t>
        </is>
      </c>
      <c r="F40" s="0" t="inlineStr">
        <is>
          <t>(1,</t>
        </is>
      </c>
      <c r="G40" s="0" t="inlineStr">
        <is>
          <t>6)</t>
        </is>
      </c>
    </row>
    <row r="41">
      <c r="A41" s="0" t="inlineStr">
        <is>
          <t>New</t>
        </is>
      </c>
      <c r="B41" s="0" t="inlineStr">
        <is>
          <t>Item</t>
        </is>
      </c>
      <c r="C41" s="0" t="inlineStr">
        <is>
          <t>Acquired</t>
        </is>
      </c>
      <c r="D41" s="0" t="inlineStr">
        <is>
          <t>:</t>
        </is>
      </c>
      <c r="E41" s="0" t="inlineStr">
        <is>
          <t>62.50K</t>
        </is>
      </c>
      <c r="F41" s="0" t="inlineStr">
        <is>
          <t>(2,</t>
        </is>
      </c>
      <c r="G41" s="0" t="inlineStr">
        <is>
          <t>2)</t>
        </is>
      </c>
    </row>
    <row r="42">
      <c r="A42" s="0" t="inlineStr">
        <is>
          <t>New</t>
        </is>
      </c>
      <c r="B42" s="0" t="inlineStr">
        <is>
          <t>Item</t>
        </is>
      </c>
      <c r="C42" s="0" t="inlineStr">
        <is>
          <t>Acquired</t>
        </is>
      </c>
      <c r="D42" s="0" t="inlineStr">
        <is>
          <t>:</t>
        </is>
      </c>
      <c r="E42" s="0" t="inlineStr">
        <is>
          <t>75.00K</t>
        </is>
      </c>
      <c r="F42" s="0" t="inlineStr">
        <is>
          <t>(4,</t>
        </is>
      </c>
      <c r="G42" s="0" t="inlineStr">
        <is>
          <t>2)</t>
        </is>
      </c>
    </row>
    <row r="43">
      <c r="A43" s="0" t="inlineStr">
        <is>
          <t>New</t>
        </is>
      </c>
      <c r="B43" s="0" t="inlineStr">
        <is>
          <t>Item</t>
        </is>
      </c>
      <c r="C43" s="0" t="inlineStr">
        <is>
          <t>Acquired</t>
        </is>
      </c>
      <c r="D43" s="0" t="inlineStr">
        <is>
          <t>:</t>
        </is>
      </c>
      <c r="E43" s="0" t="inlineStr">
        <is>
          <t>45.00K</t>
        </is>
      </c>
      <c r="F43" s="0" t="inlineStr">
        <is>
          <t>(3,</t>
        </is>
      </c>
      <c r="G43" s="0" t="inlineStr">
        <is>
          <t>2)</t>
        </is>
      </c>
    </row>
    <row r="44">
      <c r="A44" s="0" t="inlineStr">
        <is>
          <t>New</t>
        </is>
      </c>
      <c r="B44" s="0" t="inlineStr">
        <is>
          <t>Item</t>
        </is>
      </c>
      <c r="C44" s="0" t="inlineStr">
        <is>
          <t>Acquired</t>
        </is>
      </c>
      <c r="D44" s="0" t="inlineStr">
        <is>
          <t>:</t>
        </is>
      </c>
      <c r="E44" s="0" t="inlineStr">
        <is>
          <t>200.00K</t>
        </is>
      </c>
      <c r="F44" s="0" t="inlineStr">
        <is>
          <t>(8,</t>
        </is>
      </c>
      <c r="G44" s="0" t="inlineStr">
        <is>
          <t>6)</t>
        </is>
      </c>
    </row>
    <row r="45">
      <c r="A45" s="0" t="inlineStr">
        <is>
          <t>New</t>
        </is>
      </c>
      <c r="B45" s="0" t="inlineStr">
        <is>
          <t>Item</t>
        </is>
      </c>
      <c r="C45" s="0" t="inlineStr">
        <is>
          <t>Acquired</t>
        </is>
      </c>
      <c r="D45" s="0" t="inlineStr">
        <is>
          <t>:</t>
        </is>
      </c>
      <c r="E45" s="0" t="inlineStr">
        <is>
          <t>87.50K</t>
        </is>
      </c>
      <c r="F45" s="0" t="inlineStr">
        <is>
          <t>(2,</t>
        </is>
      </c>
      <c r="G45" s="0" t="inlineStr">
        <is>
          <t>18)</t>
        </is>
      </c>
    </row>
    <row r="46">
      <c r="A46" s="0" t="inlineStr">
        <is>
          <t>New</t>
        </is>
      </c>
      <c r="B46" s="0" t="inlineStr">
        <is>
          <t>Item</t>
        </is>
      </c>
      <c r="C46" s="0" t="inlineStr">
        <is>
          <t>Acquired</t>
        </is>
      </c>
      <c r="D46" s="0" t="inlineStr">
        <is>
          <t>:</t>
        </is>
      </c>
      <c r="E46" s="0" t="inlineStr">
        <is>
          <t>67.50K</t>
        </is>
      </c>
      <c r="F46" s="0" t="inlineStr">
        <is>
          <t>(5,</t>
        </is>
      </c>
      <c r="G46" s="0" t="inlineStr">
        <is>
          <t>22)</t>
        </is>
      </c>
    </row>
    <row r="47">
      <c r="A47" s="0" t="inlineStr">
        <is>
          <t>New</t>
        </is>
      </c>
      <c r="B47" s="0" t="inlineStr">
        <is>
          <t>Item</t>
        </is>
      </c>
      <c r="C47" s="0" t="inlineStr">
        <is>
          <t>Acquired</t>
        </is>
      </c>
      <c r="D47" s="0" t="inlineStr">
        <is>
          <t>:</t>
        </is>
      </c>
      <c r="E47" s="0" t="inlineStr">
        <is>
          <t>157.50K</t>
        </is>
      </c>
      <c r="F47" s="0" t="inlineStr">
        <is>
          <t>(5,</t>
        </is>
      </c>
      <c r="G47" s="0" t="inlineStr">
        <is>
          <t>16)</t>
        </is>
      </c>
    </row>
    <row r="48">
      <c r="A48" s="0" t="inlineStr">
        <is>
          <t>New</t>
        </is>
      </c>
      <c r="B48" s="0" t="inlineStr">
        <is>
          <t>Item</t>
        </is>
      </c>
      <c r="C48" s="0" t="inlineStr">
        <is>
          <t>Acquired</t>
        </is>
      </c>
      <c r="D48" s="0" t="inlineStr">
        <is>
          <t>:</t>
        </is>
      </c>
      <c r="E48" s="0" t="inlineStr">
        <is>
          <t>45.00K</t>
        </is>
      </c>
      <c r="F48" s="0" t="inlineStr">
        <is>
          <t>(3,</t>
        </is>
      </c>
      <c r="G48" s="0" t="inlineStr">
        <is>
          <t>15)</t>
        </is>
      </c>
    </row>
    <row r="49">
      <c r="A49" s="0" t="inlineStr">
        <is>
          <t>New</t>
        </is>
      </c>
      <c r="B49" s="0" t="inlineStr">
        <is>
          <t>Item</t>
        </is>
      </c>
      <c r="C49" s="0" t="inlineStr">
        <is>
          <t>Acquired</t>
        </is>
      </c>
      <c r="D49" s="0" t="inlineStr">
        <is>
          <t>:</t>
        </is>
      </c>
      <c r="E49" s="0" t="inlineStr">
        <is>
          <t>62.50K</t>
        </is>
      </c>
      <c r="F49" s="0" t="inlineStr">
        <is>
          <t>(2,</t>
        </is>
      </c>
      <c r="G49" s="0" t="inlineStr">
        <is>
          <t>14)</t>
        </is>
      </c>
    </row>
    <row r="50">
      <c r="A50" s="0" t="inlineStr">
        <is>
          <t>New</t>
        </is>
      </c>
      <c r="B50" s="0" t="inlineStr">
        <is>
          <t>Item</t>
        </is>
      </c>
      <c r="C50" s="0" t="inlineStr">
        <is>
          <t>Acquired</t>
        </is>
      </c>
      <c r="D50" s="0" t="inlineStr">
        <is>
          <t>:</t>
        </is>
      </c>
      <c r="E50" s="0" t="inlineStr">
        <is>
          <t>45.00K</t>
        </is>
      </c>
      <c r="F50" s="0" t="inlineStr">
        <is>
          <t>(3,</t>
        </is>
      </c>
      <c r="G50" s="0" t="inlineStr">
        <is>
          <t>7)</t>
        </is>
      </c>
    </row>
    <row r="51">
      <c r="A51" s="0" t="inlineStr">
        <is>
          <t>New</t>
        </is>
      </c>
      <c r="B51" s="0" t="inlineStr">
        <is>
          <t>Item</t>
        </is>
      </c>
      <c r="C51" s="0" t="inlineStr">
        <is>
          <t>Acquired</t>
        </is>
      </c>
      <c r="D51" s="0" t="inlineStr">
        <is>
          <t>:</t>
        </is>
      </c>
      <c r="E51" s="0" t="inlineStr">
        <is>
          <t>67.50K</t>
        </is>
      </c>
      <c r="F51" s="0" t="inlineStr">
        <is>
          <t>(5,</t>
        </is>
      </c>
      <c r="G51" s="0" t="inlineStr">
        <is>
          <t>1)</t>
        </is>
      </c>
    </row>
    <row r="52">
      <c r="A52" s="0" t="inlineStr">
        <is>
          <t>New</t>
        </is>
      </c>
      <c r="B52" s="0" t="inlineStr">
        <is>
          <t>Item</t>
        </is>
      </c>
      <c r="C52" s="0" t="inlineStr">
        <is>
          <t>Acquired</t>
        </is>
      </c>
      <c r="D52" s="0" t="inlineStr">
        <is>
          <t>:</t>
        </is>
      </c>
      <c r="E52" s="0" t="inlineStr">
        <is>
          <t>175.00K</t>
        </is>
      </c>
      <c r="F52" s="0" t="inlineStr">
        <is>
          <t>(6,</t>
        </is>
      </c>
      <c r="G52" s="0" t="inlineStr">
        <is>
          <t>6)</t>
        </is>
      </c>
    </row>
    <row r="53">
      <c r="A53" s="0" t="inlineStr">
        <is>
          <t>New</t>
        </is>
      </c>
      <c r="B53" s="0" t="inlineStr">
        <is>
          <t>Item</t>
        </is>
      </c>
      <c r="C53" s="0" t="inlineStr">
        <is>
          <t>Acquired</t>
        </is>
      </c>
      <c r="D53" s="0" t="inlineStr">
        <is>
          <t>:</t>
        </is>
      </c>
      <c r="E53" s="0" t="inlineStr">
        <is>
          <t>75.00K</t>
        </is>
      </c>
      <c r="F53" s="0" t="inlineStr">
        <is>
          <t>(3,</t>
        </is>
      </c>
      <c r="G53" s="0" t="inlineStr">
        <is>
          <t>22)</t>
        </is>
      </c>
    </row>
    <row r="54">
      <c r="A54" s="0" t="inlineStr">
        <is>
          <t>New</t>
        </is>
      </c>
      <c r="B54" s="0" t="inlineStr">
        <is>
          <t>Item</t>
        </is>
      </c>
      <c r="C54" s="0" t="inlineStr">
        <is>
          <t>Acquired</t>
        </is>
      </c>
      <c r="D54" s="0" t="inlineStr">
        <is>
          <t>:</t>
        </is>
      </c>
      <c r="E54" s="0" t="inlineStr">
        <is>
          <t>37.50K</t>
        </is>
      </c>
      <c r="F54" s="0" t="inlineStr">
        <is>
          <t>(2,</t>
        </is>
      </c>
      <c r="G54" s="0" t="inlineStr">
        <is>
          <t>4)</t>
        </is>
      </c>
    </row>
    <row r="55">
      <c r="A55" s="0" t="inlineStr">
        <is>
          <t>New</t>
        </is>
      </c>
      <c r="B55" s="0" t="inlineStr">
        <is>
          <t>Item</t>
        </is>
      </c>
      <c r="C55" s="0" t="inlineStr">
        <is>
          <t>Acquired</t>
        </is>
      </c>
      <c r="D55" s="0" t="inlineStr">
        <is>
          <t>:</t>
        </is>
      </c>
      <c r="E55" s="0" t="inlineStr">
        <is>
          <t>105.00K</t>
        </is>
      </c>
      <c r="F55" s="0" t="inlineStr">
        <is>
          <t>(4,</t>
        </is>
      </c>
      <c r="G55" s="0" t="inlineStr">
        <is>
          <t>22)</t>
        </is>
      </c>
    </row>
    <row r="56">
      <c r="A56" s="0" t="inlineStr">
        <is>
          <t>New</t>
        </is>
      </c>
      <c r="B56" s="0" t="inlineStr">
        <is>
          <t>Item</t>
        </is>
      </c>
      <c r="C56" s="0" t="inlineStr">
        <is>
          <t>Acquired</t>
        </is>
      </c>
      <c r="D56" s="0" t="inlineStr">
        <is>
          <t>:</t>
        </is>
      </c>
      <c r="E56" s="0" t="inlineStr">
        <is>
          <t>75.00K</t>
        </is>
      </c>
      <c r="F56" s="0" t="inlineStr">
        <is>
          <t>(6,</t>
        </is>
      </c>
      <c r="G56" s="0" t="inlineStr">
        <is>
          <t>3)</t>
        </is>
      </c>
    </row>
    <row r="57">
      <c r="A57" s="0" t="inlineStr">
        <is>
          <t>Item</t>
        </is>
      </c>
      <c r="B57" s="0" t="inlineStr">
        <is>
          <t>ReSelect</t>
        </is>
      </c>
      <c r="C57" s="0" t="inlineStr">
        <is>
          <t>Failed</t>
        </is>
      </c>
      <c r="D57" s="0" t="inlineStr">
        <is>
          <t>:</t>
        </is>
      </c>
      <c r="E57" s="0" t="inlineStr">
        <is>
          <t>Attempt</t>
        </is>
      </c>
      <c r="F57" s="0" t="inlineStr">
        <is>
          <t>Count</t>
        </is>
      </c>
      <c r="G57" s="0" t="inlineStr">
        <is>
          <t>-</t>
        </is>
      </c>
      <c r="H57" s="0" t="n">
        <v>3</v>
      </c>
    </row>
    <row r="58">
      <c r="A58" s="0" t="inlineStr">
        <is>
          <t>New</t>
        </is>
      </c>
      <c r="B58" s="0" t="inlineStr">
        <is>
          <t>Item</t>
        </is>
      </c>
      <c r="C58" s="0" t="inlineStr">
        <is>
          <t>Acquired</t>
        </is>
      </c>
      <c r="D58" s="0" t="inlineStr">
        <is>
          <t>:</t>
        </is>
      </c>
      <c r="E58" s="0" t="inlineStr">
        <is>
          <t>Mini</t>
        </is>
      </c>
      <c r="F58" s="0" t="inlineStr">
        <is>
          <t>(2,</t>
        </is>
      </c>
      <c r="G58" s="0" t="inlineStr">
        <is>
          <t>12)</t>
        </is>
      </c>
    </row>
    <row r="59">
      <c r="A59" s="0" t="inlineStr">
        <is>
          <t>New</t>
        </is>
      </c>
      <c r="B59" s="0" t="inlineStr">
        <is>
          <t>Item</t>
        </is>
      </c>
      <c r="C59" s="0" t="inlineStr">
        <is>
          <t>Acquired</t>
        </is>
      </c>
      <c r="D59" s="0" t="inlineStr">
        <is>
          <t>:</t>
        </is>
      </c>
      <c r="E59" s="0" t="inlineStr">
        <is>
          <t>75.00K</t>
        </is>
      </c>
      <c r="F59" s="0" t="inlineStr">
        <is>
          <t>(6,</t>
        </is>
      </c>
      <c r="G59" s="0" t="inlineStr">
        <is>
          <t>11)</t>
        </is>
      </c>
    </row>
    <row r="60">
      <c r="A60" s="0" t="inlineStr">
        <is>
          <t>New</t>
        </is>
      </c>
      <c r="B60" s="0" t="inlineStr">
        <is>
          <t>Item</t>
        </is>
      </c>
      <c r="C60" s="0" t="inlineStr">
        <is>
          <t>Acquired</t>
        </is>
      </c>
      <c r="D60" s="0" t="inlineStr">
        <is>
          <t>:</t>
        </is>
      </c>
      <c r="E60" s="0" t="inlineStr">
        <is>
          <t>67.50K</t>
        </is>
      </c>
      <c r="F60" s="0" t="inlineStr">
        <is>
          <t>(5,</t>
        </is>
      </c>
      <c r="G60" s="0" t="inlineStr">
        <is>
          <t>14)</t>
        </is>
      </c>
    </row>
    <row r="61">
      <c r="A61" s="0" t="inlineStr">
        <is>
          <t>New</t>
        </is>
      </c>
      <c r="B61" s="0" t="inlineStr">
        <is>
          <t>Item</t>
        </is>
      </c>
      <c r="C61" s="0" t="inlineStr">
        <is>
          <t>Acquired</t>
        </is>
      </c>
      <c r="D61" s="0" t="inlineStr">
        <is>
          <t>:</t>
        </is>
      </c>
      <c r="E61" s="0" t="inlineStr">
        <is>
          <t>30.00K</t>
        </is>
      </c>
      <c r="F61" s="0" t="inlineStr">
        <is>
          <t>(1,</t>
        </is>
      </c>
      <c r="G61" s="0" t="inlineStr">
        <is>
          <t>4)</t>
        </is>
      </c>
    </row>
    <row r="62">
      <c r="A62" s="0" t="inlineStr">
        <is>
          <t>New</t>
        </is>
      </c>
      <c r="B62" s="0" t="inlineStr">
        <is>
          <t>Item</t>
        </is>
      </c>
      <c r="C62" s="0" t="inlineStr">
        <is>
          <t>Acquired</t>
        </is>
      </c>
      <c r="D62" s="0" t="inlineStr">
        <is>
          <t>:</t>
        </is>
      </c>
      <c r="E62" s="0" t="inlineStr">
        <is>
          <t>60.00K</t>
        </is>
      </c>
      <c r="F62" s="0" t="inlineStr">
        <is>
          <t>(4,</t>
        </is>
      </c>
      <c r="G62" s="0" t="inlineStr">
        <is>
          <t>15)</t>
        </is>
      </c>
    </row>
    <row r="63">
      <c r="A63" s="0" t="inlineStr">
        <is>
          <t>New</t>
        </is>
      </c>
      <c r="B63" s="0" t="inlineStr">
        <is>
          <t>Item</t>
        </is>
      </c>
      <c r="C63" s="0" t="inlineStr">
        <is>
          <t>Acquired</t>
        </is>
      </c>
      <c r="D63" s="0" t="inlineStr">
        <is>
          <t>:</t>
        </is>
      </c>
      <c r="E63" s="0" t="inlineStr">
        <is>
          <t>150.00K</t>
        </is>
      </c>
      <c r="F63" s="0" t="inlineStr">
        <is>
          <t>(7,</t>
        </is>
      </c>
      <c r="G63" s="0" t="inlineStr">
        <is>
          <t>8)</t>
        </is>
      </c>
    </row>
    <row r="64">
      <c r="A64" s="0" t="inlineStr">
        <is>
          <t>New</t>
        </is>
      </c>
      <c r="B64" s="0" t="inlineStr">
        <is>
          <t>Item</t>
        </is>
      </c>
      <c r="C64" s="0" t="inlineStr">
        <is>
          <t>Acquired</t>
        </is>
      </c>
      <c r="D64" s="0" t="inlineStr">
        <is>
          <t>:</t>
        </is>
      </c>
      <c r="E64" s="0" t="inlineStr">
        <is>
          <t>75.00K</t>
        </is>
      </c>
      <c r="F64" s="0" t="inlineStr">
        <is>
          <t>(3,</t>
        </is>
      </c>
      <c r="G64" s="0" t="inlineStr">
        <is>
          <t>6)</t>
        </is>
      </c>
    </row>
    <row r="65">
      <c r="A65" s="0" t="inlineStr">
        <is>
          <t>New</t>
        </is>
      </c>
      <c r="B65" s="0" t="inlineStr">
        <is>
          <t>Item</t>
        </is>
      </c>
      <c r="C65" s="0" t="inlineStr">
        <is>
          <t>Acquired</t>
        </is>
      </c>
      <c r="D65" s="0" t="inlineStr">
        <is>
          <t>:</t>
        </is>
      </c>
      <c r="E65" s="0" t="inlineStr">
        <is>
          <t>67.50K</t>
        </is>
      </c>
      <c r="F65" s="0" t="inlineStr">
        <is>
          <t>(5,</t>
        </is>
      </c>
      <c r="G65" s="0" t="inlineStr">
        <is>
          <t>12)</t>
        </is>
      </c>
    </row>
    <row r="66">
      <c r="A66" s="0" t="inlineStr">
        <is>
          <t>New</t>
        </is>
      </c>
      <c r="B66" s="0" t="inlineStr">
        <is>
          <t>Item</t>
        </is>
      </c>
      <c r="C66" s="0" t="inlineStr">
        <is>
          <t>Acquired</t>
        </is>
      </c>
      <c r="D66" s="0" t="inlineStr">
        <is>
          <t>:</t>
        </is>
      </c>
      <c r="E66" s="0" t="inlineStr">
        <is>
          <t>120.00K</t>
        </is>
      </c>
      <c r="F66" s="0" t="inlineStr">
        <is>
          <t>(8,</t>
        </is>
      </c>
      <c r="G66" s="0" t="inlineStr">
        <is>
          <t>19)</t>
        </is>
      </c>
    </row>
    <row r="67">
      <c r="A67" s="0" t="inlineStr">
        <is>
          <t>New</t>
        </is>
      </c>
      <c r="B67" s="0" t="inlineStr">
        <is>
          <t>Item</t>
        </is>
      </c>
      <c r="C67" s="0" t="inlineStr">
        <is>
          <t>Acquired</t>
        </is>
      </c>
      <c r="D67" s="0" t="inlineStr">
        <is>
          <t>:</t>
        </is>
      </c>
      <c r="E67" s="0" t="inlineStr">
        <is>
          <t>62.50K</t>
        </is>
      </c>
      <c r="F67" s="0" t="inlineStr">
        <is>
          <t>(2,</t>
        </is>
      </c>
      <c r="G67" s="0" t="inlineStr">
        <is>
          <t>22)</t>
        </is>
      </c>
    </row>
    <row r="68">
      <c r="A68" s="0" t="inlineStr">
        <is>
          <t>New</t>
        </is>
      </c>
      <c r="B68" s="0" t="inlineStr">
        <is>
          <t>Item</t>
        </is>
      </c>
      <c r="C68" s="0" t="inlineStr">
        <is>
          <t>Acquired</t>
        </is>
      </c>
      <c r="D68" s="0" t="inlineStr">
        <is>
          <t>:</t>
        </is>
      </c>
      <c r="E68" s="0" t="inlineStr">
        <is>
          <t>90.00K</t>
        </is>
      </c>
      <c r="F68" s="0" t="inlineStr">
        <is>
          <t>(7,</t>
        </is>
      </c>
      <c r="G68" s="0" t="inlineStr">
        <is>
          <t>3)</t>
        </is>
      </c>
    </row>
    <row r="69">
      <c r="A69" s="0" t="inlineStr">
        <is>
          <t>New</t>
        </is>
      </c>
      <c r="B69" s="0" t="inlineStr">
        <is>
          <t>Item</t>
        </is>
      </c>
      <c r="C69" s="0" t="inlineStr">
        <is>
          <t>Acquired</t>
        </is>
      </c>
      <c r="D69" s="0" t="inlineStr">
        <is>
          <t>:</t>
        </is>
      </c>
      <c r="E69" s="0" t="inlineStr">
        <is>
          <t>150.00K</t>
        </is>
      </c>
      <c r="F69" s="0" t="inlineStr">
        <is>
          <t>(7,</t>
        </is>
      </c>
      <c r="G69" s="0" t="inlineStr">
        <is>
          <t>11)</t>
        </is>
      </c>
    </row>
    <row r="70">
      <c r="A70" s="0" t="inlineStr">
        <is>
          <t>New</t>
        </is>
      </c>
      <c r="B70" s="0" t="inlineStr">
        <is>
          <t>Item</t>
        </is>
      </c>
      <c r="C70" s="0" t="inlineStr">
        <is>
          <t>Acquired</t>
        </is>
      </c>
      <c r="D70" s="0" t="inlineStr">
        <is>
          <t>:</t>
        </is>
      </c>
      <c r="E70" s="0" t="inlineStr">
        <is>
          <t>Mini</t>
        </is>
      </c>
      <c r="F70" s="0" t="inlineStr">
        <is>
          <t>(1,</t>
        </is>
      </c>
      <c r="G70" s="0" t="inlineStr">
        <is>
          <t>22)</t>
        </is>
      </c>
    </row>
    <row r="71">
      <c r="A71" s="0" t="inlineStr">
        <is>
          <t>New</t>
        </is>
      </c>
      <c r="B71" s="0" t="inlineStr">
        <is>
          <t>Item</t>
        </is>
      </c>
      <c r="C71" s="0" t="inlineStr">
        <is>
          <t>Acquired</t>
        </is>
      </c>
      <c r="D71" s="0" t="inlineStr">
        <is>
          <t>:</t>
        </is>
      </c>
      <c r="E71" s="0" t="inlineStr">
        <is>
          <t>45.00K</t>
        </is>
      </c>
      <c r="F71" s="0" t="inlineStr">
        <is>
          <t>(3,</t>
        </is>
      </c>
      <c r="G71" s="0" t="inlineStr">
        <is>
          <t>9)</t>
        </is>
      </c>
    </row>
    <row r="72">
      <c r="A72" s="0" t="inlineStr">
        <is>
          <t>New</t>
        </is>
      </c>
      <c r="B72" s="0" t="inlineStr">
        <is>
          <t>Item</t>
        </is>
      </c>
      <c r="C72" s="0" t="inlineStr">
        <is>
          <t>Acquired</t>
        </is>
      </c>
      <c r="D72" s="0" t="inlineStr">
        <is>
          <t>:</t>
        </is>
      </c>
      <c r="E72" s="0" t="inlineStr">
        <is>
          <t>87.50K</t>
        </is>
      </c>
      <c r="F72" s="0" t="inlineStr">
        <is>
          <t>(2,</t>
        </is>
      </c>
      <c r="G72" s="0" t="inlineStr">
        <is>
          <t>7)</t>
        </is>
      </c>
    </row>
    <row r="73">
      <c r="A73" s="0" t="inlineStr">
        <is>
          <t>Item</t>
        </is>
      </c>
      <c r="B73" s="0" t="inlineStr">
        <is>
          <t>ReSelect</t>
        </is>
      </c>
      <c r="C73" s="0" t="inlineStr">
        <is>
          <t>Failed</t>
        </is>
      </c>
      <c r="D73" s="0" t="inlineStr">
        <is>
          <t>:</t>
        </is>
      </c>
      <c r="E73" s="0" t="inlineStr">
        <is>
          <t>Attempt</t>
        </is>
      </c>
      <c r="F73" s="0" t="inlineStr">
        <is>
          <t>Count</t>
        </is>
      </c>
      <c r="G73" s="0" t="inlineStr">
        <is>
          <t>-</t>
        </is>
      </c>
      <c r="H73" s="0" t="n">
        <v>3</v>
      </c>
    </row>
    <row r="74">
      <c r="A74" s="0" t="inlineStr">
        <is>
          <t>New</t>
        </is>
      </c>
      <c r="B74" s="0" t="inlineStr">
        <is>
          <t>Item</t>
        </is>
      </c>
      <c r="C74" s="0" t="inlineStr">
        <is>
          <t>Acquired</t>
        </is>
      </c>
      <c r="D74" s="0" t="inlineStr">
        <is>
          <t>:</t>
        </is>
      </c>
      <c r="E74" s="0" t="inlineStr">
        <is>
          <t>75.00K</t>
        </is>
      </c>
      <c r="F74" s="0" t="inlineStr">
        <is>
          <t>(6,</t>
        </is>
      </c>
      <c r="G74" s="0" t="inlineStr">
        <is>
          <t>9)</t>
        </is>
      </c>
    </row>
    <row r="75">
      <c r="A75" s="0" t="inlineStr">
        <is>
          <t>New</t>
        </is>
      </c>
      <c r="B75" s="0" t="inlineStr">
        <is>
          <t>Item</t>
        </is>
      </c>
      <c r="C75" s="0" t="inlineStr">
        <is>
          <t>Acquired</t>
        </is>
      </c>
      <c r="D75" s="0" t="inlineStr">
        <is>
          <t>:</t>
        </is>
      </c>
      <c r="E75" s="0" t="inlineStr">
        <is>
          <t>62.50K</t>
        </is>
      </c>
      <c r="F75" s="0" t="inlineStr">
        <is>
          <t>(2,</t>
        </is>
      </c>
      <c r="G75" s="0" t="inlineStr">
        <is>
          <t>6)</t>
        </is>
      </c>
    </row>
    <row r="76">
      <c r="A76" s="0" t="inlineStr">
        <is>
          <t>New</t>
        </is>
      </c>
      <c r="B76" s="0" t="inlineStr">
        <is>
          <t>Item</t>
        </is>
      </c>
      <c r="C76" s="0" t="inlineStr">
        <is>
          <t>Acquired</t>
        </is>
      </c>
      <c r="D76" s="0" t="inlineStr">
        <is>
          <t>:</t>
        </is>
      </c>
      <c r="E76" s="0" t="inlineStr">
        <is>
          <t>67.50K</t>
        </is>
      </c>
      <c r="F76" s="0" t="inlineStr">
        <is>
          <t>(5,</t>
        </is>
      </c>
      <c r="G76" s="0" t="inlineStr">
        <is>
          <t>10)</t>
        </is>
      </c>
    </row>
    <row r="77">
      <c r="A77" s="0" t="inlineStr">
        <is>
          <t>New</t>
        </is>
      </c>
      <c r="B77" s="0" t="inlineStr">
        <is>
          <t>Item</t>
        </is>
      </c>
      <c r="C77" s="0" t="inlineStr">
        <is>
          <t>Acquired</t>
        </is>
      </c>
      <c r="D77" s="0" t="inlineStr">
        <is>
          <t>:</t>
        </is>
      </c>
      <c r="E77" s="0" t="inlineStr">
        <is>
          <t>75.00K</t>
        </is>
      </c>
      <c r="F77" s="0" t="inlineStr">
        <is>
          <t>(4,</t>
        </is>
      </c>
      <c r="G77" s="0" t="inlineStr">
        <is>
          <t>20)</t>
        </is>
      </c>
    </row>
    <row r="78">
      <c r="A78" s="0" t="inlineStr">
        <is>
          <t>New</t>
        </is>
      </c>
      <c r="B78" s="0" t="inlineStr">
        <is>
          <t>Item</t>
        </is>
      </c>
      <c r="C78" s="0" t="inlineStr">
        <is>
          <t>Acquired</t>
        </is>
      </c>
      <c r="D78" s="0" t="inlineStr">
        <is>
          <t>:</t>
        </is>
      </c>
      <c r="E78" s="0" t="inlineStr">
        <is>
          <t>87.50K</t>
        </is>
      </c>
      <c r="F78" s="0" t="inlineStr">
        <is>
          <t>(2,</t>
        </is>
      </c>
      <c r="G78" s="0" t="inlineStr">
        <is>
          <t>8)</t>
        </is>
      </c>
    </row>
    <row r="79">
      <c r="A79" s="0" t="inlineStr">
        <is>
          <t>Line</t>
        </is>
      </c>
      <c r="B79" s="0" t="inlineStr">
        <is>
          <t>Prize</t>
        </is>
      </c>
      <c r="C79" s="0" t="inlineStr">
        <is>
          <t>Acquired</t>
        </is>
      </c>
      <c r="D79" s="0" t="inlineStr">
        <is>
          <t>:</t>
        </is>
      </c>
      <c r="E79" s="0" t="inlineStr">
        <is>
          <t>6.71M</t>
        </is>
      </c>
      <c r="F79" s="0" t="inlineStr">
        <is>
          <t>(Stage</t>
        </is>
      </c>
      <c r="G79" s="0" t="inlineStr">
        <is>
          <t>:</t>
        </is>
      </c>
      <c r="H79" s="0" t="inlineStr">
        <is>
          <t>2)</t>
        </is>
      </c>
      <c r="I79" s="0" t="inlineStr">
        <is>
          <t>-</t>
        </is>
      </c>
      <c r="J79" s="0" t="n">
        <v>6712500</v>
      </c>
    </row>
    <row r="80">
      <c r="A80" s="0" t="inlineStr">
        <is>
          <t>Clear</t>
        </is>
      </c>
      <c r="B80" s="0" t="inlineStr">
        <is>
          <t>Gem</t>
        </is>
      </c>
      <c r="C80" s="0" t="inlineStr">
        <is>
          <t>Acquired</t>
        </is>
      </c>
      <c r="D80" s="0" t="inlineStr">
        <is>
          <t>:</t>
        </is>
      </c>
      <c r="E80" s="0" t="n">
        <v>0</v>
      </c>
      <c r="F80" s="0" t="inlineStr">
        <is>
          <t>-&gt;</t>
        </is>
      </c>
      <c r="G80" s="0" t="n">
        <v>100</v>
      </c>
      <c r="H80" s="0" t="inlineStr">
        <is>
          <t>(Stage</t>
        </is>
      </c>
      <c r="I80" s="0" t="inlineStr">
        <is>
          <t>:</t>
        </is>
      </c>
      <c r="J80" s="0" t="inlineStr">
        <is>
          <t>2)</t>
        </is>
      </c>
    </row>
    <row r="81">
      <c r="A81" s="0" t="inlineStr">
        <is>
          <t>New</t>
        </is>
      </c>
      <c r="B81" s="0" t="inlineStr">
        <is>
          <t>Item</t>
        </is>
      </c>
      <c r="C81" s="0" t="inlineStr">
        <is>
          <t>Acquired</t>
        </is>
      </c>
      <c r="D81" s="0" t="inlineStr">
        <is>
          <t>:</t>
        </is>
      </c>
      <c r="E81" s="0" t="inlineStr">
        <is>
          <t>75.00K</t>
        </is>
      </c>
      <c r="F81" s="0" t="inlineStr">
        <is>
          <t>(6,</t>
        </is>
      </c>
      <c r="G81" s="0" t="inlineStr">
        <is>
          <t>10)</t>
        </is>
      </c>
    </row>
    <row r="82">
      <c r="A82" s="0" t="inlineStr">
        <is>
          <t>New</t>
        </is>
      </c>
      <c r="B82" s="0" t="inlineStr">
        <is>
          <t>Item</t>
        </is>
      </c>
      <c r="C82" s="0" t="inlineStr">
        <is>
          <t>Acquired</t>
        </is>
      </c>
      <c r="D82" s="0" t="inlineStr">
        <is>
          <t>:</t>
        </is>
      </c>
      <c r="E82" s="0" t="inlineStr">
        <is>
          <t>62.50K</t>
        </is>
      </c>
      <c r="F82" s="0" t="inlineStr">
        <is>
          <t>(2,</t>
        </is>
      </c>
      <c r="G82" s="0" t="inlineStr">
        <is>
          <t>15)</t>
        </is>
      </c>
    </row>
    <row r="83">
      <c r="A83" s="0" t="inlineStr">
        <is>
          <t>New</t>
        </is>
      </c>
      <c r="B83" s="0" t="inlineStr">
        <is>
          <t>Item</t>
        </is>
      </c>
      <c r="C83" s="0" t="inlineStr">
        <is>
          <t>Acquired</t>
        </is>
      </c>
      <c r="D83" s="0" t="inlineStr">
        <is>
          <t>:</t>
        </is>
      </c>
      <c r="E83" s="0" t="inlineStr">
        <is>
          <t>125.00K</t>
        </is>
      </c>
      <c r="F83" s="0" t="inlineStr">
        <is>
          <t>(6,</t>
        </is>
      </c>
      <c r="G83" s="0" t="inlineStr">
        <is>
          <t>16)</t>
        </is>
      </c>
    </row>
    <row r="84">
      <c r="A84" s="0" t="inlineStr">
        <is>
          <t>New</t>
        </is>
      </c>
      <c r="B84" s="0" t="inlineStr">
        <is>
          <t>Item</t>
        </is>
      </c>
      <c r="C84" s="0" t="inlineStr">
        <is>
          <t>Acquired</t>
        </is>
      </c>
      <c r="D84" s="0" t="inlineStr">
        <is>
          <t>:</t>
        </is>
      </c>
      <c r="E84" s="0" t="inlineStr">
        <is>
          <t>280.00K</t>
        </is>
      </c>
      <c r="F84" s="0" t="inlineStr">
        <is>
          <t>(8,</t>
        </is>
      </c>
      <c r="G84" s="0" t="inlineStr">
        <is>
          <t>4)</t>
        </is>
      </c>
    </row>
    <row r="85">
      <c r="A85" s="0" t="inlineStr">
        <is>
          <t>New</t>
        </is>
      </c>
      <c r="B85" s="0" t="inlineStr">
        <is>
          <t>Item</t>
        </is>
      </c>
      <c r="C85" s="0" t="inlineStr">
        <is>
          <t>Acquired</t>
        </is>
      </c>
      <c r="D85" s="0" t="inlineStr">
        <is>
          <t>:</t>
        </is>
      </c>
      <c r="E85" s="0" t="inlineStr">
        <is>
          <t>Minor</t>
        </is>
      </c>
      <c r="F85" s="0" t="inlineStr">
        <is>
          <t>(4,</t>
        </is>
      </c>
      <c r="G85" s="0" t="inlineStr">
        <is>
          <t>19)</t>
        </is>
      </c>
    </row>
    <row r="86">
      <c r="A86" s="0" t="inlineStr">
        <is>
          <t>New</t>
        </is>
      </c>
      <c r="B86" s="0" t="inlineStr">
        <is>
          <t>Item</t>
        </is>
      </c>
      <c r="C86" s="0" t="inlineStr">
        <is>
          <t>Acquired</t>
        </is>
      </c>
      <c r="D86" s="0" t="inlineStr">
        <is>
          <t>:</t>
        </is>
      </c>
      <c r="E86" s="0" t="inlineStr">
        <is>
          <t>50.00K</t>
        </is>
      </c>
      <c r="F86" s="0" t="inlineStr">
        <is>
          <t>(1,</t>
        </is>
      </c>
      <c r="G86" s="0" t="inlineStr">
        <is>
          <t>7)</t>
        </is>
      </c>
    </row>
    <row r="87">
      <c r="A87" s="0" t="inlineStr">
        <is>
          <t>New</t>
        </is>
      </c>
      <c r="B87" s="0" t="inlineStr">
        <is>
          <t>Item</t>
        </is>
      </c>
      <c r="C87" s="0" t="inlineStr">
        <is>
          <t>Acquired</t>
        </is>
      </c>
      <c r="D87" s="0" t="inlineStr">
        <is>
          <t>:</t>
        </is>
      </c>
      <c r="E87" s="0" t="inlineStr">
        <is>
          <t>90.00K</t>
        </is>
      </c>
      <c r="F87" s="0" t="inlineStr">
        <is>
          <t>(7,</t>
        </is>
      </c>
      <c r="G87" s="0" t="inlineStr">
        <is>
          <t>9)</t>
        </is>
      </c>
    </row>
    <row r="88">
      <c r="A88" s="0" t="inlineStr">
        <is>
          <t>New</t>
        </is>
      </c>
      <c r="B88" s="0" t="inlineStr">
        <is>
          <t>Item</t>
        </is>
      </c>
      <c r="C88" s="0" t="inlineStr">
        <is>
          <t>Acquired</t>
        </is>
      </c>
      <c r="D88" s="0" t="inlineStr">
        <is>
          <t>:</t>
        </is>
      </c>
      <c r="E88" s="0" t="inlineStr">
        <is>
          <t>62.50K</t>
        </is>
      </c>
      <c r="F88" s="0" t="inlineStr">
        <is>
          <t>(2,</t>
        </is>
      </c>
      <c r="G88" s="0" t="inlineStr">
        <is>
          <t>16)</t>
        </is>
      </c>
    </row>
    <row r="89">
      <c r="A89" s="0" t="inlineStr">
        <is>
          <t>New</t>
        </is>
      </c>
      <c r="B89" s="0" t="inlineStr">
        <is>
          <t>Item</t>
        </is>
      </c>
      <c r="C89" s="0" t="inlineStr">
        <is>
          <t>Acquired</t>
        </is>
      </c>
      <c r="D89" s="0" t="inlineStr">
        <is>
          <t>:</t>
        </is>
      </c>
      <c r="E89" s="0" t="inlineStr">
        <is>
          <t>87.50K</t>
        </is>
      </c>
      <c r="F89" s="0" t="inlineStr">
        <is>
          <t>(2,</t>
        </is>
      </c>
      <c r="G89" s="0" t="inlineStr">
        <is>
          <t>6)</t>
        </is>
      </c>
    </row>
    <row r="90">
      <c r="A90" s="0" t="inlineStr">
        <is>
          <t>New</t>
        </is>
      </c>
      <c r="B90" s="0" t="inlineStr">
        <is>
          <t>Item</t>
        </is>
      </c>
      <c r="C90" s="0" t="inlineStr">
        <is>
          <t>Acquired</t>
        </is>
      </c>
      <c r="D90" s="0" t="inlineStr">
        <is>
          <t>:</t>
        </is>
      </c>
      <c r="E90" s="0" t="inlineStr">
        <is>
          <t>175.00K</t>
        </is>
      </c>
      <c r="F90" s="0" t="inlineStr">
        <is>
          <t>(6,</t>
        </is>
      </c>
      <c r="G90" s="0" t="inlineStr">
        <is>
          <t>5)</t>
        </is>
      </c>
    </row>
    <row r="91">
      <c r="A91" s="0" t="inlineStr">
        <is>
          <t>New</t>
        </is>
      </c>
      <c r="B91" s="0" t="inlineStr">
        <is>
          <t>Item</t>
        </is>
      </c>
      <c r="C91" s="0" t="inlineStr">
        <is>
          <t>Acquired</t>
        </is>
      </c>
      <c r="D91" s="0" t="inlineStr">
        <is>
          <t>:</t>
        </is>
      </c>
      <c r="E91" s="0" t="inlineStr">
        <is>
          <t>157.50K</t>
        </is>
      </c>
      <c r="F91" s="0" t="inlineStr">
        <is>
          <t>(5,</t>
        </is>
      </c>
      <c r="G91" s="0" t="inlineStr">
        <is>
          <t>5)</t>
        </is>
      </c>
    </row>
    <row r="92">
      <c r="A92" s="0" t="inlineStr">
        <is>
          <t>New</t>
        </is>
      </c>
      <c r="B92" s="0" t="inlineStr">
        <is>
          <t>Item</t>
        </is>
      </c>
      <c r="C92" s="0" t="inlineStr">
        <is>
          <t>Acquired</t>
        </is>
      </c>
      <c r="D92" s="0" t="inlineStr">
        <is>
          <t>:</t>
        </is>
      </c>
      <c r="E92" s="0" t="inlineStr">
        <is>
          <t>125.00K</t>
        </is>
      </c>
      <c r="F92" s="0" t="inlineStr">
        <is>
          <t>(6,</t>
        </is>
      </c>
      <c r="G92" s="0" t="inlineStr">
        <is>
          <t>23)</t>
        </is>
      </c>
    </row>
    <row r="93">
      <c r="A93" s="0" t="inlineStr">
        <is>
          <t>New</t>
        </is>
      </c>
      <c r="B93" s="0" t="inlineStr">
        <is>
          <t>Item</t>
        </is>
      </c>
      <c r="C93" s="0" t="inlineStr">
        <is>
          <t>Acquired</t>
        </is>
      </c>
      <c r="D93" s="0" t="inlineStr">
        <is>
          <t>:</t>
        </is>
      </c>
      <c r="E93" s="0" t="inlineStr">
        <is>
          <t>62.50K</t>
        </is>
      </c>
      <c r="F93" s="0" t="inlineStr">
        <is>
          <t>(2,</t>
        </is>
      </c>
      <c r="G93" s="0" t="inlineStr">
        <is>
          <t>1)</t>
        </is>
      </c>
    </row>
    <row r="94">
      <c r="A94" s="0" t="inlineStr">
        <is>
          <t>New</t>
        </is>
      </c>
      <c r="B94" s="0" t="inlineStr">
        <is>
          <t>Item</t>
        </is>
      </c>
      <c r="C94" s="0" t="inlineStr">
        <is>
          <t>Acquired</t>
        </is>
      </c>
      <c r="D94" s="0" t="inlineStr">
        <is>
          <t>:</t>
        </is>
      </c>
      <c r="E94" s="0" t="inlineStr">
        <is>
          <t>Mini</t>
        </is>
      </c>
      <c r="F94" s="0" t="inlineStr">
        <is>
          <t>(1,</t>
        </is>
      </c>
      <c r="G94" s="0" t="inlineStr">
        <is>
          <t>16)</t>
        </is>
      </c>
    </row>
    <row r="95">
      <c r="A95" s="0" t="inlineStr">
        <is>
          <t>New</t>
        </is>
      </c>
      <c r="B95" s="0" t="inlineStr">
        <is>
          <t>Item</t>
        </is>
      </c>
      <c r="C95" s="0" t="inlineStr">
        <is>
          <t>Acquired</t>
        </is>
      </c>
      <c r="D95" s="0" t="inlineStr">
        <is>
          <t>:</t>
        </is>
      </c>
      <c r="E95" s="0" t="inlineStr">
        <is>
          <t>Major</t>
        </is>
      </c>
      <c r="F95" s="0" t="inlineStr">
        <is>
          <t>(2,</t>
        </is>
      </c>
      <c r="G95" s="0" t="inlineStr">
        <is>
          <t>24)</t>
        </is>
      </c>
    </row>
    <row r="96">
      <c r="A96" s="0" t="inlineStr">
        <is>
          <t>New</t>
        </is>
      </c>
      <c r="B96" s="0" t="inlineStr">
        <is>
          <t>Item</t>
        </is>
      </c>
      <c r="C96" s="0" t="inlineStr">
        <is>
          <t>Acquired</t>
        </is>
      </c>
      <c r="D96" s="0" t="inlineStr">
        <is>
          <t>:</t>
        </is>
      </c>
      <c r="E96" s="0" t="inlineStr">
        <is>
          <t>50.00K</t>
        </is>
      </c>
      <c r="F96" s="0" t="inlineStr">
        <is>
          <t>(1,</t>
        </is>
      </c>
      <c r="G96" s="0" t="inlineStr">
        <is>
          <t>15)</t>
        </is>
      </c>
    </row>
    <row r="97">
      <c r="A97" s="0" t="inlineStr">
        <is>
          <t>New</t>
        </is>
      </c>
      <c r="B97" s="0" t="inlineStr">
        <is>
          <t>Item</t>
        </is>
      </c>
      <c r="C97" s="0" t="inlineStr">
        <is>
          <t>Acquired</t>
        </is>
      </c>
      <c r="D97" s="0" t="inlineStr">
        <is>
          <t>:</t>
        </is>
      </c>
      <c r="E97" s="0" t="inlineStr">
        <is>
          <t>Minor</t>
        </is>
      </c>
      <c r="F97" s="0" t="inlineStr">
        <is>
          <t>(8,</t>
        </is>
      </c>
      <c r="G97" s="0" t="inlineStr">
        <is>
          <t>15)</t>
        </is>
      </c>
    </row>
    <row r="98">
      <c r="A98" s="0" t="inlineStr">
        <is>
          <t>New</t>
        </is>
      </c>
      <c r="B98" s="0" t="inlineStr">
        <is>
          <t>Item</t>
        </is>
      </c>
      <c r="C98" s="0" t="inlineStr">
        <is>
          <t>Acquired</t>
        </is>
      </c>
      <c r="D98" s="0" t="inlineStr">
        <is>
          <t>:</t>
        </is>
      </c>
      <c r="E98" s="0" t="inlineStr">
        <is>
          <t>87.50K</t>
        </is>
      </c>
      <c r="F98" s="0" t="inlineStr">
        <is>
          <t>(2,</t>
        </is>
      </c>
      <c r="G98" s="0" t="inlineStr">
        <is>
          <t>18)</t>
        </is>
      </c>
    </row>
    <row r="99">
      <c r="A99" s="0" t="inlineStr">
        <is>
          <t>New</t>
        </is>
      </c>
      <c r="B99" s="0" t="inlineStr">
        <is>
          <t>Item</t>
        </is>
      </c>
      <c r="C99" s="0" t="inlineStr">
        <is>
          <t>Acquired</t>
        </is>
      </c>
      <c r="D99" s="0" t="inlineStr">
        <is>
          <t>:</t>
        </is>
      </c>
      <c r="E99" s="0" t="inlineStr">
        <is>
          <t>125.00K</t>
        </is>
      </c>
      <c r="F99" s="0" t="inlineStr">
        <is>
          <t>(6,</t>
        </is>
      </c>
      <c r="G99" s="0" t="inlineStr">
        <is>
          <t>21)</t>
        </is>
      </c>
    </row>
    <row r="100">
      <c r="A100" s="0" t="inlineStr">
        <is>
          <t>New</t>
        </is>
      </c>
      <c r="B100" s="0" t="inlineStr">
        <is>
          <t>Item</t>
        </is>
      </c>
      <c r="C100" s="0" t="inlineStr">
        <is>
          <t>Acquired</t>
        </is>
      </c>
      <c r="D100" s="0" t="inlineStr">
        <is>
          <t>:</t>
        </is>
      </c>
      <c r="E100" s="0" t="inlineStr">
        <is>
          <t>105.00K</t>
        </is>
      </c>
      <c r="F100" s="0" t="inlineStr">
        <is>
          <t>(3,</t>
        </is>
      </c>
      <c r="G100" s="0" t="inlineStr">
        <is>
          <t>3)</t>
        </is>
      </c>
    </row>
    <row r="101">
      <c r="A101" s="0" t="inlineStr">
        <is>
          <t>New</t>
        </is>
      </c>
      <c r="B101" s="0" t="inlineStr">
        <is>
          <t>Item</t>
        </is>
      </c>
      <c r="C101" s="0" t="inlineStr">
        <is>
          <t>Acquired</t>
        </is>
      </c>
      <c r="D101" s="0" t="inlineStr">
        <is>
          <t>:</t>
        </is>
      </c>
      <c r="E101" s="0" t="inlineStr">
        <is>
          <t>Mini</t>
        </is>
      </c>
      <c r="F101" s="0" t="inlineStr">
        <is>
          <t>(1,</t>
        </is>
      </c>
      <c r="G101" s="0" t="inlineStr">
        <is>
          <t>20)</t>
        </is>
      </c>
    </row>
    <row r="102">
      <c r="A102" s="0" t="inlineStr">
        <is>
          <t>Line</t>
        </is>
      </c>
      <c r="B102" s="0" t="inlineStr">
        <is>
          <t>Prize</t>
        </is>
      </c>
      <c r="C102" s="0" t="inlineStr">
        <is>
          <t>Acquired</t>
        </is>
      </c>
      <c r="D102" s="0" t="inlineStr">
        <is>
          <t>:</t>
        </is>
      </c>
      <c r="E102" s="0" t="inlineStr">
        <is>
          <t>820.00K</t>
        </is>
      </c>
      <c r="F102" s="0" t="inlineStr">
        <is>
          <t>(Stage</t>
        </is>
      </c>
      <c r="G102" s="0" t="inlineStr">
        <is>
          <t>:</t>
        </is>
      </c>
      <c r="H102" s="0" t="inlineStr">
        <is>
          <t>1)</t>
        </is>
      </c>
      <c r="I102" s="0" t="inlineStr">
        <is>
          <t>-</t>
        </is>
      </c>
      <c r="J102" s="0" t="n">
        <v>820000</v>
      </c>
    </row>
    <row r="103">
      <c r="A103" s="0" t="inlineStr">
        <is>
          <t>Clear</t>
        </is>
      </c>
      <c r="B103" s="0" t="inlineStr">
        <is>
          <t>Gem</t>
        </is>
      </c>
      <c r="C103" s="0" t="inlineStr">
        <is>
          <t>Acquired</t>
        </is>
      </c>
      <c r="D103" s="0" t="inlineStr">
        <is>
          <t>:</t>
        </is>
      </c>
      <c r="E103" s="0" t="n">
        <v>100</v>
      </c>
      <c r="F103" s="0" t="inlineStr">
        <is>
          <t>-&gt;</t>
        </is>
      </c>
      <c r="G103" s="0" t="n">
        <v>200</v>
      </c>
      <c r="H103" s="0" t="inlineStr">
        <is>
          <t>(Stage</t>
        </is>
      </c>
      <c r="I103" s="0" t="inlineStr">
        <is>
          <t>:</t>
        </is>
      </c>
      <c r="J103" s="0" t="inlineStr">
        <is>
          <t>1)</t>
        </is>
      </c>
    </row>
    <row r="104">
      <c r="A104" s="0" t="inlineStr">
        <is>
          <t>New</t>
        </is>
      </c>
      <c r="B104" s="0" t="inlineStr">
        <is>
          <t>Item</t>
        </is>
      </c>
      <c r="C104" s="0" t="inlineStr">
        <is>
          <t>Acquired</t>
        </is>
      </c>
      <c r="D104" s="0" t="inlineStr">
        <is>
          <t>:</t>
        </is>
      </c>
      <c r="E104" s="0" t="inlineStr">
        <is>
          <t>37.50K</t>
        </is>
      </c>
      <c r="F104" s="0" t="inlineStr">
        <is>
          <t>(2,</t>
        </is>
      </c>
      <c r="G104" s="0" t="inlineStr">
        <is>
          <t>17)</t>
        </is>
      </c>
    </row>
    <row r="105">
      <c r="A105" s="0" t="inlineStr">
        <is>
          <t>New</t>
        </is>
      </c>
      <c r="B105" s="0" t="inlineStr">
        <is>
          <t>Item</t>
        </is>
      </c>
      <c r="C105" s="0" t="inlineStr">
        <is>
          <t>Acquired</t>
        </is>
      </c>
      <c r="D105" s="0" t="inlineStr">
        <is>
          <t>:</t>
        </is>
      </c>
      <c r="E105" s="0" t="inlineStr">
        <is>
          <t>150.00K</t>
        </is>
      </c>
      <c r="F105" s="0" t="inlineStr">
        <is>
          <t>(7,</t>
        </is>
      </c>
      <c r="G105" s="0" t="inlineStr">
        <is>
          <t>19)</t>
        </is>
      </c>
    </row>
    <row r="106">
      <c r="A106" s="0" t="inlineStr">
        <is>
          <t>New</t>
        </is>
      </c>
      <c r="B106" s="0" t="inlineStr">
        <is>
          <t>Item</t>
        </is>
      </c>
      <c r="C106" s="0" t="inlineStr">
        <is>
          <t>Acquired</t>
        </is>
      </c>
      <c r="D106" s="0" t="inlineStr">
        <is>
          <t>:</t>
        </is>
      </c>
      <c r="E106" s="0" t="inlineStr">
        <is>
          <t>30.00K</t>
        </is>
      </c>
      <c r="F106" s="0" t="inlineStr">
        <is>
          <t>(1,</t>
        </is>
      </c>
      <c r="G106" s="0" t="inlineStr">
        <is>
          <t>25)</t>
        </is>
      </c>
    </row>
    <row r="107">
      <c r="A107" s="0" t="inlineStr">
        <is>
          <t>New</t>
        </is>
      </c>
      <c r="B107" s="0" t="inlineStr">
        <is>
          <t>Item</t>
        </is>
      </c>
      <c r="C107" s="0" t="inlineStr">
        <is>
          <t>Acquired</t>
        </is>
      </c>
      <c r="D107" s="0" t="inlineStr">
        <is>
          <t>:</t>
        </is>
      </c>
      <c r="E107" s="0" t="inlineStr">
        <is>
          <t>62.50K</t>
        </is>
      </c>
      <c r="F107" s="0" t="inlineStr">
        <is>
          <t>(2,</t>
        </is>
      </c>
      <c r="G107" s="0" t="inlineStr">
        <is>
          <t>14)</t>
        </is>
      </c>
    </row>
    <row r="108">
      <c r="A108" s="0" t="inlineStr">
        <is>
          <t>New</t>
        </is>
      </c>
      <c r="B108" s="0" t="inlineStr">
        <is>
          <t>Item</t>
        </is>
      </c>
      <c r="C108" s="0" t="inlineStr">
        <is>
          <t>Acquired</t>
        </is>
      </c>
      <c r="D108" s="0" t="inlineStr">
        <is>
          <t>:</t>
        </is>
      </c>
      <c r="E108" s="0" t="inlineStr">
        <is>
          <t>75.00K</t>
        </is>
      </c>
      <c r="F108" s="0" t="inlineStr">
        <is>
          <t>(3,</t>
        </is>
      </c>
      <c r="G108" s="0" t="inlineStr">
        <is>
          <t>23)</t>
        </is>
      </c>
    </row>
    <row r="109">
      <c r="A109" s="0" t="inlineStr">
        <is>
          <t>New</t>
        </is>
      </c>
      <c r="B109" s="0" t="inlineStr">
        <is>
          <t>Item</t>
        </is>
      </c>
      <c r="C109" s="0" t="inlineStr">
        <is>
          <t>Acquired</t>
        </is>
      </c>
      <c r="D109" s="0" t="inlineStr">
        <is>
          <t>:</t>
        </is>
      </c>
      <c r="E109" s="0" t="inlineStr">
        <is>
          <t>30.00K</t>
        </is>
      </c>
      <c r="F109" s="0" t="inlineStr">
        <is>
          <t>(1,</t>
        </is>
      </c>
      <c r="G109" s="0" t="inlineStr">
        <is>
          <t>22)</t>
        </is>
      </c>
    </row>
    <row r="110">
      <c r="A110" s="0" t="inlineStr">
        <is>
          <t>New</t>
        </is>
      </c>
      <c r="B110" s="0" t="inlineStr">
        <is>
          <t>Item</t>
        </is>
      </c>
      <c r="C110" s="0" t="inlineStr">
        <is>
          <t>Acquired</t>
        </is>
      </c>
      <c r="D110" s="0" t="inlineStr">
        <is>
          <t>:</t>
        </is>
      </c>
      <c r="E110" s="0" t="inlineStr">
        <is>
          <t>120.00K</t>
        </is>
      </c>
      <c r="F110" s="0" t="inlineStr">
        <is>
          <t>(8,</t>
        </is>
      </c>
      <c r="G110" s="0" t="inlineStr">
        <is>
          <t>10)</t>
        </is>
      </c>
    </row>
    <row r="111">
      <c r="A111" s="0" t="inlineStr">
        <is>
          <t>Item</t>
        </is>
      </c>
      <c r="B111" s="0" t="inlineStr">
        <is>
          <t>ReSelect</t>
        </is>
      </c>
      <c r="C111" s="0" t="inlineStr">
        <is>
          <t>Failed</t>
        </is>
      </c>
      <c r="D111" s="0" t="inlineStr">
        <is>
          <t>:</t>
        </is>
      </c>
      <c r="E111" s="0" t="inlineStr">
        <is>
          <t>Attempt</t>
        </is>
      </c>
      <c r="F111" s="0" t="inlineStr">
        <is>
          <t>Count</t>
        </is>
      </c>
      <c r="G111" s="0" t="inlineStr">
        <is>
          <t>-</t>
        </is>
      </c>
      <c r="H111" s="0" t="n">
        <v>3</v>
      </c>
    </row>
    <row r="112">
      <c r="A112" s="0" t="inlineStr">
        <is>
          <t>New</t>
        </is>
      </c>
      <c r="B112" s="0" t="inlineStr">
        <is>
          <t>Item</t>
        </is>
      </c>
      <c r="C112" s="0" t="inlineStr">
        <is>
          <t>Acquired</t>
        </is>
      </c>
      <c r="D112" s="0" t="inlineStr">
        <is>
          <t>:</t>
        </is>
      </c>
      <c r="E112" s="0" t="inlineStr">
        <is>
          <t>30.00K</t>
        </is>
      </c>
      <c r="F112" s="0" t="inlineStr">
        <is>
          <t>(1,</t>
        </is>
      </c>
      <c r="G112" s="0" t="inlineStr">
        <is>
          <t>2)</t>
        </is>
      </c>
    </row>
    <row r="113">
      <c r="A113" s="0" t="inlineStr">
        <is>
          <t>New</t>
        </is>
      </c>
      <c r="B113" s="0" t="inlineStr">
        <is>
          <t>Item</t>
        </is>
      </c>
      <c r="C113" s="0" t="inlineStr">
        <is>
          <t>Acquired</t>
        </is>
      </c>
      <c r="D113" s="0" t="inlineStr">
        <is>
          <t>:</t>
        </is>
      </c>
      <c r="E113" s="0" t="inlineStr">
        <is>
          <t>37.50K</t>
        </is>
      </c>
      <c r="F113" s="0" t="inlineStr">
        <is>
          <t>(2,</t>
        </is>
      </c>
      <c r="G113" s="0" t="inlineStr">
        <is>
          <t>2)</t>
        </is>
      </c>
    </row>
    <row r="114">
      <c r="A114" s="0" t="inlineStr">
        <is>
          <t>New</t>
        </is>
      </c>
      <c r="B114" s="0" t="inlineStr">
        <is>
          <t>Item</t>
        </is>
      </c>
      <c r="C114" s="0" t="inlineStr">
        <is>
          <t>Acquired</t>
        </is>
      </c>
      <c r="D114" s="0" t="inlineStr">
        <is>
          <t>:</t>
        </is>
      </c>
      <c r="E114" s="0" t="inlineStr">
        <is>
          <t>62.50K</t>
        </is>
      </c>
      <c r="F114" s="0" t="inlineStr">
        <is>
          <t>(2,</t>
        </is>
      </c>
      <c r="G114" s="0" t="inlineStr">
        <is>
          <t>5)</t>
        </is>
      </c>
    </row>
    <row r="115">
      <c r="A115" s="0" t="inlineStr">
        <is>
          <t>New</t>
        </is>
      </c>
      <c r="B115" s="0" t="inlineStr">
        <is>
          <t>Item</t>
        </is>
      </c>
      <c r="C115" s="0" t="inlineStr">
        <is>
          <t>Acquired</t>
        </is>
      </c>
      <c r="D115" s="0" t="inlineStr">
        <is>
          <t>:</t>
        </is>
      </c>
      <c r="E115" s="0" t="inlineStr">
        <is>
          <t>37.50K</t>
        </is>
      </c>
      <c r="F115" s="0" t="inlineStr">
        <is>
          <t>(2,</t>
        </is>
      </c>
      <c r="G115" s="0" t="inlineStr">
        <is>
          <t>22)</t>
        </is>
      </c>
    </row>
    <row r="116">
      <c r="A116" s="0" t="inlineStr">
        <is>
          <t>New</t>
        </is>
      </c>
      <c r="B116" s="0" t="inlineStr">
        <is>
          <t>Item</t>
        </is>
      </c>
      <c r="C116" s="0" t="inlineStr">
        <is>
          <t>Acquired</t>
        </is>
      </c>
      <c r="D116" s="0" t="inlineStr">
        <is>
          <t>:</t>
        </is>
      </c>
      <c r="E116" s="0" t="inlineStr">
        <is>
          <t>37.50K</t>
        </is>
      </c>
      <c r="F116" s="0" t="inlineStr">
        <is>
          <t>(2,</t>
        </is>
      </c>
      <c r="G116" s="0" t="inlineStr">
        <is>
          <t>25)</t>
        </is>
      </c>
    </row>
    <row r="117">
      <c r="A117" s="0" t="inlineStr">
        <is>
          <t>New</t>
        </is>
      </c>
      <c r="B117" s="0" t="inlineStr">
        <is>
          <t>Item</t>
        </is>
      </c>
      <c r="C117" s="0" t="inlineStr">
        <is>
          <t>Acquired</t>
        </is>
      </c>
      <c r="D117" s="0" t="inlineStr">
        <is>
          <t>:</t>
        </is>
      </c>
      <c r="E117" s="0" t="inlineStr">
        <is>
          <t>62.50K</t>
        </is>
      </c>
      <c r="F117" s="0" t="inlineStr">
        <is>
          <t>(2,</t>
        </is>
      </c>
      <c r="G117" s="0" t="inlineStr">
        <is>
          <t>11)</t>
        </is>
      </c>
    </row>
    <row r="118">
      <c r="A118" s="0" t="inlineStr">
        <is>
          <t>New</t>
        </is>
      </c>
      <c r="B118" s="0" t="inlineStr">
        <is>
          <t>Item</t>
        </is>
      </c>
      <c r="C118" s="0" t="inlineStr">
        <is>
          <t>Acquired</t>
        </is>
      </c>
      <c r="D118" s="0" t="inlineStr">
        <is>
          <t>:</t>
        </is>
      </c>
      <c r="E118" s="0" t="inlineStr">
        <is>
          <t>70.00K</t>
        </is>
      </c>
      <c r="F118" s="0" t="inlineStr">
        <is>
          <t>(1,</t>
        </is>
      </c>
      <c r="G118" s="0" t="inlineStr">
        <is>
          <t>4)</t>
        </is>
      </c>
    </row>
    <row r="119">
      <c r="A119" s="0" t="inlineStr">
        <is>
          <t>New</t>
        </is>
      </c>
      <c r="B119" s="0" t="inlineStr">
        <is>
          <t>Item</t>
        </is>
      </c>
      <c r="C119" s="0" t="inlineStr">
        <is>
          <t>Acquired</t>
        </is>
      </c>
      <c r="D119" s="0" t="inlineStr">
        <is>
          <t>:</t>
        </is>
      </c>
      <c r="E119" s="0" t="inlineStr">
        <is>
          <t>Mini</t>
        </is>
      </c>
      <c r="F119" s="0" t="inlineStr">
        <is>
          <t>(2,</t>
        </is>
      </c>
      <c r="G119" s="0" t="inlineStr">
        <is>
          <t>7)</t>
        </is>
      </c>
    </row>
    <row r="120">
      <c r="A120" s="0" t="inlineStr">
        <is>
          <t>New</t>
        </is>
      </c>
      <c r="B120" s="0" t="inlineStr">
        <is>
          <t>Item</t>
        </is>
      </c>
      <c r="C120" s="0" t="inlineStr">
        <is>
          <t>Acquired</t>
        </is>
      </c>
      <c r="D120" s="0" t="inlineStr">
        <is>
          <t>:</t>
        </is>
      </c>
      <c r="E120" s="0" t="inlineStr">
        <is>
          <t>45.00K</t>
        </is>
      </c>
      <c r="F120" s="0" t="inlineStr">
        <is>
          <t>(3,</t>
        </is>
      </c>
      <c r="G120" s="0" t="inlineStr">
        <is>
          <t>12)</t>
        </is>
      </c>
    </row>
    <row r="121">
      <c r="A121" s="0" t="inlineStr">
        <is>
          <t>Line</t>
        </is>
      </c>
      <c r="B121" s="0" t="inlineStr">
        <is>
          <t>Prize</t>
        </is>
      </c>
      <c r="C121" s="0" t="inlineStr">
        <is>
          <t>Acquired</t>
        </is>
      </c>
      <c r="D121" s="0" t="inlineStr">
        <is>
          <t>:</t>
        </is>
      </c>
      <c r="E121" s="0" t="inlineStr">
        <is>
          <t>255.00K</t>
        </is>
      </c>
      <c r="F121" s="0" t="inlineStr">
        <is>
          <t>(Stage</t>
        </is>
      </c>
      <c r="G121" s="0" t="inlineStr">
        <is>
          <t>:</t>
        </is>
      </c>
      <c r="H121" s="0" t="inlineStr">
        <is>
          <t>3)</t>
        </is>
      </c>
      <c r="I121" s="0" t="inlineStr">
        <is>
          <t>-</t>
        </is>
      </c>
      <c r="J121" s="0" t="n">
        <v>255000</v>
      </c>
    </row>
    <row r="122">
      <c r="A122" s="0" t="inlineStr">
        <is>
          <t>Clear</t>
        </is>
      </c>
      <c r="B122" s="0" t="inlineStr">
        <is>
          <t>Gem</t>
        </is>
      </c>
      <c r="C122" s="0" t="inlineStr">
        <is>
          <t>Acquired</t>
        </is>
      </c>
      <c r="D122" s="0" t="inlineStr">
        <is>
          <t>:</t>
        </is>
      </c>
      <c r="E122" s="0" t="n">
        <v>200</v>
      </c>
      <c r="F122" s="0" t="inlineStr">
        <is>
          <t>-&gt;</t>
        </is>
      </c>
      <c r="G122" s="0" t="n">
        <v>300</v>
      </c>
      <c r="H122" s="0" t="inlineStr">
        <is>
          <t>(Stage</t>
        </is>
      </c>
      <c r="I122" s="0" t="inlineStr">
        <is>
          <t>:</t>
        </is>
      </c>
      <c r="J122" s="0" t="inlineStr">
        <is>
          <t>3)</t>
        </is>
      </c>
    </row>
    <row r="123">
      <c r="A123" s="0" t="inlineStr">
        <is>
          <t>New</t>
        </is>
      </c>
      <c r="B123" s="0" t="inlineStr">
        <is>
          <t>Item</t>
        </is>
      </c>
      <c r="C123" s="0" t="inlineStr">
        <is>
          <t>Acquired</t>
        </is>
      </c>
      <c r="D123" s="0" t="inlineStr">
        <is>
          <t>:</t>
        </is>
      </c>
      <c r="E123" s="0" t="inlineStr">
        <is>
          <t>75.00K</t>
        </is>
      </c>
      <c r="F123" s="0" t="inlineStr">
        <is>
          <t>(3,</t>
        </is>
      </c>
      <c r="G123" s="0" t="inlineStr">
        <is>
          <t>23)</t>
        </is>
      </c>
    </row>
    <row r="124">
      <c r="A124" s="0" t="inlineStr">
        <is>
          <t>New</t>
        </is>
      </c>
      <c r="B124" s="0" t="inlineStr">
        <is>
          <t>Item</t>
        </is>
      </c>
      <c r="C124" s="0" t="inlineStr">
        <is>
          <t>Acquired</t>
        </is>
      </c>
      <c r="D124" s="0" t="inlineStr">
        <is>
          <t>:</t>
        </is>
      </c>
      <c r="E124" s="0" t="inlineStr">
        <is>
          <t>75.00K</t>
        </is>
      </c>
      <c r="F124" s="0" t="inlineStr">
        <is>
          <t>(3,</t>
        </is>
      </c>
      <c r="G124" s="0" t="inlineStr">
        <is>
          <t>11)</t>
        </is>
      </c>
    </row>
    <row r="125">
      <c r="A125" s="0" t="inlineStr">
        <is>
          <t>New</t>
        </is>
      </c>
      <c r="B125" s="0" t="inlineStr">
        <is>
          <t>Item</t>
        </is>
      </c>
      <c r="C125" s="0" t="inlineStr">
        <is>
          <t>Acquired</t>
        </is>
      </c>
      <c r="D125" s="0" t="inlineStr">
        <is>
          <t>:</t>
        </is>
      </c>
      <c r="E125" s="0" t="inlineStr">
        <is>
          <t>45.00K</t>
        </is>
      </c>
      <c r="F125" s="0" t="inlineStr">
        <is>
          <t>(3,</t>
        </is>
      </c>
      <c r="G125" s="0" t="inlineStr">
        <is>
          <t>25)</t>
        </is>
      </c>
    </row>
    <row r="126">
      <c r="A126" s="0" t="inlineStr">
        <is>
          <t>New</t>
        </is>
      </c>
      <c r="B126" s="0" t="inlineStr">
        <is>
          <t>Item</t>
        </is>
      </c>
      <c r="C126" s="0" t="inlineStr">
        <is>
          <t>Acquired</t>
        </is>
      </c>
      <c r="D126" s="0" t="inlineStr">
        <is>
          <t>:</t>
        </is>
      </c>
      <c r="E126" s="0" t="inlineStr">
        <is>
          <t>75.00K</t>
        </is>
      </c>
      <c r="F126" s="0" t="inlineStr">
        <is>
          <t>(3,</t>
        </is>
      </c>
      <c r="G126" s="0" t="inlineStr">
        <is>
          <t>17)</t>
        </is>
      </c>
    </row>
    <row r="127">
      <c r="A127" s="0" t="inlineStr">
        <is>
          <t>New</t>
        </is>
      </c>
      <c r="B127" s="0" t="inlineStr">
        <is>
          <t>Item</t>
        </is>
      </c>
      <c r="C127" s="0" t="inlineStr">
        <is>
          <t>Acquired</t>
        </is>
      </c>
      <c r="D127" s="0" t="inlineStr">
        <is>
          <t>:</t>
        </is>
      </c>
      <c r="E127" s="0" t="inlineStr">
        <is>
          <t>45.00K</t>
        </is>
      </c>
      <c r="F127" s="0" t="inlineStr">
        <is>
          <t>(3,</t>
        </is>
      </c>
      <c r="G127" s="0" t="inlineStr">
        <is>
          <t>22)</t>
        </is>
      </c>
    </row>
    <row r="128">
      <c r="A128" s="0" t="inlineStr">
        <is>
          <t>New</t>
        </is>
      </c>
      <c r="B128" s="0" t="inlineStr">
        <is>
          <t>Item</t>
        </is>
      </c>
      <c r="C128" s="0" t="inlineStr">
        <is>
          <t>Acquired</t>
        </is>
      </c>
      <c r="D128" s="0" t="inlineStr">
        <is>
          <t>:</t>
        </is>
      </c>
      <c r="E128" s="0" t="inlineStr">
        <is>
          <t>75.00K</t>
        </is>
      </c>
      <c r="F128" s="0" t="inlineStr">
        <is>
          <t>(4,</t>
        </is>
      </c>
      <c r="G128" s="0" t="inlineStr">
        <is>
          <t>7)</t>
        </is>
      </c>
    </row>
    <row r="129">
      <c r="A129" s="0" t="inlineStr">
        <is>
          <t>Line</t>
        </is>
      </c>
      <c r="B129" s="0" t="inlineStr">
        <is>
          <t>Prize</t>
        </is>
      </c>
      <c r="C129" s="0" t="inlineStr">
        <is>
          <t>Acquired</t>
        </is>
      </c>
      <c r="D129" s="0" t="inlineStr">
        <is>
          <t>:</t>
        </is>
      </c>
      <c r="E129" s="0" t="inlineStr">
        <is>
          <t>420.00K</t>
        </is>
      </c>
      <c r="F129" s="0" t="inlineStr">
        <is>
          <t>(Stage</t>
        </is>
      </c>
      <c r="G129" s="0" t="inlineStr">
        <is>
          <t>:</t>
        </is>
      </c>
      <c r="H129" s="0" t="inlineStr">
        <is>
          <t>4)</t>
        </is>
      </c>
      <c r="I129" s="0" t="inlineStr">
        <is>
          <t>-</t>
        </is>
      </c>
      <c r="J129" s="0" t="n">
        <v>420000</v>
      </c>
    </row>
    <row r="130">
      <c r="A130" s="0" t="inlineStr">
        <is>
          <t>Line</t>
        </is>
      </c>
      <c r="B130" s="0" t="inlineStr">
        <is>
          <t>Prize</t>
        </is>
      </c>
      <c r="C130" s="0" t="inlineStr">
        <is>
          <t>Acquired</t>
        </is>
      </c>
      <c r="D130" s="0" t="inlineStr">
        <is>
          <t>:</t>
        </is>
      </c>
      <c r="E130" s="0" t="inlineStr">
        <is>
          <t>1.25M</t>
        </is>
      </c>
      <c r="F130" s="0" t="inlineStr">
        <is>
          <t>(Stage</t>
        </is>
      </c>
      <c r="G130" s="0" t="inlineStr">
        <is>
          <t>:</t>
        </is>
      </c>
      <c r="H130" s="0" t="inlineStr">
        <is>
          <t>4)</t>
        </is>
      </c>
      <c r="I130" s="0" t="inlineStr">
        <is>
          <t>-</t>
        </is>
      </c>
      <c r="J130" s="0" t="n">
        <v>1255000</v>
      </c>
    </row>
    <row r="131">
      <c r="A131" s="0" t="inlineStr">
        <is>
          <t>Clear</t>
        </is>
      </c>
      <c r="B131" s="0" t="inlineStr">
        <is>
          <t>Gem</t>
        </is>
      </c>
      <c r="C131" s="0" t="inlineStr">
        <is>
          <t>Acquired</t>
        </is>
      </c>
      <c r="D131" s="0" t="inlineStr">
        <is>
          <t>:</t>
        </is>
      </c>
      <c r="E131" s="0" t="n">
        <v>300</v>
      </c>
      <c r="F131" s="0" t="inlineStr">
        <is>
          <t>-&gt;</t>
        </is>
      </c>
      <c r="G131" s="0" t="n">
        <v>400</v>
      </c>
      <c r="H131" s="0" t="inlineStr">
        <is>
          <t>(Stage</t>
        </is>
      </c>
      <c r="I131" s="0" t="inlineStr">
        <is>
          <t>:</t>
        </is>
      </c>
      <c r="J131" s="0" t="inlineStr">
        <is>
          <t>4)</t>
        </is>
      </c>
    </row>
    <row r="132">
      <c r="A132" s="0" t="inlineStr">
        <is>
          <t>New</t>
        </is>
      </c>
      <c r="B132" s="0" t="inlineStr">
        <is>
          <t>Item</t>
        </is>
      </c>
      <c r="C132" s="0" t="inlineStr">
        <is>
          <t>Acquired</t>
        </is>
      </c>
      <c r="D132" s="0" t="inlineStr">
        <is>
          <t>:</t>
        </is>
      </c>
      <c r="E132" s="0" t="inlineStr">
        <is>
          <t>Mini</t>
        </is>
      </c>
      <c r="F132" s="0" t="inlineStr">
        <is>
          <t>(1,</t>
        </is>
      </c>
      <c r="G132" s="0" t="inlineStr">
        <is>
          <t>16)</t>
        </is>
      </c>
    </row>
    <row r="133">
      <c r="A133" s="0" t="inlineStr">
        <is>
          <t>New</t>
        </is>
      </c>
      <c r="B133" s="0" t="inlineStr">
        <is>
          <t>Item</t>
        </is>
      </c>
      <c r="C133" s="0" t="inlineStr">
        <is>
          <t>Acquired</t>
        </is>
      </c>
      <c r="D133" s="0" t="inlineStr">
        <is>
          <t>:</t>
        </is>
      </c>
      <c r="E133" s="0" t="inlineStr">
        <is>
          <t>75.00K</t>
        </is>
      </c>
      <c r="F133" s="0" t="inlineStr">
        <is>
          <t>(6,</t>
        </is>
      </c>
      <c r="G133" s="0" t="inlineStr">
        <is>
          <t>15)</t>
        </is>
      </c>
    </row>
    <row r="134">
      <c r="A134" s="0" t="inlineStr">
        <is>
          <t>New</t>
        </is>
      </c>
      <c r="B134" s="0" t="inlineStr">
        <is>
          <t>Item</t>
        </is>
      </c>
      <c r="C134" s="0" t="inlineStr">
        <is>
          <t>Acquired</t>
        </is>
      </c>
      <c r="D134" s="0" t="inlineStr">
        <is>
          <t>:</t>
        </is>
      </c>
      <c r="E134" s="0" t="inlineStr">
        <is>
          <t>Mini</t>
        </is>
      </c>
      <c r="F134" s="0" t="inlineStr">
        <is>
          <t>(7,</t>
        </is>
      </c>
      <c r="G134" s="0" t="inlineStr">
        <is>
          <t>24)</t>
        </is>
      </c>
    </row>
    <row r="135">
      <c r="A135" s="0" t="inlineStr">
        <is>
          <t>New</t>
        </is>
      </c>
      <c r="B135" s="0" t="inlineStr">
        <is>
          <t>Item</t>
        </is>
      </c>
      <c r="C135" s="0" t="inlineStr">
        <is>
          <t>Acquired</t>
        </is>
      </c>
      <c r="D135" s="0" t="inlineStr">
        <is>
          <t>:</t>
        </is>
      </c>
      <c r="E135" s="0" t="inlineStr">
        <is>
          <t>Minor</t>
        </is>
      </c>
      <c r="F135" s="0" t="inlineStr">
        <is>
          <t>(6,</t>
        </is>
      </c>
      <c r="G135" s="0" t="inlineStr">
        <is>
          <t>24)</t>
        </is>
      </c>
    </row>
    <row r="136">
      <c r="A136" s="0" t="inlineStr">
        <is>
          <t>New</t>
        </is>
      </c>
      <c r="B136" s="0" t="inlineStr">
        <is>
          <t>Item</t>
        </is>
      </c>
      <c r="C136" s="0" t="inlineStr">
        <is>
          <t>Acquired</t>
        </is>
      </c>
      <c r="D136" s="0" t="inlineStr">
        <is>
          <t>:</t>
        </is>
      </c>
      <c r="E136" s="0" t="inlineStr">
        <is>
          <t>75.00K</t>
        </is>
      </c>
      <c r="F136" s="0" t="inlineStr">
        <is>
          <t>(4,</t>
        </is>
      </c>
      <c r="G136" s="0" t="inlineStr">
        <is>
          <t>5)</t>
        </is>
      </c>
    </row>
    <row r="137">
      <c r="A137" s="0" t="inlineStr">
        <is>
          <t>New</t>
        </is>
      </c>
      <c r="B137" s="0" t="inlineStr">
        <is>
          <t>Item</t>
        </is>
      </c>
      <c r="C137" s="0" t="inlineStr">
        <is>
          <t>Acquired</t>
        </is>
      </c>
      <c r="D137" s="0" t="inlineStr">
        <is>
          <t>:</t>
        </is>
      </c>
      <c r="E137" s="0" t="inlineStr">
        <is>
          <t>120.00K</t>
        </is>
      </c>
      <c r="F137" s="0" t="inlineStr">
        <is>
          <t>(8,</t>
        </is>
      </c>
      <c r="G137" s="0" t="inlineStr">
        <is>
          <t>24)</t>
        </is>
      </c>
    </row>
    <row r="138">
      <c r="A138" s="0" t="inlineStr">
        <is>
          <t>New</t>
        </is>
      </c>
      <c r="B138" s="0" t="inlineStr">
        <is>
          <t>Item</t>
        </is>
      </c>
      <c r="C138" s="0" t="inlineStr">
        <is>
          <t>Acquired</t>
        </is>
      </c>
      <c r="D138" s="0" t="inlineStr">
        <is>
          <t>:</t>
        </is>
      </c>
      <c r="E138" s="0" t="inlineStr">
        <is>
          <t>45.00K</t>
        </is>
      </c>
      <c r="F138" s="0" t="inlineStr">
        <is>
          <t>(3,</t>
        </is>
      </c>
      <c r="G138" s="0" t="inlineStr">
        <is>
          <t>14)</t>
        </is>
      </c>
    </row>
    <row r="139">
      <c r="A139" s="0" t="inlineStr">
        <is>
          <t>New</t>
        </is>
      </c>
      <c r="B139" s="0" t="inlineStr">
        <is>
          <t>Item</t>
        </is>
      </c>
      <c r="C139" s="0" t="inlineStr">
        <is>
          <t>Acquired</t>
        </is>
      </c>
      <c r="D139" s="0" t="inlineStr">
        <is>
          <t>:</t>
        </is>
      </c>
      <c r="E139" s="0" t="inlineStr">
        <is>
          <t>90.00K</t>
        </is>
      </c>
      <c r="F139" s="0" t="inlineStr">
        <is>
          <t>(7,</t>
        </is>
      </c>
      <c r="G139" s="0" t="inlineStr">
        <is>
          <t>14)</t>
        </is>
      </c>
    </row>
    <row r="140">
      <c r="A140" s="0" t="inlineStr">
        <is>
          <t>New</t>
        </is>
      </c>
      <c r="B140" s="0" t="inlineStr">
        <is>
          <t>Item</t>
        </is>
      </c>
      <c r="C140" s="0" t="inlineStr">
        <is>
          <t>Acquired</t>
        </is>
      </c>
      <c r="D140" s="0" t="inlineStr">
        <is>
          <t>:</t>
        </is>
      </c>
      <c r="E140" s="0" t="inlineStr">
        <is>
          <t>30.00K</t>
        </is>
      </c>
      <c r="F140" s="0" t="inlineStr">
        <is>
          <t>(1,</t>
        </is>
      </c>
      <c r="G140" s="0" t="inlineStr">
        <is>
          <t>15)</t>
        </is>
      </c>
    </row>
    <row r="141">
      <c r="A141" s="0" t="inlineStr">
        <is>
          <t>New</t>
        </is>
      </c>
      <c r="B141" s="0" t="inlineStr">
        <is>
          <t>Item</t>
        </is>
      </c>
      <c r="C141" s="0" t="inlineStr">
        <is>
          <t>Acquired</t>
        </is>
      </c>
      <c r="D141" s="0" t="inlineStr">
        <is>
          <t>:</t>
        </is>
      </c>
      <c r="E141" s="0" t="inlineStr">
        <is>
          <t>30.00K</t>
        </is>
      </c>
      <c r="F141" s="0" t="inlineStr">
        <is>
          <t>(1,</t>
        </is>
      </c>
      <c r="G141" s="0" t="inlineStr">
        <is>
          <t>23)</t>
        </is>
      </c>
    </row>
    <row r="142">
      <c r="A142" s="0" t="inlineStr">
        <is>
          <t>New</t>
        </is>
      </c>
      <c r="B142" s="0" t="inlineStr">
        <is>
          <t>Item</t>
        </is>
      </c>
      <c r="C142" s="0" t="inlineStr">
        <is>
          <t>Acquired</t>
        </is>
      </c>
      <c r="D142" s="0" t="inlineStr">
        <is>
          <t>:</t>
        </is>
      </c>
      <c r="E142" s="0" t="inlineStr">
        <is>
          <t>70.00K</t>
        </is>
      </c>
      <c r="F142" s="0" t="inlineStr">
        <is>
          <t>(1,</t>
        </is>
      </c>
      <c r="G142" s="0" t="inlineStr">
        <is>
          <t>14)</t>
        </is>
      </c>
    </row>
    <row r="143">
      <c r="A143" s="0" t="inlineStr">
        <is>
          <t>New</t>
        </is>
      </c>
      <c r="B143" s="0" t="inlineStr">
        <is>
          <t>Item</t>
        </is>
      </c>
      <c r="C143" s="0" t="inlineStr">
        <is>
          <t>Acquired</t>
        </is>
      </c>
      <c r="D143" s="0" t="inlineStr">
        <is>
          <t>:</t>
        </is>
      </c>
      <c r="E143" s="0" t="inlineStr">
        <is>
          <t>60.00K</t>
        </is>
      </c>
      <c r="F143" s="0" t="inlineStr">
        <is>
          <t>(4,</t>
        </is>
      </c>
      <c r="G143" s="0" t="inlineStr">
        <is>
          <t>3)</t>
        </is>
      </c>
    </row>
  </sheetData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6.5"/>
  <cols>
    <col width="13.125" bestFit="1" customWidth="1" style="161" min="11" max="11"/>
    <col width="9.625" bestFit="1" customWidth="1" style="161" min="12" max="12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A2" s="0" t="inlineStr">
        <is>
          <t>New</t>
        </is>
      </c>
      <c r="B2" s="0" t="inlineStr">
        <is>
          <t>Item Acquired: 70.00K (1, 19)</t>
        </is>
      </c>
      <c r="K2" s="0" t="inlineStr">
        <is>
          <t>Spins</t>
        </is>
      </c>
      <c r="L2" s="0" t="n">
        <v>3000</v>
      </c>
      <c r="M2" s="2">
        <f>L2/L3</f>
        <v/>
      </c>
    </row>
    <row r="3">
      <c r="A3" s="0" t="inlineStr">
        <is>
          <t>New</t>
        </is>
      </c>
      <c r="B3" s="0" t="inlineStr">
        <is>
          <t>Item Acquired: 60.00K (2, 16)</t>
        </is>
      </c>
      <c r="K3" s="0" t="inlineStr">
        <is>
          <t>Symbol Pick</t>
        </is>
      </c>
      <c r="L3" s="0">
        <f>COUNTIF(A:A,"*")</f>
        <v/>
      </c>
      <c r="M3" s="0">
        <f>L1/L2</f>
        <v/>
      </c>
    </row>
    <row r="4" ht="18.75" customHeight="1" s="161">
      <c r="A4" s="0" t="inlineStr">
        <is>
          <t>New</t>
        </is>
      </c>
      <c r="B4" s="0" t="inlineStr">
        <is>
          <t>Item Acquired: 90.00K (3, 11)</t>
        </is>
      </c>
      <c r="K4" s="0" t="inlineStr">
        <is>
          <t>Bingo Wins</t>
        </is>
      </c>
      <c r="L4" s="0">
        <f>COUNTIF(A:A,"Line*")</f>
        <v/>
      </c>
      <c r="M4" s="0">
        <f>L1/L3</f>
        <v/>
      </c>
    </row>
    <row r="5">
      <c r="A5" s="0" t="inlineStr">
        <is>
          <t>New</t>
        </is>
      </c>
      <c r="B5" s="0" t="inlineStr">
        <is>
          <t>Item Acquired: 60.00K (2, 22)</t>
        </is>
      </c>
      <c r="K5" s="0" t="inlineStr">
        <is>
          <t>Prize</t>
        </is>
      </c>
      <c r="L5" s="7" t="n">
        <v>2910000</v>
      </c>
    </row>
    <row r="6">
      <c r="A6" s="0" t="inlineStr">
        <is>
          <t>New</t>
        </is>
      </c>
      <c r="B6" s="0" t="inlineStr">
        <is>
          <t>Item Acquired: 150.00K (3, 8)</t>
        </is>
      </c>
      <c r="K6" s="0" t="inlineStr">
        <is>
          <t>Amount per Spin</t>
        </is>
      </c>
      <c r="L6" s="0">
        <f>L4/L1</f>
        <v/>
      </c>
    </row>
    <row r="7">
      <c r="A7" s="0" t="inlineStr">
        <is>
          <t>New</t>
        </is>
      </c>
      <c r="B7" s="0" t="inlineStr">
        <is>
          <t>Item Acquired: Minor (1, 10)</t>
        </is>
      </c>
      <c r="K7" s="0" t="n">
        <v>1</v>
      </c>
      <c r="L7" s="0">
        <f>COUNTIF($C:$C,K6)</f>
        <v/>
      </c>
      <c r="M7" s="0">
        <f>VLOOKUP(K6,C:E,3,0)</f>
        <v/>
      </c>
    </row>
    <row r="8">
      <c r="A8" s="0" t="inlineStr">
        <is>
          <t>New</t>
        </is>
      </c>
      <c r="B8" s="0" t="inlineStr">
        <is>
          <t>Item Acquired: 30.00K (1, 5)</t>
        </is>
      </c>
      <c r="K8" s="0" t="n">
        <v>2</v>
      </c>
      <c r="L8" s="0">
        <f>COUNTIF($C:$C,K7)</f>
        <v/>
      </c>
      <c r="M8" s="0">
        <f>VLOOKUP(K7,C:E,3,0)</f>
        <v/>
      </c>
    </row>
    <row r="9">
      <c r="A9" s="0" t="inlineStr">
        <is>
          <t>New</t>
        </is>
      </c>
      <c r="B9" s="0" t="inlineStr">
        <is>
          <t>Item Acquired: 100.00K (2, 14)</t>
        </is>
      </c>
      <c r="K9" s="0" t="n">
        <v>3</v>
      </c>
      <c r="L9" s="0">
        <f>L3-SUM(L6:L7,L9:L13)</f>
        <v/>
      </c>
      <c r="M9" s="0">
        <f>VLOOKUP(K8,C:E,3,0)</f>
        <v/>
      </c>
    </row>
    <row r="10">
      <c r="A10" s="0" t="inlineStr">
        <is>
          <t>New</t>
        </is>
      </c>
      <c r="B10" s="0" t="inlineStr">
        <is>
          <t>Item Acquired: 210.00K (3, 3)</t>
        </is>
      </c>
      <c r="K10" s="0" t="n">
        <v>4</v>
      </c>
      <c r="L10" s="0">
        <f>COUNTIF($C:$C,K9)</f>
        <v/>
      </c>
      <c r="M10" s="0">
        <f>VLOOKUP(K9,C:E,3,0)</f>
        <v/>
      </c>
    </row>
    <row r="11">
      <c r="A11" s="0" t="inlineStr">
        <is>
          <t>New</t>
        </is>
      </c>
      <c r="B11" s="0" t="inlineStr">
        <is>
          <t>Item Acquired: 30.00K (1, 12)</t>
        </is>
      </c>
      <c r="K11" s="0" t="n">
        <v>5</v>
      </c>
      <c r="L11" s="0">
        <f>COUNTIF($C:$C,K10)</f>
        <v/>
      </c>
      <c r="M11" s="0">
        <f>VLOOKUP(K10,C:E,3,0)</f>
        <v/>
      </c>
    </row>
    <row r="12">
      <c r="A12" s="0" t="inlineStr">
        <is>
          <t>New</t>
        </is>
      </c>
      <c r="B12" s="0" t="inlineStr">
        <is>
          <t>Item Acquired: 30.00K (1, 25)</t>
        </is>
      </c>
      <c r="K12" s="0" t="n">
        <v>6</v>
      </c>
      <c r="L12" s="0">
        <f>COUNTIF($C:$C,K11)</f>
        <v/>
      </c>
      <c r="M12" s="0">
        <f>VLOOKUP(K11,C:E,3,0)</f>
        <v/>
      </c>
    </row>
    <row r="13">
      <c r="A13" s="0" t="inlineStr">
        <is>
          <t>New</t>
        </is>
      </c>
      <c r="B13" s="0" t="inlineStr">
        <is>
          <t>Item Acquired: 30.00K (1, 1)</t>
        </is>
      </c>
      <c r="K13" s="0" t="n">
        <v>7</v>
      </c>
      <c r="L13" s="0">
        <f>COUNTIF($C:$C,K12)</f>
        <v/>
      </c>
      <c r="M13" s="0">
        <f>VLOOKUP(K12,C:E,3,0)</f>
        <v/>
      </c>
    </row>
    <row r="14">
      <c r="A14" s="0" t="inlineStr">
        <is>
          <t>New</t>
        </is>
      </c>
      <c r="B14" s="0" t="inlineStr">
        <is>
          <t>Item Acquired: 30.00K (1, 8)</t>
        </is>
      </c>
      <c r="K14" s="0" t="n">
        <v>8</v>
      </c>
      <c r="L14" s="0">
        <f>COUNTIF($C:$C,K13)</f>
        <v/>
      </c>
      <c r="M14" s="0">
        <f>VLOOKUP(K13,C:E,3,0)</f>
        <v/>
      </c>
    </row>
    <row r="15">
      <c r="A15" s="0" t="inlineStr">
        <is>
          <t>New</t>
        </is>
      </c>
      <c r="B15" s="0" t="inlineStr">
        <is>
          <t>Item Acquired: 30.00K (1, 20)</t>
        </is>
      </c>
    </row>
    <row r="16">
      <c r="A16" s="0" t="inlineStr">
        <is>
          <t>New</t>
        </is>
      </c>
      <c r="B16" s="0" t="inlineStr">
        <is>
          <t>Item Acquired: 60.00K (2, 17)</t>
        </is>
      </c>
    </row>
    <row r="17">
      <c r="A17" s="0" t="inlineStr">
        <is>
          <t>New</t>
        </is>
      </c>
      <c r="B17" s="0" t="inlineStr">
        <is>
          <t>Item Acquired: 50.00K (1, 24)</t>
        </is>
      </c>
    </row>
    <row r="18">
      <c r="A18" s="0" t="inlineStr">
        <is>
          <t>New</t>
        </is>
      </c>
      <c r="B18" s="0" t="inlineStr">
        <is>
          <t>Item Acquired: Minor (1, 7)</t>
        </is>
      </c>
    </row>
    <row r="19">
      <c r="A19" s="0" t="inlineStr">
        <is>
          <t>Line</t>
        </is>
      </c>
      <c r="B19" s="0" t="inlineStr">
        <is>
          <t>Prize Acquired : 630.00K (Stage :</t>
        </is>
      </c>
      <c r="C19" s="0" t="n">
        <v>1</v>
      </c>
      <c r="D19" s="0" t="inlineStr">
        <is>
          <t>) -</t>
        </is>
      </c>
      <c r="E19" s="0" t="n">
        <v>630000</v>
      </c>
    </row>
    <row r="20">
      <c r="A20" s="0" t="inlineStr">
        <is>
          <t>Clear</t>
        </is>
      </c>
      <c r="B20" s="0" t="inlineStr">
        <is>
          <t>Clear Gem Acquired : 0 -&gt; 100 (Stage</t>
        </is>
      </c>
      <c r="D20" s="0" t="inlineStr">
        <is>
          <t>: 1)</t>
        </is>
      </c>
    </row>
    <row r="21">
      <c r="A21" s="0" t="inlineStr">
        <is>
          <t>New</t>
        </is>
      </c>
      <c r="B21" s="0" t="inlineStr">
        <is>
          <t>Item Acquired: 50.00K (1, 2)</t>
        </is>
      </c>
    </row>
    <row r="22">
      <c r="A22" s="0" t="inlineStr">
        <is>
          <t>New</t>
        </is>
      </c>
      <c r="B22" s="0" t="inlineStr">
        <is>
          <t>Item Acquired: 50.00K (1, 18)</t>
        </is>
      </c>
    </row>
    <row r="23">
      <c r="A23" s="0" t="inlineStr">
        <is>
          <t>New</t>
        </is>
      </c>
      <c r="B23" s="0" t="inlineStr">
        <is>
          <t>Item Acquired: 150.00K (4, 8)</t>
        </is>
      </c>
    </row>
    <row r="24">
      <c r="A24" s="0" t="inlineStr">
        <is>
          <t>New</t>
        </is>
      </c>
      <c r="B24" s="0" t="inlineStr">
        <is>
          <t>Item Acquired: 100.00K (2, 23)</t>
        </is>
      </c>
    </row>
    <row r="25">
      <c r="A25" s="0" t="inlineStr">
        <is>
          <t>New</t>
        </is>
      </c>
      <c r="B25" s="0" t="inlineStr">
        <is>
          <t>Item Acquired: 90.00K (3, 9)</t>
        </is>
      </c>
    </row>
    <row r="26">
      <c r="A26" s="0" t="inlineStr">
        <is>
          <t>New</t>
        </is>
      </c>
      <c r="B26" s="0" t="inlineStr">
        <is>
          <t>Item Acquired: 140.00K (2, 5)</t>
        </is>
      </c>
    </row>
    <row r="27">
      <c r="A27" s="0" t="inlineStr">
        <is>
          <t>New</t>
        </is>
      </c>
      <c r="B27" s="0" t="inlineStr">
        <is>
          <t>Item Acquired: 30.00K (1, 16)</t>
        </is>
      </c>
    </row>
    <row r="28">
      <c r="A28" s="0" t="inlineStr">
        <is>
          <t>New</t>
        </is>
      </c>
      <c r="B28" s="0" t="inlineStr">
        <is>
          <t>Item Acquired: 140.00K (2, 12)</t>
        </is>
      </c>
    </row>
    <row r="29">
      <c r="A29" s="0" t="inlineStr">
        <is>
          <t>New</t>
        </is>
      </c>
      <c r="B29" s="0" t="inlineStr">
        <is>
          <t>Item Acquired: 100.00K (2, 10)</t>
        </is>
      </c>
    </row>
    <row r="30">
      <c r="A30" s="0" t="inlineStr">
        <is>
          <t>New</t>
        </is>
      </c>
      <c r="B30" s="0" t="inlineStr">
        <is>
          <t>Item Acquired: 210.00K (6, 5)</t>
        </is>
      </c>
    </row>
    <row r="31">
      <c r="A31" s="0" t="inlineStr">
        <is>
          <t>New</t>
        </is>
      </c>
      <c r="B31" s="0" t="inlineStr">
        <is>
          <t>Item Acquired: 300.00K (5, 17)</t>
        </is>
      </c>
    </row>
    <row r="32">
      <c r="A32" s="0" t="inlineStr">
        <is>
          <t>New</t>
        </is>
      </c>
      <c r="B32" s="0" t="inlineStr">
        <is>
          <t>Item Acquired: Mini (1, 23)</t>
        </is>
      </c>
    </row>
    <row r="33">
      <c r="A33" s="0" t="inlineStr">
        <is>
          <t>New</t>
        </is>
      </c>
      <c r="B33" s="0" t="inlineStr">
        <is>
          <t>Item Acquired: 150.00K (4, 9)</t>
        </is>
      </c>
    </row>
    <row r="34">
      <c r="A34" s="0" t="inlineStr">
        <is>
          <t>New</t>
        </is>
      </c>
      <c r="B34" s="0" t="inlineStr">
        <is>
          <t>Item Acquired: Minor (2, 7)</t>
        </is>
      </c>
    </row>
    <row r="35">
      <c r="A35" s="0" t="inlineStr">
        <is>
          <t>New</t>
        </is>
      </c>
      <c r="B35" s="0" t="inlineStr">
        <is>
          <t>Item Acquired: 210.00K (3, 25)</t>
        </is>
      </c>
    </row>
    <row r="36">
      <c r="A36" s="0" t="inlineStr">
        <is>
          <t>New</t>
        </is>
      </c>
      <c r="B36" s="0" t="inlineStr">
        <is>
          <t>Item Acquired: 30.00K (1, 4)</t>
        </is>
      </c>
    </row>
    <row r="37">
      <c r="A37" s="0" t="inlineStr">
        <is>
          <t>New</t>
        </is>
      </c>
      <c r="B37" s="0" t="inlineStr">
        <is>
          <t>Item Acquired: 50.00K (1, 17)</t>
        </is>
      </c>
    </row>
    <row r="38">
      <c r="A38" s="0" t="inlineStr">
        <is>
          <t>New</t>
        </is>
      </c>
      <c r="B38" s="0" t="inlineStr">
        <is>
          <t>Item Acquired: 90.00K (3, 1)</t>
        </is>
      </c>
    </row>
    <row r="39">
      <c r="A39" s="0" t="inlineStr">
        <is>
          <t>New</t>
        </is>
      </c>
      <c r="B39" s="0" t="inlineStr">
        <is>
          <t>Item Acquired: 400.00K (7, 15)</t>
        </is>
      </c>
    </row>
    <row r="40">
      <c r="A40" s="0" t="inlineStr">
        <is>
          <t>New</t>
        </is>
      </c>
      <c r="B40" s="0" t="inlineStr">
        <is>
          <t>Item Acquired: 60.00K (2, 24)</t>
        </is>
      </c>
    </row>
    <row r="41">
      <c r="A41" s="0" t="inlineStr">
        <is>
          <t>It</t>
        </is>
      </c>
      <c r="B41" s="0" t="inlineStr">
        <is>
          <t>em Reselect Failed: Attempts -</t>
        </is>
      </c>
      <c r="C41" s="0" t="n">
        <v>3</v>
      </c>
    </row>
    <row r="42">
      <c r="A42" s="0" t="inlineStr">
        <is>
          <t>New</t>
        </is>
      </c>
      <c r="B42" s="0" t="inlineStr">
        <is>
          <t>Item Acquired: 150.00K (3, 18)</t>
        </is>
      </c>
    </row>
    <row r="43">
      <c r="A43" s="0" t="inlineStr">
        <is>
          <t>It</t>
        </is>
      </c>
      <c r="B43" s="0" t="inlineStr">
        <is>
          <t>em Reselect Failed: Attempts -</t>
        </is>
      </c>
      <c r="C43" s="0" t="n">
        <v>3</v>
      </c>
    </row>
    <row r="44">
      <c r="A44" s="0" t="inlineStr">
        <is>
          <t>New</t>
        </is>
      </c>
      <c r="B44" s="0" t="inlineStr">
        <is>
          <t>Item Acquired: 150.00K (3, 12)</t>
        </is>
      </c>
    </row>
    <row r="45">
      <c r="A45" s="0" t="inlineStr">
        <is>
          <t>New</t>
        </is>
      </c>
      <c r="B45" s="0" t="inlineStr">
        <is>
          <t>Item Acquired: 70.00K (1, 5)</t>
        </is>
      </c>
    </row>
    <row r="46">
      <c r="A46" s="0" t="inlineStr">
        <is>
          <t>New</t>
        </is>
      </c>
      <c r="B46" s="0" t="inlineStr">
        <is>
          <t>Item Acquired: 490.00K (6, 12)</t>
        </is>
      </c>
    </row>
    <row r="47">
      <c r="A47" s="0" t="inlineStr">
        <is>
          <t>New</t>
        </is>
      </c>
      <c r="B47" s="0" t="inlineStr">
        <is>
          <t>Item Acquired: 420.00K (5, 4)</t>
        </is>
      </c>
    </row>
    <row r="48">
      <c r="A48" s="0" t="inlineStr">
        <is>
          <t>New</t>
        </is>
      </c>
      <c r="B48" s="0" t="inlineStr">
        <is>
          <t>Item Acquired: 90.00K (3, 5)</t>
        </is>
      </c>
    </row>
    <row r="49">
      <c r="A49" s="0" t="inlineStr">
        <is>
          <t>New</t>
        </is>
      </c>
      <c r="B49" s="0" t="inlineStr">
        <is>
          <t>Item Acquired: 150.00K (3, 6)</t>
        </is>
      </c>
    </row>
    <row r="50">
      <c r="A50" s="0" t="inlineStr">
        <is>
          <t>New</t>
        </is>
      </c>
      <c r="B50" s="0" t="inlineStr">
        <is>
          <t>Item Acquired: 100.00K (2, 8)</t>
        </is>
      </c>
    </row>
    <row r="51">
      <c r="A51" s="0" t="inlineStr">
        <is>
          <t>New</t>
        </is>
      </c>
      <c r="B51" s="0" t="inlineStr">
        <is>
          <t>Item Acquired: 150.00K (4, 10)</t>
        </is>
      </c>
    </row>
    <row r="52">
      <c r="A52" s="0" t="inlineStr">
        <is>
          <t>New</t>
        </is>
      </c>
      <c r="B52" s="0" t="inlineStr">
        <is>
          <t>Item Acquired: 60.00K (2, 25)</t>
        </is>
      </c>
    </row>
    <row r="53">
      <c r="A53" s="0" t="inlineStr">
        <is>
          <t>New</t>
        </is>
      </c>
      <c r="B53" s="0" t="inlineStr">
        <is>
          <t>Item Acquired: Mini (2, 21)</t>
        </is>
      </c>
    </row>
    <row r="54">
      <c r="A54" s="0" t="inlineStr">
        <is>
          <t>Line</t>
        </is>
      </c>
      <c r="B54" s="0" t="inlineStr">
        <is>
          <t>Prize Acquired : 680.00K (Stage :</t>
        </is>
      </c>
      <c r="C54" s="0" t="n">
        <v>2</v>
      </c>
      <c r="D54" s="0" t="inlineStr">
        <is>
          <t>) -</t>
        </is>
      </c>
      <c r="E54" s="0" t="n">
        <v>680000</v>
      </c>
    </row>
    <row r="55">
      <c r="A55" s="0" t="inlineStr">
        <is>
          <t>Clear</t>
        </is>
      </c>
      <c r="B55" s="0" t="inlineStr">
        <is>
          <t>Clear Gem Acquired : 100 -&gt; 200 (Stage</t>
        </is>
      </c>
      <c r="C55" s="0" t="inlineStr"/>
      <c r="D55" s="0" t="inlineStr">
        <is>
          <t>:</t>
        </is>
      </c>
      <c r="E55" s="0" t="inlineStr">
        <is>
          <t>2)</t>
        </is>
      </c>
    </row>
    <row r="56">
      <c r="A56" s="0" t="inlineStr">
        <is>
          <t>It</t>
        </is>
      </c>
      <c r="B56" s="0" t="inlineStr">
        <is>
          <t>em Reselect Failed: Attempts -</t>
        </is>
      </c>
      <c r="C56" s="0" t="n">
        <v>3</v>
      </c>
    </row>
    <row r="57">
      <c r="A57" s="0" t="inlineStr">
        <is>
          <t>New</t>
        </is>
      </c>
      <c r="B57" s="0" t="inlineStr">
        <is>
          <t>Item Acquired: 50.00K (1, 9)</t>
        </is>
      </c>
    </row>
    <row r="58">
      <c r="A58" s="0" t="inlineStr">
        <is>
          <t>New</t>
        </is>
      </c>
      <c r="B58" s="0" t="inlineStr">
        <is>
          <t>Item Acquired: 30.00K (1, 6)</t>
        </is>
      </c>
    </row>
    <row r="59">
      <c r="A59" s="0" t="inlineStr">
        <is>
          <t>New</t>
        </is>
      </c>
      <c r="B59" s="0" t="inlineStr">
        <is>
          <t>Item Acquired: Mega (3, 24)</t>
        </is>
      </c>
    </row>
    <row r="60">
      <c r="A60" s="0" t="inlineStr">
        <is>
          <t>New</t>
        </is>
      </c>
      <c r="B60" s="0" t="inlineStr">
        <is>
          <t>Item Acquired: 240.00K (7, 4)</t>
        </is>
      </c>
    </row>
    <row r="61">
      <c r="A61" s="0" t="inlineStr">
        <is>
          <t>New</t>
        </is>
      </c>
      <c r="B61" s="0" t="inlineStr">
        <is>
          <t>Item Acquired: 60.00K (2, 22)</t>
        </is>
      </c>
    </row>
    <row r="62">
      <c r="A62" s="0" t="inlineStr">
        <is>
          <t>New</t>
        </is>
      </c>
      <c r="B62" s="0" t="inlineStr">
        <is>
          <t>Item Acquired: 30.00K (1, 25)</t>
        </is>
      </c>
    </row>
    <row r="63">
      <c r="A63" s="0" t="inlineStr">
        <is>
          <t>New</t>
        </is>
      </c>
      <c r="B63" s="0" t="inlineStr">
        <is>
          <t>Item Acquired: 560.00K (7, 23)</t>
        </is>
      </c>
    </row>
    <row r="64">
      <c r="A64" s="0" t="inlineStr">
        <is>
          <t>New</t>
        </is>
      </c>
      <c r="B64" s="0" t="inlineStr">
        <is>
          <t>Item Acquired: 60.00K (2, 8)</t>
        </is>
      </c>
    </row>
    <row r="65">
      <c r="A65" s="0" t="inlineStr">
        <is>
          <t>New</t>
        </is>
      </c>
      <c r="B65" s="0" t="inlineStr">
        <is>
          <t>Item Acquired: 90.00K (3, 15)</t>
        </is>
      </c>
    </row>
    <row r="66">
      <c r="A66" s="0" t="inlineStr">
        <is>
          <t>It</t>
        </is>
      </c>
      <c r="B66" s="0" t="inlineStr">
        <is>
          <t>em Reselect Failed: Attempts -</t>
        </is>
      </c>
      <c r="C66" s="0" t="n">
        <v>3</v>
      </c>
    </row>
    <row r="67">
      <c r="A67" s="0" t="inlineStr">
        <is>
          <t>New</t>
        </is>
      </c>
      <c r="B67" s="0" t="inlineStr">
        <is>
          <t>Item Acquired: 50.00K (1, 3)</t>
        </is>
      </c>
    </row>
    <row r="68">
      <c r="A68" s="0" t="inlineStr">
        <is>
          <t>New</t>
        </is>
      </c>
      <c r="B68" s="0" t="inlineStr">
        <is>
          <t>Item Acquired: 60.00K (2, 9)</t>
        </is>
      </c>
    </row>
    <row r="69">
      <c r="A69" s="0" t="inlineStr">
        <is>
          <t>New</t>
        </is>
      </c>
      <c r="B69" s="0" t="inlineStr">
        <is>
          <t>Item Acquired: 30.00K (1, 1)</t>
        </is>
      </c>
    </row>
    <row r="70">
      <c r="A70" s="0" t="inlineStr">
        <is>
          <t>Line</t>
        </is>
      </c>
      <c r="B70" s="0" t="inlineStr">
        <is>
          <t>Prize Acquired : 230.00K (Stage :</t>
        </is>
      </c>
      <c r="C70" s="0" t="n">
        <v>1</v>
      </c>
      <c r="D70" s="0" t="inlineStr">
        <is>
          <t>) -</t>
        </is>
      </c>
      <c r="E70" s="0" t="n">
        <v>230000</v>
      </c>
    </row>
    <row r="71">
      <c r="A71" s="0" t="inlineStr">
        <is>
          <t>Clear</t>
        </is>
      </c>
      <c r="B71" s="0" t="inlineStr">
        <is>
          <t>Clear Gem Acquired : 200 -&gt; 300 (Stage</t>
        </is>
      </c>
      <c r="C71" s="0" t="inlineStr"/>
      <c r="D71" s="0" t="inlineStr">
        <is>
          <t>:</t>
        </is>
      </c>
      <c r="E71" s="0" t="inlineStr">
        <is>
          <t>1)</t>
        </is>
      </c>
    </row>
    <row r="72">
      <c r="A72" s="0" t="inlineStr">
        <is>
          <t>New</t>
        </is>
      </c>
      <c r="B72" s="0" t="inlineStr">
        <is>
          <t>Item Acquired: 150.00K (3, 19)</t>
        </is>
      </c>
    </row>
    <row r="73">
      <c r="A73" s="0" t="inlineStr">
        <is>
          <t>New</t>
        </is>
      </c>
      <c r="B73" s="0" t="inlineStr">
        <is>
          <t>Item Acquired: 70.00K (1, 21)</t>
        </is>
      </c>
    </row>
    <row r="74">
      <c r="A74" s="0" t="inlineStr">
        <is>
          <t>New</t>
        </is>
      </c>
      <c r="B74" s="0" t="inlineStr">
        <is>
          <t>Item Acquired: 60.00K (2, 7)</t>
        </is>
      </c>
    </row>
    <row r="75">
      <c r="A75" s="0" t="inlineStr">
        <is>
          <t>New</t>
        </is>
      </c>
      <c r="B75" s="0" t="inlineStr">
        <is>
          <t>Item Acquired: 140.00K (2, 24)</t>
        </is>
      </c>
    </row>
    <row r="76">
      <c r="A76" s="0" t="inlineStr">
        <is>
          <t>New</t>
        </is>
      </c>
      <c r="B76" s="0" t="inlineStr">
        <is>
          <t>Item Acquired: 90.00K (3, 20)</t>
        </is>
      </c>
    </row>
    <row r="77">
      <c r="A77" s="0" t="inlineStr">
        <is>
          <t>New</t>
        </is>
      </c>
      <c r="B77" s="0" t="inlineStr">
        <is>
          <t>Item Acquired: 60.00K (2, 12)</t>
        </is>
      </c>
    </row>
    <row r="78">
      <c r="A78" s="0" t="inlineStr">
        <is>
          <t>New</t>
        </is>
      </c>
      <c r="B78" s="0" t="inlineStr">
        <is>
          <t>Item Acquired: 50.00K (1, 15)</t>
        </is>
      </c>
    </row>
    <row r="79">
      <c r="A79" s="0" t="inlineStr">
        <is>
          <t>New</t>
        </is>
      </c>
      <c r="B79" s="0" t="inlineStr">
        <is>
          <t>Item Acquired: 60.00K (2, 2)</t>
        </is>
      </c>
    </row>
    <row r="80">
      <c r="A80" s="0" t="inlineStr">
        <is>
          <t>New</t>
        </is>
      </c>
      <c r="B80" s="0" t="inlineStr">
        <is>
          <t>Item Acquired: 60.00K (2, 20)</t>
        </is>
      </c>
    </row>
    <row r="81">
      <c r="A81" s="0" t="inlineStr">
        <is>
          <t>New</t>
        </is>
      </c>
      <c r="B81" s="0" t="inlineStr">
        <is>
          <t>Item Acquired: 490.00K (6, 6)</t>
        </is>
      </c>
    </row>
    <row r="82">
      <c r="A82" s="0" t="inlineStr">
        <is>
          <t>New</t>
        </is>
      </c>
      <c r="B82" s="0" t="inlineStr">
        <is>
          <t>Item Acquired: 100.00K (2, 1)</t>
        </is>
      </c>
    </row>
    <row r="83">
      <c r="A83" s="0" t="inlineStr">
        <is>
          <t>New</t>
        </is>
      </c>
      <c r="B83" s="0" t="inlineStr">
        <is>
          <t>Item Acquired: 90.00K (3, 10)</t>
        </is>
      </c>
    </row>
    <row r="84">
      <c r="A84" s="0" t="inlineStr">
        <is>
          <t>Line</t>
        </is>
      </c>
      <c r="B84" s="0" t="inlineStr">
        <is>
          <t>Prize Acquired : 570.00K (Stage :</t>
        </is>
      </c>
      <c r="C84" s="0" t="n">
        <v>3</v>
      </c>
      <c r="D84" s="0" t="inlineStr">
        <is>
          <t>) -</t>
        </is>
      </c>
      <c r="E84" s="0" t="n">
        <v>570000</v>
      </c>
    </row>
    <row r="85">
      <c r="A85" s="0" t="inlineStr">
        <is>
          <t>Clear</t>
        </is>
      </c>
      <c r="B85" s="0" t="inlineStr">
        <is>
          <t>Clear Gem Acquired : 300 -&gt; 400 (Stage</t>
        </is>
      </c>
      <c r="C85" s="0" t="inlineStr"/>
      <c r="D85" s="0" t="inlineStr">
        <is>
          <t>:</t>
        </is>
      </c>
      <c r="E85" s="0" t="inlineStr">
        <is>
          <t>3)</t>
        </is>
      </c>
    </row>
    <row r="86">
      <c r="A86" s="0" t="inlineStr">
        <is>
          <t>New</t>
        </is>
      </c>
      <c r="B86" s="0" t="inlineStr">
        <is>
          <t>Item Acquired: 50.00K (1, 2)</t>
        </is>
      </c>
    </row>
    <row r="87">
      <c r="A87" s="0" t="inlineStr">
        <is>
          <t>New</t>
        </is>
      </c>
      <c r="B87" s="0" t="inlineStr">
        <is>
          <t>Item Acquired: 30.00K (1, 7)</t>
        </is>
      </c>
    </row>
    <row r="88">
      <c r="A88" s="0" t="inlineStr">
        <is>
          <t>New</t>
        </is>
      </c>
      <c r="B88" s="0" t="inlineStr">
        <is>
          <t>Item Acquired: 60.00K (2, 11)</t>
        </is>
      </c>
    </row>
    <row r="89">
      <c r="A89" s="0" t="inlineStr">
        <is>
          <t>New</t>
        </is>
      </c>
      <c r="B89" s="0" t="inlineStr">
        <is>
          <t>Item Acquired: 70.00K (1, 16)</t>
        </is>
      </c>
    </row>
    <row r="90">
      <c r="A90" s="0" t="inlineStr">
        <is>
          <t>New</t>
        </is>
      </c>
      <c r="B90" s="0" t="inlineStr">
        <is>
          <t>Item Acquired: 90.00K (3, 20)</t>
        </is>
      </c>
    </row>
    <row r="91">
      <c r="A91" s="0" t="inlineStr">
        <is>
          <t>New</t>
        </is>
      </c>
      <c r="B91" s="0" t="inlineStr">
        <is>
          <t>Item Acquired: 70.00K (1, 25)</t>
        </is>
      </c>
    </row>
    <row r="92">
      <c r="A92" s="0" t="inlineStr">
        <is>
          <t>New</t>
        </is>
      </c>
      <c r="B92" s="0" t="inlineStr">
        <is>
          <t>Item Acquired: 90.00K (3, 1)</t>
        </is>
      </c>
    </row>
    <row r="93">
      <c r="A93" s="0" t="inlineStr">
        <is>
          <t>New</t>
        </is>
      </c>
      <c r="B93" s="0" t="inlineStr">
        <is>
          <t>Item Acquired: 500.00K (8, 18)</t>
        </is>
      </c>
    </row>
    <row r="94">
      <c r="A94" s="0" t="inlineStr">
        <is>
          <t>New</t>
        </is>
      </c>
      <c r="B94" s="0" t="inlineStr">
        <is>
          <t>Item Acquired: 50.00K (1, 11)</t>
        </is>
      </c>
    </row>
    <row r="95">
      <c r="A95" s="0" t="inlineStr">
        <is>
          <t>New</t>
        </is>
      </c>
      <c r="B95" s="0" t="inlineStr">
        <is>
          <t>Item Acquired: 150.00K (3, 24)</t>
        </is>
      </c>
    </row>
    <row r="96">
      <c r="A96" s="0" t="inlineStr">
        <is>
          <t>New</t>
        </is>
      </c>
      <c r="B96" s="0" t="inlineStr">
        <is>
          <t>Item Acquired: 90.00K (3, 19)</t>
        </is>
      </c>
    </row>
    <row r="97">
      <c r="A97" s="0" t="inlineStr">
        <is>
          <t>New</t>
        </is>
      </c>
      <c r="B97" s="0" t="inlineStr">
        <is>
          <t>Item Acquired: Mini (5, 19)</t>
        </is>
      </c>
    </row>
    <row r="98">
      <c r="A98" s="0" t="inlineStr">
        <is>
          <t>New</t>
        </is>
      </c>
      <c r="B98" s="0" t="inlineStr">
        <is>
          <t>Item Acquired: 180.00K (5, 3)</t>
        </is>
      </c>
    </row>
    <row r="99">
      <c r="A99" s="0" t="inlineStr">
        <is>
          <t>New</t>
        </is>
      </c>
      <c r="B99" s="0" t="inlineStr">
        <is>
          <t>Item Acquired: 100.00K (2, 4)</t>
        </is>
      </c>
    </row>
    <row r="100">
      <c r="A100" s="0" t="inlineStr">
        <is>
          <t>New</t>
        </is>
      </c>
      <c r="B100" s="0" t="inlineStr">
        <is>
          <t>Item Acquired: 60.00K (2, 15)</t>
        </is>
      </c>
    </row>
    <row r="101">
      <c r="A101" s="0" t="inlineStr">
        <is>
          <t>New</t>
        </is>
      </c>
      <c r="B101" s="0" t="inlineStr">
        <is>
          <t>Item Acquired: 210.00K (4, 11)</t>
        </is>
      </c>
    </row>
    <row r="102">
      <c r="A102" s="0" t="inlineStr">
        <is>
          <t>New</t>
        </is>
      </c>
      <c r="B102" s="0" t="inlineStr">
        <is>
          <t>Item Acquired: 50.00K (1, 23)</t>
        </is>
      </c>
    </row>
    <row r="103">
      <c r="A103" s="0" t="inlineStr">
        <is>
          <t>New</t>
        </is>
      </c>
      <c r="B103" s="0" t="inlineStr">
        <is>
          <t>Item Acquired: 30.00K (1, 4)</t>
        </is>
      </c>
    </row>
    <row r="104">
      <c r="A104" s="0" t="inlineStr">
        <is>
          <t>New</t>
        </is>
      </c>
      <c r="B104" s="0" t="inlineStr">
        <is>
          <t>Item Acquired: 30.00K (1, 8)</t>
        </is>
      </c>
    </row>
    <row r="105">
      <c r="A105" s="0" t="inlineStr">
        <is>
          <t>New</t>
        </is>
      </c>
      <c r="B105" s="0" t="inlineStr">
        <is>
          <t>Item Acquired: 150.00K (3, 9)</t>
        </is>
      </c>
    </row>
    <row r="106">
      <c r="A106" s="0" t="inlineStr">
        <is>
          <t>New</t>
        </is>
      </c>
      <c r="B106" s="0" t="inlineStr">
        <is>
          <t>Item Acquired: 90.00K (3, 22)</t>
        </is>
      </c>
    </row>
    <row r="107">
      <c r="A107" s="0" t="inlineStr">
        <is>
          <t>New</t>
        </is>
      </c>
      <c r="B107" s="0" t="inlineStr">
        <is>
          <t>Item Acquired: 50.00K (1, 9)</t>
        </is>
      </c>
    </row>
    <row r="108">
      <c r="A108" s="0" t="inlineStr">
        <is>
          <t>New</t>
        </is>
      </c>
      <c r="B108" s="0" t="inlineStr">
        <is>
          <t>Item Acquired: 300.00K (8, 1)</t>
        </is>
      </c>
    </row>
    <row r="109">
      <c r="A109" s="0" t="inlineStr">
        <is>
          <t>New</t>
        </is>
      </c>
      <c r="B109" s="0" t="inlineStr">
        <is>
          <t>Item Acquired: Minor (2, 18)</t>
        </is>
      </c>
    </row>
    <row r="110">
      <c r="A110" s="0" t="inlineStr">
        <is>
          <t>New</t>
        </is>
      </c>
      <c r="B110" s="0" t="inlineStr">
        <is>
          <t>Item Acquired: 50.00K (1, 14)</t>
        </is>
      </c>
    </row>
    <row r="111">
      <c r="A111" s="0" t="inlineStr">
        <is>
          <t>New</t>
        </is>
      </c>
      <c r="B111" s="0" t="inlineStr">
        <is>
          <t>Item Acquired: 210.00K (3, 25)</t>
        </is>
      </c>
    </row>
    <row r="112">
      <c r="A112" s="0" t="inlineStr">
        <is>
          <t>New</t>
        </is>
      </c>
      <c r="B112" s="0" t="inlineStr">
        <is>
          <t>Item Acquired: 140.00K (2, 17)</t>
        </is>
      </c>
    </row>
    <row r="113">
      <c r="A113" s="0" t="inlineStr">
        <is>
          <t>Line</t>
        </is>
      </c>
      <c r="B113" s="0" t="inlineStr">
        <is>
          <t>Prize Acquired : 380.00K (Stage :</t>
        </is>
      </c>
      <c r="C113" s="0" t="n">
        <v>2</v>
      </c>
      <c r="D113" s="0" t="inlineStr">
        <is>
          <t>) -</t>
        </is>
      </c>
      <c r="E113" s="0" t="n">
        <v>380000</v>
      </c>
    </row>
    <row r="114">
      <c r="A114" s="0" t="inlineStr">
        <is>
          <t>Clear</t>
        </is>
      </c>
      <c r="B114" s="0" t="inlineStr">
        <is>
          <t>Clear Gem Acquired : 400 -&gt; 500 (Stage</t>
        </is>
      </c>
      <c r="C114" s="0" t="inlineStr"/>
      <c r="D114" s="0" t="inlineStr">
        <is>
          <t>:</t>
        </is>
      </c>
      <c r="E114" s="0" t="inlineStr">
        <is>
          <t>2)</t>
        </is>
      </c>
    </row>
    <row r="115">
      <c r="A115" s="0" t="inlineStr">
        <is>
          <t>New</t>
        </is>
      </c>
      <c r="B115" s="0" t="inlineStr">
        <is>
          <t>Item Acquired: 30.00K (1, 5)</t>
        </is>
      </c>
    </row>
    <row r="116">
      <c r="A116" s="0" t="inlineStr">
        <is>
          <t>New</t>
        </is>
      </c>
      <c r="B116" s="0" t="inlineStr">
        <is>
          <t>Item Acquired: 400.00K (7, 1)</t>
        </is>
      </c>
    </row>
    <row r="117">
      <c r="A117" s="0" t="inlineStr">
        <is>
          <t>New</t>
        </is>
      </c>
      <c r="B117" s="0" t="inlineStr">
        <is>
          <t>Item Acquired: 60.00K (2, 5)</t>
        </is>
      </c>
    </row>
    <row r="118">
      <c r="A118" s="0" t="inlineStr">
        <is>
          <t>New</t>
        </is>
      </c>
      <c r="B118" s="0" t="inlineStr">
        <is>
          <t>Item Acquired: 30.00K (1, 19)</t>
        </is>
      </c>
    </row>
    <row r="119">
      <c r="A119" s="0" t="inlineStr">
        <is>
          <t>New</t>
        </is>
      </c>
      <c r="B119" s="0" t="inlineStr">
        <is>
          <t>Item Acquired: 350.00K (6, 23)</t>
        </is>
      </c>
    </row>
    <row r="120">
      <c r="A120" s="0" t="inlineStr">
        <is>
          <t>New</t>
        </is>
      </c>
      <c r="B120" s="0" t="inlineStr">
        <is>
          <t>Item Acquired: 150.00K (3, 10)</t>
        </is>
      </c>
    </row>
    <row r="121">
      <c r="A121" s="0" t="inlineStr">
        <is>
          <t>New</t>
        </is>
      </c>
      <c r="B121" s="0" t="inlineStr">
        <is>
          <t>Item Acquired: 150.00K (3, 15)</t>
        </is>
      </c>
    </row>
    <row r="122">
      <c r="A122" s="0" t="inlineStr">
        <is>
          <t>New</t>
        </is>
      </c>
      <c r="B122" s="0" t="inlineStr">
        <is>
          <t>Item Acquired: 560.00K (7, 17)</t>
        </is>
      </c>
    </row>
    <row r="123">
      <c r="A123" s="0" t="inlineStr">
        <is>
          <t>New</t>
        </is>
      </c>
      <c r="B123" s="0" t="inlineStr">
        <is>
          <t>Item Acquired: 30.00K (1, 3)</t>
        </is>
      </c>
    </row>
    <row r="124">
      <c r="A124" s="0" t="inlineStr">
        <is>
          <t>New</t>
        </is>
      </c>
      <c r="B124" s="0" t="inlineStr">
        <is>
          <t>Item Acquired: 70.00K (1, 12)</t>
        </is>
      </c>
    </row>
    <row r="125">
      <c r="A125" s="0" t="inlineStr">
        <is>
          <t>Line</t>
        </is>
      </c>
      <c r="B125" s="0" t="inlineStr">
        <is>
          <t>Prize Acquired : 420.00K (Stage :</t>
        </is>
      </c>
      <c r="C125" s="0" t="n">
        <v>1</v>
      </c>
      <c r="D125" s="0" t="inlineStr">
        <is>
          <t>) -</t>
        </is>
      </c>
      <c r="E125" s="0" t="n">
        <v>420000</v>
      </c>
    </row>
    <row r="126">
      <c r="A126" s="0" t="inlineStr">
        <is>
          <t>Clear</t>
        </is>
      </c>
      <c r="B126" s="0" t="inlineStr">
        <is>
          <t>Clear Gem Acquired : 500 -&gt; 600 (Stage</t>
        </is>
      </c>
      <c r="C126" s="0" t="inlineStr"/>
      <c r="D126" s="0" t="inlineStr">
        <is>
          <t>:</t>
        </is>
      </c>
      <c r="E126" s="0" t="inlineStr">
        <is>
          <t>1)</t>
        </is>
      </c>
    </row>
    <row r="127">
      <c r="A127" s="0" t="inlineStr">
        <is>
          <t>New</t>
        </is>
      </c>
      <c r="B127" s="0" t="inlineStr">
        <is>
          <t>Item Acquired: 100.00K (2, 10)</t>
        </is>
      </c>
    </row>
    <row r="128">
      <c r="A128" s="0" t="inlineStr">
        <is>
          <t>New</t>
        </is>
      </c>
      <c r="B128" s="0" t="inlineStr">
        <is>
          <t>Item Acquired: 210.00K (4, 14)</t>
        </is>
      </c>
    </row>
    <row r="129">
      <c r="A129" s="0" t="inlineStr">
        <is>
          <t>New</t>
        </is>
      </c>
      <c r="B129" s="0" t="inlineStr">
        <is>
          <t>Item Acquired: 30.00K (1, 1)</t>
        </is>
      </c>
    </row>
    <row r="130">
      <c r="A130" s="0" t="inlineStr">
        <is>
          <t>New</t>
        </is>
      </c>
      <c r="B130" s="0" t="inlineStr">
        <is>
          <t>Item Acquired: Minor (4, 6)</t>
        </is>
      </c>
    </row>
    <row r="131">
      <c r="A131" s="0" t="inlineStr">
        <is>
          <t>New</t>
        </is>
      </c>
      <c r="B131" s="0" t="inlineStr">
        <is>
          <t>Item Acquired: 30.00K (1, 3)</t>
        </is>
      </c>
    </row>
    <row r="132">
      <c r="A132" s="0" t="inlineStr">
        <is>
          <t>New</t>
        </is>
      </c>
      <c r="B132" s="0" t="inlineStr">
        <is>
          <t>Item Acquired: 30.00K (1, 16)</t>
        </is>
      </c>
    </row>
    <row r="133">
      <c r="A133" s="0" t="inlineStr">
        <is>
          <t>New</t>
        </is>
      </c>
      <c r="B133" s="0" t="inlineStr">
        <is>
          <t>Item Acquired: 100.00K (2, 17)</t>
        </is>
      </c>
    </row>
    <row r="134">
      <c r="A134" s="0" t="inlineStr">
        <is>
          <t>New</t>
        </is>
      </c>
      <c r="B134" s="0" t="inlineStr">
        <is>
          <t>Item Acquired: 50.00K (1, 9)</t>
        </is>
      </c>
    </row>
    <row r="135">
      <c r="A135" s="0" t="inlineStr">
        <is>
          <t>New</t>
        </is>
      </c>
      <c r="B135" s="0" t="inlineStr">
        <is>
          <t>Item Acquired: 60.00K (2, 14)</t>
        </is>
      </c>
    </row>
    <row r="136">
      <c r="A136" s="0" t="inlineStr">
        <is>
          <t>New</t>
        </is>
      </c>
      <c r="B136" s="0" t="inlineStr">
        <is>
          <t>Item Acquired: 60.00K (2, 19)</t>
        </is>
      </c>
    </row>
    <row r="137">
      <c r="A137" s="0" t="inlineStr">
        <is>
          <t>New</t>
        </is>
      </c>
      <c r="B137" s="0" t="inlineStr">
        <is>
          <t>Item Acquired: 70.00K (1, 2)</t>
        </is>
      </c>
    </row>
    <row r="138">
      <c r="A138" s="0" t="inlineStr">
        <is>
          <t>New</t>
        </is>
      </c>
      <c r="B138" s="0" t="inlineStr">
        <is>
          <t>Item Acquired: 100.00K (2, 8)</t>
        </is>
      </c>
    </row>
    <row r="139">
      <c r="A139" s="0" t="inlineStr">
        <is>
          <t>New</t>
        </is>
      </c>
      <c r="B139" s="0" t="inlineStr">
        <is>
          <t>Item Acquired: 90.00K (3, 8)</t>
        </is>
      </c>
    </row>
    <row r="140">
      <c r="A140" s="0" t="inlineStr">
        <is>
          <t>New</t>
        </is>
      </c>
      <c r="B140" s="0" t="inlineStr">
        <is>
          <t>Item Acquired: 50.00K (1, 20)</t>
        </is>
      </c>
    </row>
    <row r="141">
      <c r="A141" s="0" t="inlineStr">
        <is>
          <t>New</t>
        </is>
      </c>
      <c r="B141" s="0" t="inlineStr">
        <is>
          <t>Item Acquired: 100.00K (2, 22)</t>
        </is>
      </c>
    </row>
    <row r="142">
      <c r="A142" s="0" t="inlineStr">
        <is>
          <t>New</t>
        </is>
      </c>
      <c r="B142" s="0" t="inlineStr">
        <is>
          <t>Item Acquired: Mini (2, 9)</t>
        </is>
      </c>
    </row>
    <row r="143">
      <c r="A143" s="0" t="inlineStr">
        <is>
          <t>New</t>
        </is>
      </c>
      <c r="B143" s="0" t="inlineStr">
        <is>
          <t>Item Acquired: 30.00K (1, 23)</t>
        </is>
      </c>
    </row>
    <row r="144">
      <c r="A144" s="0" t="inlineStr">
        <is>
          <t>New</t>
        </is>
      </c>
      <c r="B144" s="0" t="inlineStr">
        <is>
          <t>Item Acquired: 60.00K (2, 7)</t>
        </is>
      </c>
    </row>
    <row r="145">
      <c r="A145" s="0" t="inlineStr">
        <is>
          <t>New</t>
        </is>
      </c>
      <c r="B145" s="0" t="inlineStr">
        <is>
          <t>Item Acquired: 100.00K (2, 15)</t>
        </is>
      </c>
    </row>
  </sheetData>
  <mergeCells count="1">
    <mergeCell ref="A1:M1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206"/>
  <sheetViews>
    <sheetView workbookViewId="0">
      <selection activeCell="A1" sqref="A1"/>
    </sheetView>
  </sheetViews>
  <sheetFormatPr baseColWidth="8" defaultRowHeight="16.5"/>
  <cols>
    <col width="11.375" bestFit="1" customWidth="1" style="161" min="2" max="2"/>
    <col width="11.375" customWidth="1" style="161" min="3" max="3"/>
    <col width="13.25" bestFit="1" customWidth="1" style="161" min="4" max="4"/>
    <col width="14.5" bestFit="1" customWidth="1" style="161" min="5" max="5"/>
    <col width="13.25" bestFit="1" customWidth="1" style="161" min="6" max="6"/>
    <col width="17.875" bestFit="1" customWidth="1" style="161" min="7" max="7"/>
    <col width="10.375" bestFit="1" customWidth="1" style="161" min="8" max="9"/>
    <col width="14.5" bestFit="1" customWidth="1" style="161" min="10" max="10"/>
    <col width="4" customWidth="1" style="161" min="11" max="11"/>
    <col width="14.5" customWidth="1" style="161" min="12" max="12"/>
    <col width="4.125" customWidth="1" style="161" min="14" max="14"/>
    <col width="5.125" bestFit="1" customWidth="1" style="161" min="15" max="15"/>
    <col width="4.5" bestFit="1" customWidth="1" style="161" min="16" max="18"/>
    <col width="3.5" customWidth="1" style="161" min="19" max="19"/>
    <col width="3.75" customWidth="1" style="161" min="20" max="20"/>
    <col width="4" bestFit="1" customWidth="1" style="161" min="21" max="21"/>
    <col width="3.5" bestFit="1" customWidth="1" style="161" min="22" max="24"/>
    <col width="3.5" customWidth="1" style="161" min="25" max="25"/>
    <col width="3.875" customWidth="1" style="161" min="26" max="26"/>
    <col width="4" bestFit="1" customWidth="1" style="161" min="27" max="27"/>
    <col width="3.5" bestFit="1" customWidth="1" style="161" min="28" max="30"/>
    <col width="3.5" customWidth="1" style="161" min="31" max="31"/>
    <col width="3.75" customWidth="1" style="161" min="32" max="32"/>
    <col width="4" bestFit="1" customWidth="1" style="161" min="33" max="33"/>
    <col width="3.5" bestFit="1" customWidth="1" style="161" min="34" max="36"/>
    <col width="45.625" bestFit="1" customWidth="1" style="161" min="39" max="39"/>
    <col width="6.875" customWidth="1" style="161" min="40" max="40"/>
    <col width="13.125" bestFit="1" customWidth="1" style="161" min="41" max="41"/>
    <col width="45.625" bestFit="1" customWidth="1" style="161" min="44" max="44"/>
    <col width="8.125" customWidth="1" style="161" min="45" max="45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D2" s="0" t="inlineStr">
        <is>
          <t>C1</t>
        </is>
      </c>
      <c r="E2" s="0" t="inlineStr">
        <is>
          <t>C2</t>
        </is>
      </c>
      <c r="F2" s="0" t="inlineStr">
        <is>
          <t>C3</t>
        </is>
      </c>
      <c r="G2" s="0" t="inlineStr">
        <is>
          <t>C4</t>
        </is>
      </c>
      <c r="H2" s="0" t="inlineStr">
        <is>
          <t>C5</t>
        </is>
      </c>
      <c r="I2" s="0" t="inlineStr">
        <is>
          <t>C6</t>
        </is>
      </c>
      <c r="J2" s="0" t="inlineStr">
        <is>
          <t>C7</t>
        </is>
      </c>
      <c r="L2" s="31" t="inlineStr">
        <is>
          <t>Weight</t>
        </is>
      </c>
      <c r="N2" s="31" t="inlineStr">
        <is>
          <t>Level1</t>
        </is>
      </c>
      <c r="O2" s="31" t="n"/>
      <c r="P2" s="31" t="n"/>
      <c r="Q2" s="31" t="n"/>
      <c r="R2" s="31" t="n"/>
      <c r="T2" s="31" t="inlineStr">
        <is>
          <t>Level2</t>
        </is>
      </c>
      <c r="U2" s="31" t="n"/>
      <c r="V2" s="31" t="n"/>
      <c r="W2" s="31" t="n"/>
      <c r="X2" s="31" t="n"/>
      <c r="Z2" s="31" t="inlineStr">
        <is>
          <t>Level3</t>
        </is>
      </c>
      <c r="AA2" s="31" t="n"/>
      <c r="AB2" s="31" t="n"/>
      <c r="AC2" s="31" t="n"/>
      <c r="AD2" s="31" t="n"/>
      <c r="AF2" s="28" t="inlineStr">
        <is>
          <t>Level4</t>
        </is>
      </c>
      <c r="AG2" s="29" t="n"/>
      <c r="AH2" s="29" t="n"/>
      <c r="AI2" s="29" t="n"/>
      <c r="AJ2" s="30" t="n"/>
      <c r="AM2" s="0" t="inlineStr">
        <is>
          <t>Line Prize Won: 1.00M (Stage : 2) - 1000000</t>
        </is>
      </c>
      <c r="AO2" s="0" t="inlineStr">
        <is>
          <t>Bingo Win</t>
        </is>
      </c>
      <c r="AP2" s="0">
        <f>COUNTIF($AM$1:$AM$182,"*")</f>
        <v/>
      </c>
      <c r="AR2" s="0" t="inlineStr">
        <is>
          <t>Line Prize Won: 1.00M (Stage : 2) - 1000000</t>
        </is>
      </c>
      <c r="AT2" s="0" t="inlineStr">
        <is>
          <t>Bingo Win</t>
        </is>
      </c>
      <c r="AU2" s="0">
        <f>COUNTIF($AM$1:$AM$182,"*")</f>
        <v/>
      </c>
    </row>
    <row r="3" ht="20.25" customHeight="1" s="161">
      <c r="A3" s="0" t="inlineStr">
        <is>
          <t>Spins</t>
        </is>
      </c>
      <c r="B3" s="0" t="n">
        <v>3000</v>
      </c>
      <c r="C3" s="0" t="n">
        <v>1500</v>
      </c>
      <c r="D3" s="0" t="n">
        <v>799</v>
      </c>
      <c r="E3" s="0" t="n">
        <v>1039</v>
      </c>
      <c r="F3" s="0" t="n">
        <v>1373</v>
      </c>
      <c r="G3" s="0" t="n">
        <v>2816</v>
      </c>
      <c r="H3" s="0" t="n">
        <v>6044</v>
      </c>
      <c r="I3" s="0" t="n">
        <v>10829</v>
      </c>
      <c r="J3" s="0" t="n">
        <v>9913</v>
      </c>
      <c r="L3" s="32" t="n">
        <v>150</v>
      </c>
      <c r="N3" s="22" t="n">
        <v>202</v>
      </c>
      <c r="O3" s="23" t="n">
        <v>202</v>
      </c>
      <c r="P3" s="11" t="n">
        <v>202</v>
      </c>
      <c r="Q3" s="11" t="n">
        <v>202</v>
      </c>
      <c r="R3" s="12" t="n">
        <v>202</v>
      </c>
      <c r="T3" s="22" t="n">
        <v>107</v>
      </c>
      <c r="U3" s="23" t="n">
        <v>107</v>
      </c>
      <c r="V3" s="13" t="n">
        <v>107</v>
      </c>
      <c r="W3" s="13" t="n">
        <v>107</v>
      </c>
      <c r="X3" s="12" t="n">
        <v>107</v>
      </c>
      <c r="Z3" s="22" t="n">
        <v>53</v>
      </c>
      <c r="AA3" s="23" t="n">
        <v>53</v>
      </c>
      <c r="AB3" s="13" t="n">
        <v>53</v>
      </c>
      <c r="AC3" s="13" t="n">
        <v>53</v>
      </c>
      <c r="AD3" s="12" t="n">
        <v>53</v>
      </c>
      <c r="AF3" s="22" t="n">
        <v>26</v>
      </c>
      <c r="AG3" s="23" t="n">
        <v>26</v>
      </c>
      <c r="AH3" s="13" t="n">
        <v>26</v>
      </c>
      <c r="AI3" s="13" t="n">
        <v>26</v>
      </c>
      <c r="AJ3" s="12" t="n">
        <v>26</v>
      </c>
      <c r="AM3" s="0" t="inlineStr">
        <is>
          <t>Line Prize Won: 1.29M (Stage : 3) - 1290000</t>
        </is>
      </c>
      <c r="AO3" s="0" t="inlineStr">
        <is>
          <t>Made</t>
        </is>
      </c>
      <c r="AP3" s="0">
        <f>COUNTIF($AM$1:$AM$182,"Line*")</f>
        <v/>
      </c>
      <c r="AR3" s="0" t="inlineStr">
        <is>
          <t>Line Prize Won: 1.29M (Stage : 3) - 1290000</t>
        </is>
      </c>
      <c r="AT3" s="0" t="inlineStr">
        <is>
          <t>Made</t>
        </is>
      </c>
      <c r="AU3" s="0">
        <f>COUNTIF($AM$1:$AM$182,"Line*")</f>
        <v/>
      </c>
    </row>
    <row r="4">
      <c r="A4" s="0" t="inlineStr">
        <is>
          <t>Total Won</t>
        </is>
      </c>
      <c r="B4" s="34" t="n">
        <v>8572860000</v>
      </c>
      <c r="C4" s="34" t="n">
        <v>3006990000</v>
      </c>
      <c r="D4" s="34" t="n">
        <v>1210230000</v>
      </c>
      <c r="E4" s="34" t="n">
        <v>1617400000</v>
      </c>
      <c r="F4" s="34" t="n">
        <v>2782930000</v>
      </c>
      <c r="G4" s="34" t="n">
        <v>8152880000</v>
      </c>
      <c r="H4" s="34" t="n">
        <v>21332230000</v>
      </c>
      <c r="I4" s="34" t="n">
        <v>42576460000</v>
      </c>
      <c r="J4" s="34" t="n">
        <v>37204450000</v>
      </c>
      <c r="K4" s="7" t="n"/>
      <c r="L4" s="32" t="n">
        <v>80</v>
      </c>
      <c r="N4" s="11" t="n">
        <v>202</v>
      </c>
      <c r="O4" s="12" t="n">
        <v>202</v>
      </c>
      <c r="P4" s="11" t="n">
        <v>202</v>
      </c>
      <c r="Q4" s="12" t="n">
        <v>202</v>
      </c>
      <c r="R4" s="11" t="n">
        <v>202</v>
      </c>
      <c r="T4" s="13" t="n">
        <v>107</v>
      </c>
      <c r="U4" s="12" t="n">
        <v>107</v>
      </c>
      <c r="V4" s="13" t="n">
        <v>107</v>
      </c>
      <c r="W4" s="12" t="n">
        <v>107</v>
      </c>
      <c r="X4" s="13" t="n">
        <v>107</v>
      </c>
      <c r="Z4" s="13" t="n">
        <v>53</v>
      </c>
      <c r="AA4" s="12" t="n">
        <v>53</v>
      </c>
      <c r="AB4" s="13" t="n">
        <v>53</v>
      </c>
      <c r="AC4" s="12" t="n">
        <v>53</v>
      </c>
      <c r="AD4" s="13" t="n">
        <v>53</v>
      </c>
      <c r="AF4" s="13" t="n">
        <v>26</v>
      </c>
      <c r="AG4" s="12" t="n">
        <v>26</v>
      </c>
      <c r="AH4" s="13" t="n">
        <v>26</v>
      </c>
      <c r="AI4" s="12" t="n">
        <v>26</v>
      </c>
      <c r="AJ4" s="13" t="n">
        <v>26</v>
      </c>
      <c r="AM4" s="0" t="inlineStr">
        <is>
          <t>Line Prize Won: 1.46M (Stage : 4) - 1460000</t>
        </is>
      </c>
      <c r="AO4" s="0" t="inlineStr">
        <is>
          <t>Bingo/Made</t>
        </is>
      </c>
      <c r="AP4" s="0">
        <f>AP1/AP2</f>
        <v/>
      </c>
      <c r="AR4" s="0" t="inlineStr">
        <is>
          <t>Line Prize Won: 1.46M (Stage : 4) - 1460000</t>
        </is>
      </c>
      <c r="AT4" s="0" t="inlineStr">
        <is>
          <t>Bingo/Made</t>
        </is>
      </c>
      <c r="AU4" s="0">
        <f>AU1/AU2</f>
        <v/>
      </c>
    </row>
    <row r="5">
      <c r="A5" s="0" t="inlineStr">
        <is>
          <t>Players</t>
        </is>
      </c>
      <c r="B5" s="0" t="n">
        <v>1000</v>
      </c>
      <c r="C5" s="0" t="n">
        <v>1000</v>
      </c>
      <c r="D5" s="0" t="n">
        <v>1000</v>
      </c>
      <c r="E5" s="0" t="n">
        <v>1000</v>
      </c>
      <c r="F5" s="0" t="n">
        <v>1000</v>
      </c>
      <c r="G5" s="0" t="n">
        <v>1000</v>
      </c>
      <c r="H5" s="0" t="n">
        <v>1000</v>
      </c>
      <c r="I5" s="0" t="n">
        <v>1000</v>
      </c>
      <c r="J5" s="0" t="n">
        <v>1000</v>
      </c>
      <c r="L5" s="32" t="n">
        <v>40</v>
      </c>
      <c r="N5" s="11" t="n">
        <v>202</v>
      </c>
      <c r="O5" s="11" t="n">
        <v>202</v>
      </c>
      <c r="P5" s="10" t="n"/>
      <c r="Q5" s="11" t="n">
        <v>202</v>
      </c>
      <c r="R5" s="11" t="n">
        <v>202</v>
      </c>
      <c r="T5" s="13" t="n">
        <v>107</v>
      </c>
      <c r="U5" s="13" t="n">
        <v>107</v>
      </c>
      <c r="V5" s="14" t="n"/>
      <c r="W5" s="13" t="n">
        <v>107</v>
      </c>
      <c r="X5" s="13" t="n">
        <v>107</v>
      </c>
      <c r="Z5" s="13" t="n">
        <v>53</v>
      </c>
      <c r="AA5" s="13" t="n">
        <v>53</v>
      </c>
      <c r="AB5" s="14" t="n"/>
      <c r="AC5" s="13" t="n">
        <v>53</v>
      </c>
      <c r="AD5" s="13" t="n">
        <v>53</v>
      </c>
      <c r="AF5" s="13" t="n">
        <v>26</v>
      </c>
      <c r="AG5" s="13" t="n">
        <v>26</v>
      </c>
      <c r="AH5" s="14" t="n"/>
      <c r="AI5" s="13" t="n">
        <v>26</v>
      </c>
      <c r="AJ5" s="13" t="n">
        <v>26</v>
      </c>
      <c r="AM5" s="0" t="inlineStr">
        <is>
          <t>Line Prize Won: 240.00K (Stage : 1) - 240000</t>
        </is>
      </c>
      <c r="AO5" s="0" t="inlineStr">
        <is>
          <t>(Stage : 1)</t>
        </is>
      </c>
      <c r="AP5" s="0">
        <f>ROUND(COUNTIF(AM:AM,"*(Stage : 1)*")/2,0)</f>
        <v/>
      </c>
      <c r="AR5" s="0" t="inlineStr">
        <is>
          <t>Line Prize Won: 240.00K (Stage : 1) - 240000</t>
        </is>
      </c>
      <c r="AT5" s="0" t="inlineStr">
        <is>
          <t>(Stage : 1)</t>
        </is>
      </c>
      <c r="AU5" s="0">
        <f>ROUND(COUNTIF(AR:AR,"*(Stage : 1)*")/2,0)</f>
        <v/>
      </c>
    </row>
    <row r="6">
      <c r="A6" s="0" t="inlineStr">
        <is>
          <t>Days</t>
        </is>
      </c>
      <c r="B6" s="0">
        <f>B2/300</f>
        <v/>
      </c>
      <c r="C6" s="0">
        <f>C2/300</f>
        <v/>
      </c>
      <c r="D6" s="0">
        <f>D2/160</f>
        <v/>
      </c>
      <c r="E6" s="0">
        <f>E2/160</f>
        <v/>
      </c>
      <c r="F6" s="0">
        <f>F2/157</f>
        <v/>
      </c>
      <c r="G6" s="0">
        <f>G2/264</f>
        <v/>
      </c>
      <c r="H6" s="0">
        <f>H2/490</f>
        <v/>
      </c>
      <c r="I6" s="0">
        <f>I2/826</f>
        <v/>
      </c>
      <c r="J6" s="0">
        <f>J2/877</f>
        <v/>
      </c>
      <c r="L6" s="32" t="n">
        <v>20</v>
      </c>
      <c r="N6" s="11" t="n">
        <v>202</v>
      </c>
      <c r="O6" s="12" t="n">
        <v>202</v>
      </c>
      <c r="P6" s="11" t="n">
        <v>202</v>
      </c>
      <c r="Q6" s="12" t="n">
        <v>202</v>
      </c>
      <c r="R6" s="11" t="n">
        <v>202</v>
      </c>
      <c r="T6" s="13" t="n">
        <v>107</v>
      </c>
      <c r="U6" s="12" t="n">
        <v>107</v>
      </c>
      <c r="V6" s="13" t="n">
        <v>107</v>
      </c>
      <c r="W6" s="12" t="n">
        <v>107</v>
      </c>
      <c r="X6" s="13" t="n">
        <v>107</v>
      </c>
      <c r="Z6" s="13" t="n">
        <v>53</v>
      </c>
      <c r="AA6" s="12" t="n">
        <v>53</v>
      </c>
      <c r="AB6" s="13" t="n">
        <v>53</v>
      </c>
      <c r="AC6" s="12" t="n">
        <v>53</v>
      </c>
      <c r="AD6" s="13" t="n">
        <v>53</v>
      </c>
      <c r="AF6" s="13" t="n">
        <v>26</v>
      </c>
      <c r="AG6" s="12" t="n">
        <v>26</v>
      </c>
      <c r="AH6" s="13" t="n">
        <v>26</v>
      </c>
      <c r="AI6" s="12" t="n">
        <v>26</v>
      </c>
      <c r="AJ6" s="13" t="n">
        <v>26</v>
      </c>
      <c r="AM6" s="0" t="inlineStr">
        <is>
          <t>Line Prize Won: 260.00K (Stage : 1) - 260000</t>
        </is>
      </c>
      <c r="AO6" s="0" t="inlineStr">
        <is>
          <t>(Stage : 2)</t>
        </is>
      </c>
      <c r="AP6" s="0">
        <f>ROUND(COUNTIF(AM:AM,"*(Stage : 2)*")/2,0)</f>
        <v/>
      </c>
      <c r="AR6" s="0" t="inlineStr">
        <is>
          <t>Line Prize Won: 260.00K (Stage : 1) - 260000</t>
        </is>
      </c>
      <c r="AT6" s="0" t="inlineStr">
        <is>
          <t>(Stage : 2)</t>
        </is>
      </c>
      <c r="AU6" s="0">
        <f>ROUND(COUNTIF(AR:AR,"*(Stage : 2)*")/2,0)</f>
        <v/>
      </c>
    </row>
    <row r="7">
      <c r="B7" s="2">
        <f>B3/B5</f>
        <v/>
      </c>
      <c r="C7" s="2">
        <f>C3/C5</f>
        <v/>
      </c>
      <c r="D7" s="2">
        <f>D3/D5</f>
        <v/>
      </c>
      <c r="E7" s="2">
        <f>E3/E5</f>
        <v/>
      </c>
      <c r="F7" s="2">
        <f>F3/F5</f>
        <v/>
      </c>
      <c r="G7" s="2">
        <f>G3/G5</f>
        <v/>
      </c>
      <c r="H7" s="2">
        <f>H3/H5</f>
        <v/>
      </c>
      <c r="I7" s="2">
        <f>I3/I5</f>
        <v/>
      </c>
      <c r="J7" s="2">
        <f>J3/J5</f>
        <v/>
      </c>
      <c r="K7" s="2" t="n"/>
      <c r="L7" s="32" t="n">
        <v>10</v>
      </c>
      <c r="N7" s="12" t="n">
        <v>202</v>
      </c>
      <c r="O7" s="11" t="n">
        <v>202</v>
      </c>
      <c r="P7" s="11" t="n">
        <v>202</v>
      </c>
      <c r="Q7" s="11" t="n">
        <v>202</v>
      </c>
      <c r="R7" s="12" t="n">
        <v>202</v>
      </c>
      <c r="T7" s="12" t="n">
        <v>107</v>
      </c>
      <c r="U7" s="13" t="n">
        <v>107</v>
      </c>
      <c r="V7" s="13" t="n">
        <v>107</v>
      </c>
      <c r="W7" s="13" t="n">
        <v>107</v>
      </c>
      <c r="X7" s="12" t="n">
        <v>107</v>
      </c>
      <c r="Z7" s="12" t="n">
        <v>53</v>
      </c>
      <c r="AA7" s="13" t="n">
        <v>53</v>
      </c>
      <c r="AB7" s="13" t="n">
        <v>53</v>
      </c>
      <c r="AC7" s="13" t="n">
        <v>53</v>
      </c>
      <c r="AD7" s="12" t="n">
        <v>53</v>
      </c>
      <c r="AF7" s="12" t="n">
        <v>26</v>
      </c>
      <c r="AG7" s="13" t="n">
        <v>26</v>
      </c>
      <c r="AH7" s="13" t="n">
        <v>26</v>
      </c>
      <c r="AI7" s="13" t="n">
        <v>26</v>
      </c>
      <c r="AJ7" s="12" t="n">
        <v>26</v>
      </c>
      <c r="AM7" s="0" t="inlineStr">
        <is>
          <t>Line Prize Won: 310.00K (Stage : 1) - 310000</t>
        </is>
      </c>
      <c r="AO7" s="0" t="inlineStr">
        <is>
          <t>(Stage : 3)</t>
        </is>
      </c>
      <c r="AP7" s="0">
        <f>ROUND(COUNTIF(AM:AM,"*(Stage : 3)*")/2,0)</f>
        <v/>
      </c>
      <c r="AR7" s="0" t="inlineStr">
        <is>
          <t>Line Prize Won: 310.00K (Stage : 1) - 310000</t>
        </is>
      </c>
      <c r="AT7" s="0" t="inlineStr">
        <is>
          <t>(Stage : 3)</t>
        </is>
      </c>
      <c r="AU7" s="0">
        <f>ROUND(COUNTIF(AR:AR,"*(Stage : 3)*")/2,0)</f>
        <v/>
      </c>
    </row>
    <row r="8">
      <c r="A8" s="0" t="inlineStr">
        <is>
          <t>Daily Gain</t>
        </is>
      </c>
      <c r="B8" s="33">
        <f>B6/B4</f>
        <v/>
      </c>
      <c r="C8" s="33">
        <f>C6/C4</f>
        <v/>
      </c>
      <c r="D8" s="33">
        <f>D6/D4</f>
        <v/>
      </c>
      <c r="E8" s="33">
        <f>E6/E4</f>
        <v/>
      </c>
      <c r="F8" s="33">
        <f>F6/F4</f>
        <v/>
      </c>
      <c r="G8" s="33">
        <f>G6/G4</f>
        <v/>
      </c>
      <c r="H8" s="33">
        <f>H6/H4</f>
        <v/>
      </c>
      <c r="I8" s="33">
        <f>I6/I4</f>
        <v/>
      </c>
      <c r="J8" s="33">
        <f>J6/J4</f>
        <v/>
      </c>
      <c r="K8" s="2" t="n"/>
      <c r="L8" s="32" t="n">
        <v>5</v>
      </c>
      <c r="Q8" s="204" t="n">
        <v>312</v>
      </c>
      <c r="R8" s="204" t="n"/>
      <c r="W8" s="205" t="n">
        <v>144</v>
      </c>
      <c r="X8" s="205" t="n"/>
      <c r="AC8" s="205" t="n">
        <v>96</v>
      </c>
      <c r="AD8" s="205" t="n"/>
      <c r="AI8" s="205" t="n">
        <v>24</v>
      </c>
      <c r="AJ8" s="205" t="n"/>
      <c r="AM8" s="0" t="inlineStr">
        <is>
          <t>Line Prize Won: 360.00K (Stage : 1) - 360000</t>
        </is>
      </c>
      <c r="AO8" s="0" t="inlineStr">
        <is>
          <t>(Stage : 4)</t>
        </is>
      </c>
      <c r="AP8" s="0">
        <f>ROUND(COUNTIF(AM:AM,"*(Stage : 4)*")/2,0)</f>
        <v/>
      </c>
      <c r="AR8" s="0" t="inlineStr">
        <is>
          <t>Line Prize Won: 360.00K (Stage : 1) - 360000</t>
        </is>
      </c>
      <c r="AT8" s="0" t="inlineStr">
        <is>
          <t>(Stage : 4)</t>
        </is>
      </c>
      <c r="AU8" s="0">
        <f>ROUND(COUNTIF(AR:AR,"*(Stage : 4)*")/2,0)</f>
        <v/>
      </c>
    </row>
    <row r="9">
      <c r="A9" s="0" t="inlineStr">
        <is>
          <t>Min Bet</t>
        </is>
      </c>
      <c r="D9" s="0" t="n">
        <v>10000</v>
      </c>
      <c r="E9" s="0" t="n">
        <v>50000</v>
      </c>
      <c r="F9" s="0" t="n">
        <v>50000</v>
      </c>
      <c r="G9" s="0" t="n">
        <v>50000</v>
      </c>
      <c r="H9" s="0" t="n">
        <v>50000</v>
      </c>
      <c r="I9" s="0" t="n">
        <v>50000</v>
      </c>
      <c r="J9" s="0" t="n">
        <v>100000</v>
      </c>
      <c r="K9" s="2" t="n"/>
      <c r="L9" s="32" t="n">
        <v>3</v>
      </c>
      <c r="N9" s="31" t="inlineStr">
        <is>
          <t>Level5</t>
        </is>
      </c>
      <c r="O9" s="31" t="n"/>
      <c r="P9" s="31" t="n"/>
      <c r="Q9" s="31" t="n"/>
      <c r="R9" s="31" t="n"/>
      <c r="T9" s="31" t="inlineStr">
        <is>
          <t>Level6</t>
        </is>
      </c>
      <c r="U9" s="31" t="n"/>
      <c r="V9" s="31" t="n"/>
      <c r="W9" s="31" t="n"/>
      <c r="X9" s="31" t="n"/>
      <c r="Z9" s="31" t="inlineStr">
        <is>
          <t>Level7</t>
        </is>
      </c>
      <c r="AA9" s="31" t="n"/>
      <c r="AB9" s="31" t="n"/>
      <c r="AC9" s="31" t="n"/>
      <c r="AD9" s="31" t="n"/>
      <c r="AF9" s="31" t="inlineStr">
        <is>
          <t>Level8</t>
        </is>
      </c>
      <c r="AG9" s="31" t="n"/>
      <c r="AH9" s="31" t="n"/>
      <c r="AI9" s="31" t="n"/>
      <c r="AJ9" s="31" t="n"/>
      <c r="AM9" s="0" t="inlineStr">
        <is>
          <t>Line Prize Won: 390.00K (Stage : 1) - 390000</t>
        </is>
      </c>
      <c r="AO9" s="0" t="inlineStr">
        <is>
          <t>(Stage : 5)</t>
        </is>
      </c>
      <c r="AP9" s="0">
        <f>ROUND(COUNTIF(AM:AM,"*(Stage : 5)*")/2,0)</f>
        <v/>
      </c>
      <c r="AR9" s="0" t="inlineStr">
        <is>
          <t>Line Prize Won: 390.00K (Stage : 1) - 390000</t>
        </is>
      </c>
      <c r="AT9" s="0" t="inlineStr">
        <is>
          <t>(Stage : 5)</t>
        </is>
      </c>
      <c r="AU9" s="0">
        <f>ROUND(COUNTIF(AR:AR,"*(Stage : 5)*")/2,0)</f>
        <v/>
      </c>
    </row>
    <row r="10">
      <c r="A10" s="0" t="inlineStr">
        <is>
          <t>per RTP</t>
        </is>
      </c>
      <c r="D10" s="35">
        <f>D10/D8</f>
        <v/>
      </c>
      <c r="E10" s="35">
        <f>E10/E8</f>
        <v/>
      </c>
      <c r="F10" s="35">
        <f>F10/F8</f>
        <v/>
      </c>
      <c r="G10" s="35">
        <f>G10/G8</f>
        <v/>
      </c>
      <c r="H10" s="35">
        <f>H10/H8</f>
        <v/>
      </c>
      <c r="I10" s="35">
        <f>I10/I8</f>
        <v/>
      </c>
      <c r="J10" s="35">
        <f>J10/J8</f>
        <v/>
      </c>
      <c r="K10" s="2" t="n"/>
      <c r="L10" s="32" t="n">
        <v>1</v>
      </c>
      <c r="N10" s="22" t="n">
        <v>13</v>
      </c>
      <c r="O10" s="23" t="n">
        <v>13</v>
      </c>
      <c r="P10" s="13" t="n">
        <v>13</v>
      </c>
      <c r="Q10" s="13" t="n">
        <v>13</v>
      </c>
      <c r="R10" s="12" t="n">
        <v>13</v>
      </c>
      <c r="T10" s="22" t="n">
        <v>6</v>
      </c>
      <c r="U10" s="23" t="n">
        <v>6</v>
      </c>
      <c r="V10" s="13" t="n">
        <v>6</v>
      </c>
      <c r="W10" s="13" t="n">
        <v>6</v>
      </c>
      <c r="X10" s="12" t="n">
        <v>6</v>
      </c>
      <c r="Z10" s="22" t="n">
        <v>4</v>
      </c>
      <c r="AA10" s="13" t="n">
        <v>4</v>
      </c>
      <c r="AB10" s="13" t="n">
        <v>4</v>
      </c>
      <c r="AC10" s="13" t="n">
        <v>4</v>
      </c>
      <c r="AD10" s="12" t="n">
        <v>4</v>
      </c>
      <c r="AF10" s="22" t="n">
        <v>1</v>
      </c>
      <c r="AG10" s="13" t="n">
        <v>1</v>
      </c>
      <c r="AH10" s="13" t="n">
        <v>1</v>
      </c>
      <c r="AI10" s="13" t="n">
        <v>1</v>
      </c>
      <c r="AJ10" s="12" t="n">
        <v>1</v>
      </c>
      <c r="AM10" s="0" t="inlineStr">
        <is>
          <t>Line Prize Won: 420.00K (Stage : 2) - 420000</t>
        </is>
      </c>
      <c r="AO10" s="0" t="inlineStr">
        <is>
          <t>(Stage : 6)</t>
        </is>
      </c>
      <c r="AP10" s="0">
        <f>ROUND(COUNTIF(AM:AM,"*(Stage : 6)*")/2,0)</f>
        <v/>
      </c>
      <c r="AR10" s="0" t="inlineStr">
        <is>
          <t>Line Prize Won: 420.00K (Stage : 2) - 420000</t>
        </is>
      </c>
      <c r="AT10" s="0" t="inlineStr">
        <is>
          <t>(Stage : 6)</t>
        </is>
      </c>
      <c r="AU10" s="0">
        <f>ROUND(COUNTIF(AR:AR,"*(Stage : 6)*")/2,0)</f>
        <v/>
      </c>
    </row>
    <row r="11">
      <c r="A11" s="0" t="inlineStr">
        <is>
          <t>Per Spin</t>
        </is>
      </c>
      <c r="B11" s="2">
        <f>B3/(B2*B4)</f>
        <v/>
      </c>
      <c r="C11" s="2">
        <f>C3/(C2*C4)</f>
        <v/>
      </c>
      <c r="D11" s="2">
        <f>D3/(D2*D4)</f>
        <v/>
      </c>
      <c r="E11" s="2">
        <f>E3/(E2*E4)</f>
        <v/>
      </c>
      <c r="F11" s="2">
        <f>F3/(F2*F4)</f>
        <v/>
      </c>
      <c r="G11" s="2">
        <f>G3/(G2*G4)</f>
        <v/>
      </c>
      <c r="H11" s="2">
        <f>H3/(H2*H4)</f>
        <v/>
      </c>
      <c r="I11" s="2">
        <f>I3/(I2*I4)</f>
        <v/>
      </c>
      <c r="J11" s="2">
        <f>J3/(J2*J4)</f>
        <v/>
      </c>
      <c r="K11" s="8" t="n"/>
      <c r="L11" s="25">
        <f>SUM(L2:L9)</f>
        <v/>
      </c>
      <c r="N11" s="13" t="n">
        <v>13</v>
      </c>
      <c r="O11" s="12" t="n">
        <v>13</v>
      </c>
      <c r="P11" s="13" t="n">
        <v>13</v>
      </c>
      <c r="Q11" s="12" t="n">
        <v>13</v>
      </c>
      <c r="R11" s="13" t="n">
        <v>13</v>
      </c>
      <c r="T11" s="13" t="n">
        <v>6</v>
      </c>
      <c r="U11" s="12" t="n">
        <v>6</v>
      </c>
      <c r="V11" s="13" t="n">
        <v>6</v>
      </c>
      <c r="W11" s="12" t="n">
        <v>6</v>
      </c>
      <c r="X11" s="13" t="n">
        <v>6</v>
      </c>
      <c r="Z11" s="13" t="n">
        <v>4</v>
      </c>
      <c r="AA11" s="12" t="n">
        <v>4</v>
      </c>
      <c r="AB11" s="13" t="n">
        <v>4</v>
      </c>
      <c r="AC11" s="12" t="n">
        <v>4</v>
      </c>
      <c r="AD11" s="13" t="n">
        <v>4</v>
      </c>
      <c r="AF11" s="13" t="n">
        <v>1</v>
      </c>
      <c r="AG11" s="12" t="n">
        <v>1</v>
      </c>
      <c r="AH11" s="13" t="n">
        <v>1</v>
      </c>
      <c r="AI11" s="12" t="n">
        <v>1</v>
      </c>
      <c r="AJ11" s="13" t="n">
        <v>1</v>
      </c>
      <c r="AM11" s="0" t="inlineStr">
        <is>
          <t>Line Prize Won: 460.00K (Stage : 1) - 460000</t>
        </is>
      </c>
      <c r="AO11" s="0" t="inlineStr">
        <is>
          <t>(Stage : 7)</t>
        </is>
      </c>
      <c r="AP11" s="0">
        <f>ROUND(COUNTIF(AM:AM,"*(Stage : 7)*")/2,0)</f>
        <v/>
      </c>
      <c r="AR11" s="0" t="inlineStr">
        <is>
          <t>Line Prize Won: 460.00K (Stage : 1) - 460000</t>
        </is>
      </c>
      <c r="AT11" s="0" t="inlineStr">
        <is>
          <t>(Stage : 7)</t>
        </is>
      </c>
      <c r="AU11" s="0">
        <f>ROUND(COUNTIF(AR:AR,"*(Stage : 7)*")/2,0)</f>
        <v/>
      </c>
    </row>
    <row r="12">
      <c r="B12" s="2">
        <f>B3/B4</f>
        <v/>
      </c>
      <c r="C12" s="2">
        <f>C3/C4</f>
        <v/>
      </c>
      <c r="D12" s="2">
        <f>D3/D4</f>
        <v/>
      </c>
      <c r="E12" s="2">
        <f>E3/E4</f>
        <v/>
      </c>
      <c r="F12" s="2">
        <f>F3/F4</f>
        <v/>
      </c>
      <c r="G12" s="2">
        <f>G3/G4</f>
        <v/>
      </c>
      <c r="H12" s="2">
        <f>H3/H4</f>
        <v/>
      </c>
      <c r="I12" s="2">
        <f>I3/I4</f>
        <v/>
      </c>
      <c r="J12" s="2">
        <f>J3/J4</f>
        <v/>
      </c>
      <c r="N12" s="13" t="n">
        <v>13</v>
      </c>
      <c r="O12" s="13" t="n">
        <v>13</v>
      </c>
      <c r="P12" s="14" t="n"/>
      <c r="Q12" s="13" t="n">
        <v>13</v>
      </c>
      <c r="R12" s="13" t="n">
        <v>13</v>
      </c>
      <c r="T12" s="13" t="n">
        <v>6</v>
      </c>
      <c r="U12" s="13" t="n">
        <v>6</v>
      </c>
      <c r="V12" s="14" t="n"/>
      <c r="W12" s="13" t="n">
        <v>6</v>
      </c>
      <c r="X12" s="13" t="n">
        <v>6</v>
      </c>
      <c r="Z12" s="13" t="n">
        <v>4</v>
      </c>
      <c r="AA12" s="13" t="n">
        <v>4</v>
      </c>
      <c r="AB12" s="14" t="n"/>
      <c r="AC12" s="13" t="n">
        <v>4</v>
      </c>
      <c r="AD12" s="13" t="n">
        <v>4</v>
      </c>
      <c r="AF12" s="13" t="n">
        <v>1</v>
      </c>
      <c r="AG12" s="13" t="n">
        <v>1</v>
      </c>
      <c r="AH12" s="14" t="n"/>
      <c r="AI12" s="13" t="n">
        <v>1</v>
      </c>
      <c r="AJ12" s="13" t="n">
        <v>1</v>
      </c>
      <c r="AM12" s="0" t="inlineStr">
        <is>
          <t>Line Prize Won: 500.00K (Stage : 1) - 500000</t>
        </is>
      </c>
      <c r="AO12" s="0" t="inlineStr">
        <is>
          <t>(Stage : 8)</t>
        </is>
      </c>
      <c r="AP12" s="0">
        <f>ROUND(COUNTIF(AM:AM,"*(Stage : 8)*")/2,0)</f>
        <v/>
      </c>
      <c r="AR12" s="0" t="inlineStr">
        <is>
          <t>Line Prize Won: 500.00K (Stage : 1) - 500000</t>
        </is>
      </c>
      <c r="AT12" s="0" t="inlineStr">
        <is>
          <t>(Stage : 8)</t>
        </is>
      </c>
      <c r="AU12" s="0">
        <f>ROUND(COUNTIF(AR:AR,"*(Stage : 8)*")/2,0)</f>
        <v/>
      </c>
    </row>
    <row r="13" ht="18.75" customHeight="1" s="161">
      <c r="D13" s="8">
        <f>'Control Panel'!C8</f>
        <v/>
      </c>
      <c r="E13" s="8">
        <f>'Control Panel'!D8</f>
        <v/>
      </c>
      <c r="F13" s="8">
        <f>'Control Panel'!E8</f>
        <v/>
      </c>
      <c r="G13" s="8">
        <f>'Control Panel'!F8</f>
        <v/>
      </c>
      <c r="H13" s="8">
        <f>'Control Panel'!G8</f>
        <v/>
      </c>
      <c r="I13" s="8">
        <f>'Control Panel'!H8</f>
        <v/>
      </c>
      <c r="J13" s="8">
        <f>'Control Panel'!I8</f>
        <v/>
      </c>
      <c r="N13" s="13" t="n">
        <v>13</v>
      </c>
      <c r="O13" s="12" t="n">
        <v>13</v>
      </c>
      <c r="P13" s="13" t="n">
        <v>13</v>
      </c>
      <c r="Q13" s="12" t="n">
        <v>13</v>
      </c>
      <c r="R13" s="13" t="n">
        <v>13</v>
      </c>
      <c r="T13" s="13" t="n">
        <v>6</v>
      </c>
      <c r="U13" s="12" t="n">
        <v>6</v>
      </c>
      <c r="V13" s="13" t="n">
        <v>6</v>
      </c>
      <c r="W13" s="12" t="n">
        <v>6</v>
      </c>
      <c r="X13" s="13" t="n">
        <v>6</v>
      </c>
      <c r="Z13" s="13" t="n">
        <v>4</v>
      </c>
      <c r="AA13" s="12" t="n">
        <v>4</v>
      </c>
      <c r="AB13" s="13" t="n">
        <v>4</v>
      </c>
      <c r="AC13" s="12" t="n">
        <v>4</v>
      </c>
      <c r="AD13" s="13" t="n">
        <v>4</v>
      </c>
      <c r="AF13" s="13" t="n">
        <v>1</v>
      </c>
      <c r="AG13" s="12" t="n">
        <v>1</v>
      </c>
      <c r="AH13" s="13" t="n">
        <v>1</v>
      </c>
      <c r="AI13" s="12" t="n">
        <v>1</v>
      </c>
      <c r="AJ13" s="13" t="n">
        <v>1</v>
      </c>
      <c r="AM13" s="0" t="inlineStr">
        <is>
          <t>New Item Acquired: 100.00K (1, 10)</t>
        </is>
      </c>
      <c r="AR13" s="0" t="inlineStr">
        <is>
          <t>New Item Acquired: 100.00K (1, 10)</t>
        </is>
      </c>
    </row>
    <row r="14">
      <c r="D14" s="2" t="n"/>
      <c r="E14" s="0">
        <f>E2/D2</f>
        <v/>
      </c>
      <c r="F14" s="0">
        <f>F2/D2</f>
        <v/>
      </c>
      <c r="G14" s="2">
        <f>G2/D2</f>
        <v/>
      </c>
      <c r="H14" s="7">
        <f>H2/D2</f>
        <v/>
      </c>
      <c r="I14" s="0">
        <f>I2/D2</f>
        <v/>
      </c>
      <c r="J14" s="0">
        <f>J2/D2</f>
        <v/>
      </c>
      <c r="K14" s="25" t="n"/>
      <c r="L14" s="25" t="n"/>
      <c r="N14" s="12" t="n">
        <v>13</v>
      </c>
      <c r="O14" s="13" t="n">
        <v>13</v>
      </c>
      <c r="P14" s="13" t="n">
        <v>13</v>
      </c>
      <c r="Q14" s="13" t="n">
        <v>13</v>
      </c>
      <c r="R14" s="12" t="n">
        <v>13</v>
      </c>
      <c r="T14" s="12" t="n">
        <v>6</v>
      </c>
      <c r="U14" s="13" t="n">
        <v>6</v>
      </c>
      <c r="V14" s="13" t="n">
        <v>6</v>
      </c>
      <c r="W14" s="13" t="n">
        <v>6</v>
      </c>
      <c r="X14" s="12" t="n">
        <v>6</v>
      </c>
      <c r="Z14" s="12" t="n">
        <v>4</v>
      </c>
      <c r="AA14" s="13" t="n">
        <v>4</v>
      </c>
      <c r="AB14" s="13" t="n">
        <v>4</v>
      </c>
      <c r="AC14" s="13" t="n">
        <v>4</v>
      </c>
      <c r="AD14" s="12" t="n">
        <v>4</v>
      </c>
      <c r="AF14" s="12" t="n">
        <v>1</v>
      </c>
      <c r="AG14" s="13" t="n">
        <v>1</v>
      </c>
      <c r="AH14" s="13" t="n">
        <v>1</v>
      </c>
      <c r="AI14" s="13" t="n">
        <v>1</v>
      </c>
      <c r="AJ14" s="12" t="n">
        <v>1</v>
      </c>
      <c r="AM14" s="0" t="inlineStr">
        <is>
          <t>New Item Acquired: 100.00K (1, 11)</t>
        </is>
      </c>
      <c r="AR14" s="0" t="inlineStr">
        <is>
          <t>New Item Acquired: 100.00K (1, 11)</t>
        </is>
      </c>
    </row>
    <row r="15">
      <c r="E15" s="0">
        <f>E7/D7</f>
        <v/>
      </c>
      <c r="F15" s="0">
        <f>F7/D7</f>
        <v/>
      </c>
      <c r="G15" s="0">
        <f>G7/D7</f>
        <v/>
      </c>
      <c r="H15" s="0">
        <f>H7/D7</f>
        <v/>
      </c>
      <c r="I15" s="0">
        <f>I7/D7</f>
        <v/>
      </c>
      <c r="J15" s="0">
        <f>J7/D7</f>
        <v/>
      </c>
      <c r="AM15" s="0" t="inlineStr">
        <is>
          <t>New Item Acquired: 100.00K (1, 14)</t>
        </is>
      </c>
      <c r="AR15" s="0" t="inlineStr">
        <is>
          <t>New Item Acquired: 100.00K (1, 14)</t>
        </is>
      </c>
    </row>
    <row r="16">
      <c r="E16" s="25">
        <f>E14/E13</f>
        <v/>
      </c>
      <c r="F16" s="25">
        <f>F14/F13</f>
        <v/>
      </c>
      <c r="G16" s="25">
        <f>G14/G13</f>
        <v/>
      </c>
      <c r="H16" s="25">
        <f>H14/H13</f>
        <v/>
      </c>
      <c r="I16" s="25">
        <f>I14/I13</f>
        <v/>
      </c>
      <c r="J16" s="25">
        <f>J14/J13</f>
        <v/>
      </c>
      <c r="L16" s="25" t="n"/>
      <c r="AM16" s="0" t="inlineStr">
        <is>
          <t>New Item Acquired: 100.00K (1, 15)</t>
        </is>
      </c>
      <c r="AR16" s="0" t="inlineStr">
        <is>
          <t>New Item Acquired: 100.00K (1, 15)</t>
        </is>
      </c>
    </row>
    <row r="17">
      <c r="G17" s="2" t="n"/>
      <c r="L17" s="25" t="n"/>
      <c r="AM17" s="0" t="inlineStr">
        <is>
          <t>New Item Acquired: 100.00K (1, 15)</t>
        </is>
      </c>
      <c r="AR17" s="0" t="inlineStr">
        <is>
          <t>New Item Acquired: 100.00K (1, 15)</t>
        </is>
      </c>
    </row>
    <row r="18">
      <c r="F18" s="0" t="n">
        <v>16</v>
      </c>
      <c r="G18" s="2" t="n"/>
      <c r="L18" s="25" t="n"/>
      <c r="AM18" s="0" t="inlineStr">
        <is>
          <t>New Item Acquired: 100.00K (1, 17)</t>
        </is>
      </c>
      <c r="AR18" s="0" t="inlineStr">
        <is>
          <t>New Item Acquired: 100.00K (1, 17)</t>
        </is>
      </c>
    </row>
    <row r="19">
      <c r="F19" s="2">
        <f>D11*D12+E11*E12+F11*F12+G11*G12+H11*H12+I11*I12+J11*J12</f>
        <v/>
      </c>
      <c r="G19" s="2" t="n"/>
      <c r="L19" s="25" t="n"/>
      <c r="AM19" s="0" t="inlineStr">
        <is>
          <t>New Item Acquired: 100.00K (1, 17)</t>
        </is>
      </c>
      <c r="AR19" s="0" t="inlineStr">
        <is>
          <t>New Item Acquired: 100.00K (1, 17)</t>
        </is>
      </c>
    </row>
    <row r="20">
      <c r="F20" s="2">
        <f>F18/F17</f>
        <v/>
      </c>
      <c r="L20" s="25" t="n"/>
      <c r="AM20" s="0" t="inlineStr">
        <is>
          <t>New Item Acquired: 100.00K (1, 19)</t>
        </is>
      </c>
      <c r="AR20" s="0" t="inlineStr">
        <is>
          <t>New Item Acquired: 100.00K (1, 19)</t>
        </is>
      </c>
    </row>
    <row r="21" ht="18.75" customHeight="1" s="161">
      <c r="L21" s="25" t="n"/>
      <c r="AM21" s="0" t="inlineStr">
        <is>
          <t>New Item Acquired: 100.00K (1, 2)</t>
        </is>
      </c>
      <c r="AR21" s="0" t="inlineStr">
        <is>
          <t>New Item Acquired: 100.00K (1, 2)</t>
        </is>
      </c>
    </row>
    <row r="22">
      <c r="D22" s="9" t="n"/>
      <c r="L22" s="25" t="n"/>
      <c r="AM22" s="0" t="inlineStr">
        <is>
          <t>New Item Acquired: 100.00K (1, 20)</t>
        </is>
      </c>
      <c r="AR22" s="0" t="inlineStr">
        <is>
          <t>New Item Acquired: 100.00K (1, 20)</t>
        </is>
      </c>
    </row>
    <row r="23" ht="18.75" customHeight="1" s="161">
      <c r="L23" s="25" t="n"/>
      <c r="M23" s="2" t="n"/>
      <c r="AM23" s="0" t="inlineStr">
        <is>
          <t>New Item Acquired: 100.00K (1, 22)</t>
        </is>
      </c>
      <c r="AR23" s="0" t="inlineStr">
        <is>
          <t>New Item Acquired: 100.00K (1, 22)</t>
        </is>
      </c>
    </row>
    <row r="24">
      <c r="D24" s="2" t="n"/>
      <c r="E24" s="7" t="n"/>
      <c r="G24" s="2" t="n"/>
      <c r="L24" s="25" t="n"/>
      <c r="AM24" s="0" t="inlineStr">
        <is>
          <t>New Item Acquired: 100.00K (1, 22)</t>
        </is>
      </c>
      <c r="AR24" s="0" t="inlineStr">
        <is>
          <t>New Item Acquired: 100.00K (1, 22)</t>
        </is>
      </c>
    </row>
    <row r="25">
      <c r="L25" s="25" t="n"/>
      <c r="AM25" s="0" t="inlineStr">
        <is>
          <t>New Item Acquired: 100.00K (1, 23)</t>
        </is>
      </c>
      <c r="AR25" s="0" t="inlineStr">
        <is>
          <t>New Item Acquired: 100.00K (1, 23)</t>
        </is>
      </c>
    </row>
    <row r="26">
      <c r="L26" s="25" t="n"/>
      <c r="AM26" s="0" t="inlineStr">
        <is>
          <t>New Item Acquired: 100.00K (1, 25)</t>
        </is>
      </c>
      <c r="AR26" s="0" t="inlineStr">
        <is>
          <t>New Item Acquired: 100.00K (1, 25)</t>
        </is>
      </c>
    </row>
    <row r="27">
      <c r="H27" s="24" t="n"/>
      <c r="I27" s="24" t="n"/>
      <c r="AM27" s="0" t="inlineStr">
        <is>
          <t>New Item Acquired: 100.00K (1, 25)</t>
        </is>
      </c>
      <c r="AR27" s="0" t="inlineStr">
        <is>
          <t>New Item Acquired: 100.00K (1, 25)</t>
        </is>
      </c>
    </row>
    <row r="28">
      <c r="H28" s="2" t="n"/>
      <c r="I28" s="2" t="n"/>
      <c r="AM28" s="0" t="inlineStr">
        <is>
          <t>New Item Acquired: 100.00K (1, 3)</t>
        </is>
      </c>
      <c r="AR28" s="0" t="inlineStr">
        <is>
          <t>New Item Acquired: 100.00K (1, 3)</t>
        </is>
      </c>
    </row>
    <row r="29">
      <c r="AM29" s="0" t="inlineStr">
        <is>
          <t>New Item Acquired: 100.00K (1, 5)</t>
        </is>
      </c>
      <c r="AR29" s="0" t="inlineStr">
        <is>
          <t>New Item Acquired: 100.00K (1, 5)</t>
        </is>
      </c>
    </row>
    <row r="30">
      <c r="AM30" s="0" t="inlineStr">
        <is>
          <t>New Item Acquired: 100.00K (1, 6)</t>
        </is>
      </c>
      <c r="AR30" s="0" t="inlineStr">
        <is>
          <t>New Item Acquired: 100.00K (1, 6)</t>
        </is>
      </c>
    </row>
    <row r="31">
      <c r="AM31" s="0" t="inlineStr">
        <is>
          <t>New Item Acquired: 100.00K (1, 7)</t>
        </is>
      </c>
      <c r="AR31" s="0" t="inlineStr">
        <is>
          <t>New Item Acquired: 100.00K (1, 7)</t>
        </is>
      </c>
    </row>
    <row r="32">
      <c r="AM32" s="0" t="inlineStr">
        <is>
          <t>New Item Acquired: 100.00K (1, 7)</t>
        </is>
      </c>
      <c r="AR32" s="0" t="inlineStr">
        <is>
          <t>New Item Acquired: 100.00K (1, 7)</t>
        </is>
      </c>
    </row>
    <row r="33">
      <c r="AM33" s="0" t="inlineStr">
        <is>
          <t>New Item Acquired: 100.00K (2, 1)</t>
        </is>
      </c>
      <c r="AR33" s="0" t="inlineStr">
        <is>
          <t>New Item Acquired: 100.00K (2, 1)</t>
        </is>
      </c>
    </row>
    <row r="34">
      <c r="AM34" s="0" t="inlineStr">
        <is>
          <t>New Item Acquired: 100.00K (2, 1)</t>
        </is>
      </c>
      <c r="AR34" s="0" t="inlineStr">
        <is>
          <t>New Item Acquired: 100.00K (2, 1)</t>
        </is>
      </c>
    </row>
    <row r="35">
      <c r="AM35" s="0" t="inlineStr">
        <is>
          <t>New Item Acquired: 100.00K (2, 15)</t>
        </is>
      </c>
      <c r="AR35" s="0" t="inlineStr">
        <is>
          <t>New Item Acquired: 100.00K (2, 15)</t>
        </is>
      </c>
    </row>
    <row r="36">
      <c r="AM36" s="0" t="inlineStr">
        <is>
          <t>New Item Acquired: 100.00K (2, 18)</t>
        </is>
      </c>
      <c r="AR36" s="0" t="inlineStr">
        <is>
          <t>New Item Acquired: 100.00K (2, 18)</t>
        </is>
      </c>
    </row>
    <row r="37">
      <c r="AM37" s="0" t="inlineStr">
        <is>
          <t>New Item Acquired: 100.00K (2, 19)</t>
        </is>
      </c>
      <c r="AR37" s="0" t="inlineStr">
        <is>
          <t>New Item Acquired: 100.00K (2, 19)</t>
        </is>
      </c>
    </row>
    <row r="38">
      <c r="AM38" s="0" t="inlineStr">
        <is>
          <t>New Item Acquired: 100.00K (2, 2)</t>
        </is>
      </c>
      <c r="AR38" s="0" t="inlineStr">
        <is>
          <t>New Item Acquired: 100.00K (2, 2)</t>
        </is>
      </c>
    </row>
    <row r="39">
      <c r="AM39" s="0" t="inlineStr">
        <is>
          <t>New Item Acquired: 100.00K (2, 20)</t>
        </is>
      </c>
      <c r="AR39" s="0" t="inlineStr">
        <is>
          <t>New Item Acquired: 100.00K (2, 20)</t>
        </is>
      </c>
    </row>
    <row r="40">
      <c r="AM40" s="0" t="inlineStr">
        <is>
          <t>New Item Acquired: 100.00K (2, 22)</t>
        </is>
      </c>
      <c r="AR40" s="0" t="inlineStr">
        <is>
          <t>New Item Acquired: 100.00K (2, 22)</t>
        </is>
      </c>
    </row>
    <row r="41">
      <c r="AM41" s="0" t="inlineStr">
        <is>
          <t>New Item Acquired: 100.00K (2, 24)</t>
        </is>
      </c>
      <c r="AR41" s="0" t="inlineStr">
        <is>
          <t>New Item Acquired: 100.00K (2, 24)</t>
        </is>
      </c>
    </row>
    <row r="42">
      <c r="AM42" s="0" t="inlineStr">
        <is>
          <t>New Item Acquired: 100.00K (2, 3)</t>
        </is>
      </c>
      <c r="AR42" s="0" t="inlineStr">
        <is>
          <t>New Item Acquired: 100.00K (2, 3)</t>
        </is>
      </c>
    </row>
    <row r="43">
      <c r="AM43" s="0" t="inlineStr">
        <is>
          <t>New Item Acquired: 100.00K (2, 9)</t>
        </is>
      </c>
      <c r="AR43" s="0" t="inlineStr">
        <is>
          <t>New Item Acquired: 100.00K (2, 9)</t>
        </is>
      </c>
    </row>
    <row r="44">
      <c r="AM44" s="0" t="inlineStr">
        <is>
          <t>New Item Acquired: 120.00K (4, 11)</t>
        </is>
      </c>
      <c r="AR44" s="0" t="inlineStr">
        <is>
          <t>New Item Acquired: 120.00K (4, 11)</t>
        </is>
      </c>
    </row>
    <row r="45">
      <c r="AM45" s="0" t="inlineStr">
        <is>
          <t>New Item Acquired: 120.00K (4, 12)</t>
        </is>
      </c>
      <c r="AR45" s="0" t="inlineStr">
        <is>
          <t>New Item Acquired: 120.00K (4, 12)</t>
        </is>
      </c>
    </row>
    <row r="46">
      <c r="AM46" s="0" t="inlineStr">
        <is>
          <t>New Item Acquired: 120.00K (4, 14)</t>
        </is>
      </c>
      <c r="AR46" s="0" t="inlineStr">
        <is>
          <t>New Item Acquired: 120.00K (4, 14)</t>
        </is>
      </c>
    </row>
    <row r="47">
      <c r="AM47" s="0" t="inlineStr">
        <is>
          <t>New Item Acquired: 120.00K (4, 14)</t>
        </is>
      </c>
      <c r="AR47" s="0" t="inlineStr">
        <is>
          <t>New Item Acquired: 120.00K (4, 14)</t>
        </is>
      </c>
    </row>
    <row r="48">
      <c r="AM48" s="0" t="inlineStr">
        <is>
          <t>New Item Acquired: 120.00K (4, 16)</t>
        </is>
      </c>
      <c r="AR48" s="0" t="inlineStr">
        <is>
          <t>New Item Acquired: 120.00K (4, 16)</t>
        </is>
      </c>
    </row>
    <row r="49">
      <c r="AM49" s="0" t="inlineStr">
        <is>
          <t>New Item Acquired: 120.00K (4, 18)</t>
        </is>
      </c>
      <c r="AR49" s="0" t="inlineStr">
        <is>
          <t>New Item Acquired: 120.00K (4, 18)</t>
        </is>
      </c>
    </row>
    <row r="50">
      <c r="AM50" s="0" t="inlineStr">
        <is>
          <t>New Item Acquired: 120.00K (4, 21)</t>
        </is>
      </c>
      <c r="AR50" s="0" t="inlineStr">
        <is>
          <t>New Item Acquired: 120.00K (4, 21)</t>
        </is>
      </c>
    </row>
    <row r="51">
      <c r="AM51" s="0" t="inlineStr">
        <is>
          <t>New Item Acquired: 120.00K (4, 24)</t>
        </is>
      </c>
      <c r="AR51" s="0" t="inlineStr">
        <is>
          <t>New Item Acquired: 120.00K (4, 24)</t>
        </is>
      </c>
    </row>
    <row r="52">
      <c r="AM52" s="0" t="inlineStr">
        <is>
          <t>New Item Acquired: 120.00K (4, 3)</t>
        </is>
      </c>
      <c r="AR52" s="0" t="inlineStr">
        <is>
          <t>New Item Acquired: 120.00K (4, 3)</t>
        </is>
      </c>
    </row>
    <row r="53">
      <c r="AM53" s="0" t="inlineStr">
        <is>
          <t>New Item Acquired: 120.00K (4, 9)</t>
        </is>
      </c>
      <c r="AR53" s="0" t="inlineStr">
        <is>
          <t>New Item Acquired: 120.00K (4, 9)</t>
        </is>
      </c>
    </row>
    <row r="54">
      <c r="AM54" s="0" t="inlineStr">
        <is>
          <t>New Item Acquired: 150.00K (3, 11)</t>
        </is>
      </c>
      <c r="AR54" s="0" t="inlineStr">
        <is>
          <t>New Item Acquired: 150.00K (3, 11)</t>
        </is>
      </c>
    </row>
    <row r="55">
      <c r="AM55" s="0" t="inlineStr">
        <is>
          <t>New Item Acquired: 150.00K (3, 14)</t>
        </is>
      </c>
      <c r="AR55" s="0" t="inlineStr">
        <is>
          <t>New Item Acquired: 150.00K (3, 14)</t>
        </is>
      </c>
    </row>
    <row r="56">
      <c r="AM56" s="0" t="inlineStr">
        <is>
          <t>New Item Acquired: 150.00K (3, 14)</t>
        </is>
      </c>
      <c r="AR56" s="0" t="inlineStr">
        <is>
          <t>New Item Acquired: 150.00K (3, 14)</t>
        </is>
      </c>
    </row>
    <row r="57">
      <c r="AM57" s="0" t="inlineStr">
        <is>
          <t>New Item Acquired: 150.00K (3, 19)</t>
        </is>
      </c>
      <c r="AR57" s="0" t="inlineStr">
        <is>
          <t>New Item Acquired: 150.00K (3, 19)</t>
        </is>
      </c>
    </row>
    <row r="58">
      <c r="AM58" s="0" t="inlineStr">
        <is>
          <t>New Item Acquired: 150.00K (3, 20)</t>
        </is>
      </c>
      <c r="AR58" s="0" t="inlineStr">
        <is>
          <t>New Item Acquired: 150.00K (3, 20)</t>
        </is>
      </c>
    </row>
    <row r="59">
      <c r="AM59" s="0" t="inlineStr">
        <is>
          <t>New Item Acquired: 150.00K (3, 21)</t>
        </is>
      </c>
      <c r="AR59" s="0" t="inlineStr">
        <is>
          <t>New Item Acquired: 150.00K (3, 21)</t>
        </is>
      </c>
    </row>
    <row r="60">
      <c r="AM60" s="0" t="inlineStr">
        <is>
          <t>New Item Acquired: 150.00K (3, 23)</t>
        </is>
      </c>
      <c r="AR60" s="0" t="inlineStr">
        <is>
          <t>New Item Acquired: 150.00K (3, 23)</t>
        </is>
      </c>
    </row>
    <row r="61">
      <c r="AM61" s="0" t="inlineStr">
        <is>
          <t>New Item Acquired: 150.00K (3, 24)</t>
        </is>
      </c>
      <c r="AR61" s="0" t="inlineStr">
        <is>
          <t>New Item Acquired: 150.00K (3, 24)</t>
        </is>
      </c>
    </row>
    <row r="62">
      <c r="AM62" s="0" t="inlineStr">
        <is>
          <t>New Item Acquired: 150.00K (3, 8)</t>
        </is>
      </c>
      <c r="AR62" s="0" t="inlineStr">
        <is>
          <t>New Item Acquired: 150.00K (3, 8)</t>
        </is>
      </c>
    </row>
    <row r="63">
      <c r="AM63" s="0" t="inlineStr">
        <is>
          <t>New Item Acquired: 150.00K (3, 9)</t>
        </is>
      </c>
      <c r="AR63" s="0" t="inlineStr">
        <is>
          <t>New Item Acquired: 150.00K (3, 8)</t>
        </is>
      </c>
    </row>
    <row r="64">
      <c r="AM64" s="0" t="inlineStr">
        <is>
          <t>New Item Acquired: 150.00K (4, 12)</t>
        </is>
      </c>
      <c r="AR64" s="0" t="inlineStr">
        <is>
          <t>New Item Acquired: 150.00K (3, 9)</t>
        </is>
      </c>
    </row>
    <row r="65">
      <c r="AM65" s="0" t="inlineStr">
        <is>
          <t>New Item Acquired: 150.00K (5, 12)</t>
        </is>
      </c>
      <c r="AR65" s="0" t="inlineStr">
        <is>
          <t>New Item Acquired: 150.00K (4, 12)</t>
        </is>
      </c>
    </row>
    <row r="66">
      <c r="AM66" s="0" t="inlineStr">
        <is>
          <t>New Item Acquired: 180.00K (6, 2)</t>
        </is>
      </c>
      <c r="AR66" s="0" t="inlineStr">
        <is>
          <t>New Item Acquired: 150.00K (5, 12)</t>
        </is>
      </c>
    </row>
    <row r="67">
      <c r="AM67" s="0" t="inlineStr">
        <is>
          <t>New Item Acquired: 200.00K (2, 1)</t>
        </is>
      </c>
      <c r="AR67" s="0" t="inlineStr">
        <is>
          <t>New Item Acquired: 180.00K (6, 2)</t>
        </is>
      </c>
    </row>
    <row r="68">
      <c r="AM68" s="0" t="inlineStr">
        <is>
          <t>New Item Acquired: 200.00K (2, 12)</t>
        </is>
      </c>
      <c r="AR68" s="0" t="inlineStr">
        <is>
          <t>New Item Acquired: 200.00K (2, 1)</t>
        </is>
      </c>
    </row>
    <row r="69">
      <c r="AM69" s="0" t="inlineStr">
        <is>
          <t>New Item Acquired: 200.00K (2, 15)</t>
        </is>
      </c>
      <c r="AR69" s="0" t="inlineStr">
        <is>
          <t>New Item Acquired: 200.00K (2, 12)</t>
        </is>
      </c>
    </row>
    <row r="70">
      <c r="AM70" s="0" t="inlineStr">
        <is>
          <t>New Item Acquired: 200.00K (2, 2)</t>
        </is>
      </c>
      <c r="AR70" s="0" t="inlineStr">
        <is>
          <t>New Item Acquired: 200.00K (2, 15)</t>
        </is>
      </c>
    </row>
    <row r="71">
      <c r="AM71" s="0" t="inlineStr">
        <is>
          <t>New Item Acquired: 200.00K (2, 22)</t>
        </is>
      </c>
      <c r="AR71" s="0" t="inlineStr">
        <is>
          <t>New Item Acquired: 200.00K (2, 2)</t>
        </is>
      </c>
    </row>
    <row r="72">
      <c r="AM72" s="0" t="inlineStr">
        <is>
          <t>New Item Acquired: 200.00K (2, 25)</t>
        </is>
      </c>
      <c r="AR72" s="0" t="inlineStr">
        <is>
          <t>New Item Acquired: 200.00K (2, 22)</t>
        </is>
      </c>
    </row>
    <row r="73">
      <c r="AM73" s="0" t="inlineStr">
        <is>
          <t>New Item Acquired: 200.00K (2, 4)</t>
        </is>
      </c>
      <c r="AR73" s="0" t="inlineStr">
        <is>
          <t>New Item Acquired: 200.00K (2, 25)</t>
        </is>
      </c>
    </row>
    <row r="74">
      <c r="AM74" s="0" t="inlineStr">
        <is>
          <t>New Item Acquired: 200.00K (2, 4)</t>
        </is>
      </c>
      <c r="AR74" s="0" t="inlineStr">
        <is>
          <t>New Item Acquired: 200.00K (2, 4)</t>
        </is>
      </c>
    </row>
    <row r="75">
      <c r="AM75" s="0" t="inlineStr">
        <is>
          <t>New Item Acquired: 200.00K (2, 9)</t>
        </is>
      </c>
      <c r="AR75" s="0" t="inlineStr">
        <is>
          <t>New Item Acquired: 200.00K (2, 4)</t>
        </is>
      </c>
    </row>
    <row r="76">
      <c r="AM76" s="0" t="inlineStr">
        <is>
          <t>New Item Acquired: 210.00K (7, 19)</t>
        </is>
      </c>
      <c r="AR76" s="0" t="inlineStr">
        <is>
          <t>New Item Acquired: 200.00K (2, 9)</t>
        </is>
      </c>
    </row>
    <row r="77">
      <c r="AM77" s="0" t="inlineStr">
        <is>
          <t>New Item Acquired: 250.00K (5, 1)</t>
        </is>
      </c>
      <c r="AR77" s="0" t="inlineStr">
        <is>
          <t>New Item Acquired: 210.00K (7, 19)</t>
        </is>
      </c>
    </row>
    <row r="78">
      <c r="AM78" s="0" t="inlineStr">
        <is>
          <t>New Item Acquired: 250.00K (5, 3)</t>
        </is>
      </c>
      <c r="AR78" s="0" t="inlineStr">
        <is>
          <t>New Item Acquired: 250.00K (5, 1)</t>
        </is>
      </c>
    </row>
    <row r="79">
      <c r="AM79" s="0" t="inlineStr">
        <is>
          <t>New Item Acquired: 250.00K (5, 5)</t>
        </is>
      </c>
      <c r="AR79" s="0" t="inlineStr">
        <is>
          <t>New Item Acquired: 250.00K (5, 3)</t>
        </is>
      </c>
    </row>
    <row r="80">
      <c r="AM80" s="0" t="inlineStr">
        <is>
          <t>New Item Acquired: 30.00K (1, 1)</t>
        </is>
      </c>
      <c r="AR80" s="0" t="inlineStr">
        <is>
          <t>New Item Acquired: 250.00K (5, 5)</t>
        </is>
      </c>
    </row>
    <row r="81">
      <c r="AM81" s="0" t="inlineStr">
        <is>
          <t>New Item Acquired: 30.00K (1, 1)</t>
        </is>
      </c>
      <c r="AR81" s="0" t="inlineStr">
        <is>
          <t>New Item Acquired: 30.00K (1, 1)</t>
        </is>
      </c>
    </row>
    <row r="82">
      <c r="AM82" s="0" t="inlineStr">
        <is>
          <t>New Item Acquired: 30.00K (1, 1)</t>
        </is>
      </c>
      <c r="AR82" s="0" t="inlineStr">
        <is>
          <t>New Item Acquired: 30.00K (1, 1)</t>
        </is>
      </c>
    </row>
    <row r="83">
      <c r="AM83" s="0" t="inlineStr">
        <is>
          <t>New Item Acquired: 30.00K (1, 10)</t>
        </is>
      </c>
      <c r="AR83" s="0" t="inlineStr">
        <is>
          <t>New Item Acquired: 30.00K (1, 1)</t>
        </is>
      </c>
    </row>
    <row r="84">
      <c r="AM84" s="0" t="inlineStr">
        <is>
          <t>New Item Acquired: 30.00K (1, 10)</t>
        </is>
      </c>
      <c r="AR84" s="0" t="inlineStr">
        <is>
          <t>New Item Acquired: 30.00K (1, 10)</t>
        </is>
      </c>
    </row>
    <row r="85">
      <c r="AM85" s="0" t="inlineStr">
        <is>
          <t>New Item Acquired: 30.00K (1, 10)</t>
        </is>
      </c>
      <c r="AR85" s="0" t="inlineStr">
        <is>
          <t>New Item Acquired: 30.00K (1, 10)</t>
        </is>
      </c>
    </row>
    <row r="86">
      <c r="AM86" s="0" t="inlineStr">
        <is>
          <t>New Item Acquired: 30.00K (1, 11)</t>
        </is>
      </c>
      <c r="AR86" s="0" t="inlineStr">
        <is>
          <t>New Item Acquired: 30.00K (1, 10)</t>
        </is>
      </c>
    </row>
    <row r="87">
      <c r="AM87" s="0" t="inlineStr">
        <is>
          <t>New Item Acquired: 30.00K (1, 11)</t>
        </is>
      </c>
      <c r="AR87" s="0" t="inlineStr">
        <is>
          <t>New Item Acquired: 30.00K (1, 11)</t>
        </is>
      </c>
    </row>
    <row r="88">
      <c r="AM88" s="0" t="inlineStr">
        <is>
          <t>New Item Acquired: 30.00K (1, 12)</t>
        </is>
      </c>
      <c r="AR88" s="0" t="inlineStr">
        <is>
          <t>New Item Acquired: 30.00K (1, 11)</t>
        </is>
      </c>
    </row>
    <row r="89">
      <c r="AM89" s="0" t="inlineStr">
        <is>
          <t>New Item Acquired: 30.00K (1, 12)</t>
        </is>
      </c>
      <c r="AR89" s="0" t="inlineStr">
        <is>
          <t>New Item Acquired: 30.00K (1, 12)</t>
        </is>
      </c>
    </row>
    <row r="90">
      <c r="AM90" s="0" t="inlineStr">
        <is>
          <t>New Item Acquired: 30.00K (1, 14)</t>
        </is>
      </c>
      <c r="AR90" s="0" t="inlineStr">
        <is>
          <t>New Item Acquired: 30.00K (1, 12)</t>
        </is>
      </c>
    </row>
    <row r="91">
      <c r="AM91" s="0" t="inlineStr">
        <is>
          <t>New Item Acquired: 30.00K (1, 15)</t>
        </is>
      </c>
      <c r="AR91" s="0" t="inlineStr">
        <is>
          <t>New Item Acquired: 30.00K (1, 14)</t>
        </is>
      </c>
    </row>
    <row r="92">
      <c r="AM92" s="0" t="inlineStr">
        <is>
          <t>New Item Acquired: 30.00K (1, 15)</t>
        </is>
      </c>
      <c r="AR92" s="0" t="inlineStr">
        <is>
          <t>New Item Acquired: 30.00K (1, 15)</t>
        </is>
      </c>
    </row>
    <row r="93">
      <c r="AM93" s="0" t="inlineStr">
        <is>
          <t>New Item Acquired: 30.00K (1, 16)</t>
        </is>
      </c>
      <c r="AR93" s="0" t="inlineStr">
        <is>
          <t>New Item Acquired: 30.00K (1, 15)</t>
        </is>
      </c>
    </row>
    <row r="94">
      <c r="AM94" s="0" t="inlineStr">
        <is>
          <t>New Item Acquired: 30.00K (1, 18)</t>
        </is>
      </c>
      <c r="AR94" s="0" t="inlineStr">
        <is>
          <t>New Item Acquired: 30.00K (1, 16)</t>
        </is>
      </c>
    </row>
    <row r="95">
      <c r="AM95" s="0" t="inlineStr">
        <is>
          <t>New Item Acquired: 30.00K (1, 19)</t>
        </is>
      </c>
      <c r="AR95" s="0" t="inlineStr">
        <is>
          <t>New Item Acquired: 30.00K (1, 18)</t>
        </is>
      </c>
    </row>
    <row r="96">
      <c r="AM96" s="0" t="inlineStr">
        <is>
          <t>New Item Acquired: 30.00K (1, 2)</t>
        </is>
      </c>
      <c r="AR96" s="0" t="inlineStr">
        <is>
          <t>New Item Acquired: 30.00K (1, 19)</t>
        </is>
      </c>
    </row>
    <row r="97">
      <c r="AM97" s="0" t="inlineStr">
        <is>
          <t>New Item Acquired: 30.00K (1, 20)</t>
        </is>
      </c>
      <c r="AR97" s="0" t="inlineStr">
        <is>
          <t>New Item Acquired: 30.00K (1, 2)</t>
        </is>
      </c>
    </row>
    <row r="98">
      <c r="AM98" s="0" t="inlineStr">
        <is>
          <t>New Item Acquired: 30.00K (1, 20)</t>
        </is>
      </c>
      <c r="AR98" s="0" t="inlineStr">
        <is>
          <t>New Item Acquired: 30.00K (1, 20)</t>
        </is>
      </c>
    </row>
    <row r="99">
      <c r="AM99" s="0" t="inlineStr">
        <is>
          <t>New Item Acquired: 30.00K (1, 20)</t>
        </is>
      </c>
      <c r="AR99" s="0" t="inlineStr">
        <is>
          <t>New Item Acquired: 30.00K (1, 20)</t>
        </is>
      </c>
    </row>
    <row r="100">
      <c r="AM100" s="0" t="inlineStr">
        <is>
          <t>New Item Acquired: 30.00K (1, 21)</t>
        </is>
      </c>
      <c r="AR100" s="0" t="inlineStr">
        <is>
          <t>New Item Acquired: 30.00K (1, 20)</t>
        </is>
      </c>
    </row>
    <row r="101">
      <c r="AM101" s="0" t="inlineStr">
        <is>
          <t>New Item Acquired: 30.00K (1, 21)</t>
        </is>
      </c>
      <c r="AR101" s="0" t="inlineStr">
        <is>
          <t>New Item Acquired: 30.00K (1, 21)</t>
        </is>
      </c>
    </row>
    <row r="102">
      <c r="AM102" s="0" t="inlineStr">
        <is>
          <t>New Item Acquired: 30.00K (1, 21)</t>
        </is>
      </c>
      <c r="AR102" s="0" t="inlineStr">
        <is>
          <t>New Item Acquired: 30.00K (1, 21)</t>
        </is>
      </c>
    </row>
    <row r="103">
      <c r="AM103" s="0" t="inlineStr">
        <is>
          <t>New Item Acquired: 30.00K (1, 23)</t>
        </is>
      </c>
      <c r="AR103" s="0" t="inlineStr">
        <is>
          <t>New Item Acquired: 30.00K (1, 21)</t>
        </is>
      </c>
    </row>
    <row r="104">
      <c r="AM104" s="0" t="inlineStr">
        <is>
          <t>New Item Acquired: 30.00K (1, 24)</t>
        </is>
      </c>
      <c r="AR104" s="0" t="inlineStr">
        <is>
          <t>New Item Acquired: 30.00K (1, 23)</t>
        </is>
      </c>
    </row>
    <row r="105">
      <c r="AM105" s="0" t="inlineStr">
        <is>
          <t>New Item Acquired: 30.00K (1, 25)</t>
        </is>
      </c>
      <c r="AR105" s="0" t="inlineStr">
        <is>
          <t>New Item Acquired: 30.00K (1, 24)</t>
        </is>
      </c>
    </row>
    <row r="106">
      <c r="AM106" s="0" t="inlineStr">
        <is>
          <t>New Item Acquired: 30.00K (1, 25)</t>
        </is>
      </c>
      <c r="AR106" s="0" t="inlineStr">
        <is>
          <t>New Item Acquired: 30.00K (1, 25)</t>
        </is>
      </c>
    </row>
    <row r="107">
      <c r="AM107" s="0" t="inlineStr">
        <is>
          <t>New Item Acquired: 30.00K (1, 3)</t>
        </is>
      </c>
      <c r="AR107" s="0" t="inlineStr">
        <is>
          <t>New Item Acquired: 30.00K (1, 25)</t>
        </is>
      </c>
    </row>
    <row r="108">
      <c r="AM108" s="0" t="inlineStr">
        <is>
          <t>New Item Acquired: 30.00K (1, 4)</t>
        </is>
      </c>
      <c r="AR108" s="0" t="inlineStr">
        <is>
          <t>New Item Acquired: 30.00K (1, 3)</t>
        </is>
      </c>
    </row>
    <row r="109">
      <c r="AM109" s="0" t="inlineStr">
        <is>
          <t>New Item Acquired: 30.00K (1, 5)</t>
        </is>
      </c>
      <c r="AR109" s="0" t="inlineStr">
        <is>
          <t>New Item Acquired: 30.00K (1, 4)</t>
        </is>
      </c>
    </row>
    <row r="110">
      <c r="AM110" s="0" t="inlineStr">
        <is>
          <t>New Item Acquired: 30.00K (1, 5)</t>
        </is>
      </c>
      <c r="AR110" s="0" t="inlineStr">
        <is>
          <t>New Item Acquired: 30.00K (1, 5)</t>
        </is>
      </c>
    </row>
    <row r="111">
      <c r="AM111" s="0" t="inlineStr">
        <is>
          <t>New Item Acquired: 30.00K (1, 6)</t>
        </is>
      </c>
      <c r="AR111" s="0" t="inlineStr">
        <is>
          <t>New Item Acquired: 30.00K (1, 5)</t>
        </is>
      </c>
    </row>
    <row r="112">
      <c r="AM112" s="0" t="inlineStr">
        <is>
          <t>New Item Acquired: 30.00K (1, 7)</t>
        </is>
      </c>
      <c r="AR112" s="0" t="inlineStr">
        <is>
          <t>New Item Acquired: 30.00K (1, 6)</t>
        </is>
      </c>
    </row>
    <row r="113">
      <c r="AM113" s="0" t="inlineStr">
        <is>
          <t>New Item Acquired: 30.00K (1, 8)</t>
        </is>
      </c>
      <c r="AR113" s="0" t="inlineStr">
        <is>
          <t>New Item Acquired: 30.00K (1, 7)</t>
        </is>
      </c>
    </row>
    <row r="114">
      <c r="AM114" s="0" t="inlineStr">
        <is>
          <t>New Item Acquired: 30.00K (1, 9)</t>
        </is>
      </c>
      <c r="AR114" s="0" t="inlineStr">
        <is>
          <t>New Item Acquired: 30.00K (1, 8)</t>
        </is>
      </c>
    </row>
    <row r="115">
      <c r="AM115" s="0" t="inlineStr">
        <is>
          <t>New Item Acquired: 30.00K (1, 9)</t>
        </is>
      </c>
      <c r="AR115" s="0" t="inlineStr">
        <is>
          <t>New Item Acquired: 30.00K (1, 9)</t>
        </is>
      </c>
    </row>
    <row r="116">
      <c r="AM116" s="0" t="inlineStr">
        <is>
          <t>New Item Acquired: 300.00K (3, 16)</t>
        </is>
      </c>
      <c r="AR116" s="0" t="inlineStr">
        <is>
          <t>New Item Acquired: 30.00K (1, 9)</t>
        </is>
      </c>
    </row>
    <row r="117">
      <c r="AM117" s="0" t="inlineStr">
        <is>
          <t>New Item Acquired: 300.00K (3, 18)</t>
        </is>
      </c>
      <c r="AR117" s="0" t="inlineStr">
        <is>
          <t>New Item Acquired: 300.00K (3, 16)</t>
        </is>
      </c>
    </row>
    <row r="118">
      <c r="AM118" s="0" t="inlineStr">
        <is>
          <t>New Item Acquired: 300.00K (3, 22)</t>
        </is>
      </c>
      <c r="AR118" s="0" t="inlineStr">
        <is>
          <t>New Item Acquired: 300.00K (3, 18)</t>
        </is>
      </c>
    </row>
    <row r="119">
      <c r="AM119" s="0" t="inlineStr">
        <is>
          <t>New Item Acquired: 300.00K (3, 3)</t>
        </is>
      </c>
      <c r="AR119" s="0" t="inlineStr">
        <is>
          <t>New Item Acquired: 300.00K (3, 22)</t>
        </is>
      </c>
    </row>
    <row r="120">
      <c r="AM120" s="0" t="inlineStr">
        <is>
          <t>New Item Acquired: 300.00K (4, 15)</t>
        </is>
      </c>
      <c r="AR120" s="0" t="inlineStr">
        <is>
          <t>New Item Acquired: 300.00K (3, 3)</t>
        </is>
      </c>
    </row>
    <row r="121">
      <c r="AM121" s="0" t="inlineStr">
        <is>
          <t>New Item Acquired: 300.00K (4, 20)</t>
        </is>
      </c>
      <c r="AR121" s="0" t="inlineStr">
        <is>
          <t>New Item Acquired: 300.00K (4, 15)</t>
        </is>
      </c>
    </row>
    <row r="122">
      <c r="AM122" s="0" t="inlineStr">
        <is>
          <t>New Item Acquired: 300.00K (4, 23)</t>
        </is>
      </c>
      <c r="AR122" s="0" t="inlineStr">
        <is>
          <t>New Item Acquired: 300.00K (4, 20)</t>
        </is>
      </c>
    </row>
    <row r="123">
      <c r="AM123" s="0" t="inlineStr">
        <is>
          <t>New Item Acquired: 50.00K (1, 1)</t>
        </is>
      </c>
      <c r="AR123" s="0" t="inlineStr">
        <is>
          <t>New Item Acquired: 300.00K (4, 23)</t>
        </is>
      </c>
    </row>
    <row r="124">
      <c r="AM124" s="0" t="inlineStr">
        <is>
          <t>New Item Acquired: 50.00K (1, 1)</t>
        </is>
      </c>
      <c r="AR124" s="0" t="inlineStr">
        <is>
          <t>New Item Acquired: 50.00K (1, 1)</t>
        </is>
      </c>
    </row>
    <row r="125">
      <c r="AM125" s="0" t="inlineStr">
        <is>
          <t>New Item Acquired: 50.00K (1, 10)</t>
        </is>
      </c>
      <c r="AR125" s="0" t="inlineStr">
        <is>
          <t>New Item Acquired: 50.00K (1, 1)</t>
        </is>
      </c>
    </row>
    <row r="126">
      <c r="AM126" s="0" t="inlineStr">
        <is>
          <t>New Item Acquired: 50.00K (1, 11)</t>
        </is>
      </c>
      <c r="AR126" s="0" t="inlineStr">
        <is>
          <t>New Item Acquired: 50.00K (1, 10)</t>
        </is>
      </c>
    </row>
    <row r="127">
      <c r="AM127" s="0" t="inlineStr">
        <is>
          <t>New Item Acquired: 50.00K (1, 12)</t>
        </is>
      </c>
      <c r="AR127" s="0" t="inlineStr">
        <is>
          <t>New Item Acquired: 50.00K (1, 11)</t>
        </is>
      </c>
    </row>
    <row r="128">
      <c r="AM128" s="0" t="inlineStr">
        <is>
          <t>New Item Acquired: 50.00K (1, 14)</t>
        </is>
      </c>
      <c r="AR128" s="0" t="inlineStr">
        <is>
          <t>New Item Acquired: 50.00K (1, 12)</t>
        </is>
      </c>
    </row>
    <row r="129">
      <c r="AM129" s="0" t="inlineStr">
        <is>
          <t>New Item Acquired: 50.00K (1, 16)</t>
        </is>
      </c>
      <c r="AR129" s="0" t="inlineStr">
        <is>
          <t>New Item Acquired: 50.00K (1, 14)</t>
        </is>
      </c>
    </row>
    <row r="130">
      <c r="AM130" s="0" t="inlineStr">
        <is>
          <t>New Item Acquired: 50.00K (1, 17)</t>
        </is>
      </c>
      <c r="AR130" s="0" t="inlineStr">
        <is>
          <t>New Item Acquired: 50.00K (1, 16)</t>
        </is>
      </c>
    </row>
    <row r="131">
      <c r="AM131" s="0" t="inlineStr">
        <is>
          <t>New Item Acquired: 50.00K (1, 17)</t>
        </is>
      </c>
      <c r="AR131" s="0" t="inlineStr">
        <is>
          <t>New Item Acquired: 50.00K (1, 17)</t>
        </is>
      </c>
    </row>
    <row r="132">
      <c r="AM132" s="0" t="inlineStr">
        <is>
          <t>New Item Acquired: 50.00K (1, 18)</t>
        </is>
      </c>
      <c r="AR132" s="0" t="inlineStr">
        <is>
          <t>New Item Acquired: 50.00K (1, 17)</t>
        </is>
      </c>
    </row>
    <row r="133">
      <c r="AM133" s="0" t="inlineStr">
        <is>
          <t>New Item Acquired: 50.00K (1, 19)</t>
        </is>
      </c>
      <c r="AR133" s="0" t="inlineStr">
        <is>
          <t>New Item Acquired: 50.00K (1, 18)</t>
        </is>
      </c>
    </row>
    <row r="134">
      <c r="AM134" s="0" t="inlineStr">
        <is>
          <t>New Item Acquired: 50.00K (1, 2)</t>
        </is>
      </c>
      <c r="AR134" s="0" t="inlineStr">
        <is>
          <t>New Item Acquired: 50.00K (1, 19)</t>
        </is>
      </c>
    </row>
    <row r="135">
      <c r="AM135" s="0" t="inlineStr">
        <is>
          <t>New Item Acquired: 50.00K (1, 2)</t>
        </is>
      </c>
      <c r="AR135" s="0" t="inlineStr">
        <is>
          <t>New Item Acquired: 50.00K (1, 2)</t>
        </is>
      </c>
    </row>
    <row r="136">
      <c r="AM136" s="0" t="inlineStr">
        <is>
          <t>New Item Acquired: 50.00K (1, 2)</t>
        </is>
      </c>
      <c r="AR136" s="0" t="inlineStr">
        <is>
          <t>New Item Acquired: 50.00K (1, 2)</t>
        </is>
      </c>
    </row>
    <row r="137">
      <c r="AM137" s="0" t="inlineStr">
        <is>
          <t>New Item Acquired: 50.00K (1, 20)</t>
        </is>
      </c>
      <c r="AR137" s="0" t="inlineStr">
        <is>
          <t>New Item Acquired: 50.00K (1, 2)</t>
        </is>
      </c>
    </row>
    <row r="138">
      <c r="AM138" s="0" t="inlineStr">
        <is>
          <t>New Item Acquired: 50.00K (1, 21)</t>
        </is>
      </c>
      <c r="AR138" s="0" t="inlineStr">
        <is>
          <t>New Item Acquired: 50.00K (1, 20)</t>
        </is>
      </c>
    </row>
    <row r="139">
      <c r="AM139" s="0" t="inlineStr">
        <is>
          <t>New Item Acquired: 50.00K (1, 23)</t>
        </is>
      </c>
      <c r="AR139" s="0" t="inlineStr">
        <is>
          <t>New Item Acquired: 50.00K (1, 21)</t>
        </is>
      </c>
    </row>
    <row r="140">
      <c r="AM140" s="0" t="inlineStr">
        <is>
          <t>New Item Acquired: 50.00K (1, 24)</t>
        </is>
      </c>
      <c r="AR140" s="0" t="inlineStr">
        <is>
          <t>New Item Acquired: 50.00K (1, 23)</t>
        </is>
      </c>
    </row>
    <row r="141">
      <c r="AM141" s="0" t="inlineStr">
        <is>
          <t>New Item Acquired: 50.00K (1, 25)</t>
        </is>
      </c>
      <c r="AR141" s="0" t="inlineStr">
        <is>
          <t>New Item Acquired: 50.00K (1, 24)</t>
        </is>
      </c>
    </row>
    <row r="142">
      <c r="AM142" s="0" t="inlineStr">
        <is>
          <t>New Item Acquired: 50.00K (1, 3)</t>
        </is>
      </c>
      <c r="AR142" s="0" t="inlineStr">
        <is>
          <t>New Item Acquired: 50.00K (1, 25)</t>
        </is>
      </c>
    </row>
    <row r="143">
      <c r="AM143" s="0" t="inlineStr">
        <is>
          <t>New Item Acquired: 50.00K (1, 3)</t>
        </is>
      </c>
      <c r="AR143" s="0" t="inlineStr">
        <is>
          <t>New Item Acquired: 50.00K (1, 3)</t>
        </is>
      </c>
    </row>
    <row r="144">
      <c r="AM144" s="0" t="inlineStr">
        <is>
          <t>New Item Acquired: 50.00K (1, 4)</t>
        </is>
      </c>
      <c r="AR144" s="0" t="inlineStr">
        <is>
          <t>New Item Acquired: 50.00K (1, 3)</t>
        </is>
      </c>
    </row>
    <row r="145">
      <c r="AM145" s="0" t="inlineStr">
        <is>
          <t>New Item Acquired: 50.00K (1, 5)</t>
        </is>
      </c>
      <c r="AR145" s="0" t="inlineStr">
        <is>
          <t>New Item Acquired: 50.00K (1, 4)</t>
        </is>
      </c>
    </row>
    <row r="146">
      <c r="AM146" s="0" t="inlineStr">
        <is>
          <t>New Item Acquired: 50.00K (1, 6)</t>
        </is>
      </c>
      <c r="AR146" s="0" t="inlineStr">
        <is>
          <t>New Item Acquired: 50.00K (1, 5)</t>
        </is>
      </c>
    </row>
    <row r="147">
      <c r="AM147" s="0" t="inlineStr">
        <is>
          <t>New Item Acquired: 50.00K (1, 7)</t>
        </is>
      </c>
      <c r="AR147" s="0" t="inlineStr">
        <is>
          <t>New Item Acquired: 50.00K (1, 6)</t>
        </is>
      </c>
    </row>
    <row r="148">
      <c r="AM148" s="0" t="inlineStr">
        <is>
          <t>New Item Acquired: 50.00K (1, 8)</t>
        </is>
      </c>
      <c r="AR148" s="0" t="inlineStr">
        <is>
          <t>New Item Acquired: 50.00K (1, 7)</t>
        </is>
      </c>
    </row>
    <row r="149">
      <c r="AM149" s="0" t="inlineStr">
        <is>
          <t>New Item Acquired: 50.00K (1, 9)</t>
        </is>
      </c>
      <c r="AR149" s="0" t="inlineStr">
        <is>
          <t>New Item Acquired: 50.00K (1, 8)</t>
        </is>
      </c>
    </row>
    <row r="150">
      <c r="AM150" s="0" t="inlineStr">
        <is>
          <t>New Item Acquired: 50.00K (1, 9)</t>
        </is>
      </c>
      <c r="AR150" s="0" t="inlineStr">
        <is>
          <t>New Item Acquired: 50.00K (1, 9)</t>
        </is>
      </c>
    </row>
    <row r="151">
      <c r="AM151" s="0" t="inlineStr">
        <is>
          <t>New Item Acquired: 50.00K (1, 9)</t>
        </is>
      </c>
      <c r="AR151" s="0" t="inlineStr">
        <is>
          <t>New Item Acquired: 50.00K (1, 9)</t>
        </is>
      </c>
    </row>
    <row r="152">
      <c r="AM152" s="0" t="inlineStr">
        <is>
          <t>New Item Acquired: 60.00K (2, 10)</t>
        </is>
      </c>
      <c r="AR152" s="0" t="inlineStr">
        <is>
          <t>New Item Acquired: 50.00K (1, 9)</t>
        </is>
      </c>
    </row>
    <row r="153">
      <c r="AM153" s="0" t="inlineStr">
        <is>
          <t>New Item Acquired: 60.00K (2, 10)</t>
        </is>
      </c>
      <c r="AR153" s="0" t="inlineStr">
        <is>
          <t>New Item Acquired: 60.00K (2, 1)</t>
        </is>
      </c>
    </row>
    <row r="154">
      <c r="AM154" s="0" t="inlineStr">
        <is>
          <t>New Item Acquired: 60.00K (2, 12)</t>
        </is>
      </c>
      <c r="AR154" s="0" t="inlineStr">
        <is>
          <t>New Item Acquired: 60.00K (2, 10)</t>
        </is>
      </c>
    </row>
    <row r="155">
      <c r="AM155" s="0" t="inlineStr">
        <is>
          <t>New Item Acquired: 60.00K (2, 16)</t>
        </is>
      </c>
      <c r="AR155" s="0" t="inlineStr">
        <is>
          <t>New Item Acquired: 60.00K (2, 10)</t>
        </is>
      </c>
    </row>
    <row r="156">
      <c r="AM156" s="0" t="inlineStr">
        <is>
          <t>New Item Acquired: 60.00K (2, 16)</t>
        </is>
      </c>
      <c r="AR156" s="0" t="inlineStr">
        <is>
          <t>New Item Acquired: 60.00K (2, 12)</t>
        </is>
      </c>
    </row>
    <row r="157">
      <c r="AM157" s="0" t="inlineStr">
        <is>
          <t>New Item Acquired: 60.00K (2, 17)</t>
        </is>
      </c>
      <c r="AR157" s="0" t="inlineStr">
        <is>
          <t>New Item Acquired: 60.00K (2, 16)</t>
        </is>
      </c>
    </row>
    <row r="158">
      <c r="AM158" s="0" t="inlineStr">
        <is>
          <t>New Item Acquired: 60.00K (2, 17)</t>
        </is>
      </c>
      <c r="AR158" s="0" t="inlineStr">
        <is>
          <t>New Item Acquired: 60.00K (2, 16)</t>
        </is>
      </c>
    </row>
    <row r="159">
      <c r="AM159" s="0" t="inlineStr">
        <is>
          <t>New Item Acquired: 60.00K (2, 18)</t>
        </is>
      </c>
      <c r="AR159" s="0" t="inlineStr">
        <is>
          <t>New Item Acquired: 60.00K (2, 17)</t>
        </is>
      </c>
    </row>
    <row r="160">
      <c r="AM160" s="0" t="inlineStr">
        <is>
          <t>New Item Acquired: 60.00K (2, 18)</t>
        </is>
      </c>
      <c r="AR160" s="0" t="inlineStr">
        <is>
          <t>New Item Acquired: 60.00K (2, 17)</t>
        </is>
      </c>
    </row>
    <row r="161">
      <c r="AM161" s="0" t="inlineStr">
        <is>
          <t>New Item Acquired: 60.00K (2, 23)</t>
        </is>
      </c>
      <c r="AR161" s="0" t="inlineStr">
        <is>
          <t>New Item Acquired: 60.00K (2, 18)</t>
        </is>
      </c>
    </row>
    <row r="162">
      <c r="AM162" s="0" t="inlineStr">
        <is>
          <t>New Item Acquired: 60.00K (2, 6)</t>
        </is>
      </c>
      <c r="AR162" s="0" t="inlineStr">
        <is>
          <t>New Item Acquired: 60.00K (2, 18)</t>
        </is>
      </c>
    </row>
    <row r="163">
      <c r="AM163" s="0" t="inlineStr">
        <is>
          <t>New Item Acquired: 60.00K (2, 8)</t>
        </is>
      </c>
      <c r="AR163" s="0" t="inlineStr">
        <is>
          <t>New Item Acquired: 60.00K (2, 23)</t>
        </is>
      </c>
    </row>
    <row r="164">
      <c r="AM164" s="0" t="inlineStr">
        <is>
          <t>New Item Acquired: 600.00K (6, 7)</t>
        </is>
      </c>
      <c r="AR164" s="0" t="inlineStr">
        <is>
          <t>New Item Acquired: 60.00K (2, 6)</t>
        </is>
      </c>
    </row>
    <row r="165">
      <c r="AM165" s="0" t="inlineStr">
        <is>
          <t>New Item Acquired: 90.00K (3, 11)</t>
        </is>
      </c>
      <c r="AR165" s="0" t="inlineStr">
        <is>
          <t>New Item Acquired: 60.00K (2, 8)</t>
        </is>
      </c>
    </row>
    <row r="166">
      <c r="AM166" s="0" t="inlineStr">
        <is>
          <t>New Item Acquired: 90.00K (3, 12)</t>
        </is>
      </c>
      <c r="AR166" s="0" t="inlineStr">
        <is>
          <t>New Item Acquired: 600.00K (6, 7)</t>
        </is>
      </c>
    </row>
    <row r="167">
      <c r="AM167" s="0" t="inlineStr">
        <is>
          <t>New Item Acquired: 90.00K (3, 17)</t>
        </is>
      </c>
      <c r="AR167" s="0" t="inlineStr">
        <is>
          <t>New Item Acquired: 90.00K (3, 11)</t>
        </is>
      </c>
    </row>
    <row r="168">
      <c r="AM168" s="0" t="inlineStr">
        <is>
          <t>New Item Acquired: 90.00K (3, 18)</t>
        </is>
      </c>
      <c r="AR168" s="0" t="inlineStr">
        <is>
          <t>New Item Acquired: 90.00K (3, 12)</t>
        </is>
      </c>
    </row>
    <row r="169">
      <c r="AM169" s="0" t="inlineStr">
        <is>
          <t>New Item Acquired: 90.00K (3, 2)</t>
        </is>
      </c>
      <c r="AR169" s="0" t="inlineStr">
        <is>
          <t>New Item Acquired: 90.00K (3, 17)</t>
        </is>
      </c>
    </row>
    <row r="170">
      <c r="AM170" s="0" t="inlineStr">
        <is>
          <t>New Item Acquired: 90.00K (3, 22)</t>
        </is>
      </c>
      <c r="AR170" s="0" t="inlineStr">
        <is>
          <t>New Item Acquired: 90.00K (3, 18)</t>
        </is>
      </c>
    </row>
    <row r="171">
      <c r="AM171" s="0" t="inlineStr">
        <is>
          <t>New Item Acquired: 90.00K (3, 25)</t>
        </is>
      </c>
      <c r="AR171" s="0" t="inlineStr">
        <is>
          <t>New Item Acquired: 90.00K (3, 2)</t>
        </is>
      </c>
    </row>
    <row r="172">
      <c r="AM172" s="0" t="inlineStr">
        <is>
          <t>New Item Acquired: 90.00K (3, 3)</t>
        </is>
      </c>
      <c r="AR172" s="0" t="inlineStr">
        <is>
          <t>New Item Acquired: 90.00K (3, 22)</t>
        </is>
      </c>
    </row>
    <row r="173">
      <c r="AM173" s="0" t="inlineStr">
        <is>
          <t>New Item Acquired: 90.00K (3, 5)</t>
        </is>
      </c>
      <c r="AR173" s="0" t="inlineStr">
        <is>
          <t>New Item Acquired: 90.00K (3, 23)</t>
        </is>
      </c>
    </row>
    <row r="174">
      <c r="AM174" s="0" t="inlineStr">
        <is>
          <t>New Item Acquired: 90.00K (3, 9)</t>
        </is>
      </c>
      <c r="AR174" s="0" t="inlineStr">
        <is>
          <t>New Item Acquired: 90.00K (3, 25)</t>
        </is>
      </c>
    </row>
    <row r="175">
      <c r="AM175" s="0" t="inlineStr">
        <is>
          <t>New Item Acquired: Grand (2, 3)</t>
        </is>
      </c>
      <c r="AR175" s="0" t="inlineStr">
        <is>
          <t>New Item Acquired: 90.00K (3, 3)</t>
        </is>
      </c>
    </row>
    <row r="176">
      <c r="AM176" s="0" t="inlineStr">
        <is>
          <t>New Item Acquired: Major (1, 12)</t>
        </is>
      </c>
      <c r="AR176" s="0" t="inlineStr">
        <is>
          <t>New Item Acquired: 90.00K (3, 5)</t>
        </is>
      </c>
    </row>
    <row r="177">
      <c r="AM177" s="0" t="inlineStr">
        <is>
          <t>New Item Acquired: Mini (1, 1)</t>
        </is>
      </c>
      <c r="AR177" s="0" t="inlineStr">
        <is>
          <t>New Item Acquired: 90.00K (3, 9)</t>
        </is>
      </c>
    </row>
    <row r="178">
      <c r="AM178" s="0" t="inlineStr">
        <is>
          <t>New Item Acquired: Mini (1, 15)</t>
        </is>
      </c>
      <c r="AR178" s="0" t="inlineStr">
        <is>
          <t>New Item Acquired: Grand (2, 3)</t>
        </is>
      </c>
    </row>
    <row r="179">
      <c r="AM179" s="0" t="inlineStr">
        <is>
          <t>New Item Acquired: Mini (1, 16)</t>
        </is>
      </c>
      <c r="AR179" s="0" t="inlineStr">
        <is>
          <t>New Item Acquired: Major (1, 12)</t>
        </is>
      </c>
    </row>
    <row r="180">
      <c r="AM180" s="0" t="inlineStr">
        <is>
          <t>New Item Acquired: Mini (2, 11)</t>
        </is>
      </c>
      <c r="AR180" s="0" t="inlineStr">
        <is>
          <t>New Item Acquired: Mini (1, 1)</t>
        </is>
      </c>
    </row>
    <row r="181">
      <c r="AM181" s="0" t="inlineStr">
        <is>
          <t>New Item Acquired: Mini (2, 5)</t>
        </is>
      </c>
      <c r="AR181" s="0" t="inlineStr">
        <is>
          <t>New Item Acquired: Mini (1, 15)</t>
        </is>
      </c>
    </row>
    <row r="182">
      <c r="AM182" s="0" t="inlineStr">
        <is>
          <t>New Item Acquired: Mini (2, 8)</t>
        </is>
      </c>
      <c r="AR182" s="0" t="inlineStr">
        <is>
          <t>New Item Acquired: Mini (1, 16)</t>
        </is>
      </c>
    </row>
    <row r="183">
      <c r="AM183" s="0" t="inlineStr">
        <is>
          <t>New Item Acquired: Mini (4, 18)</t>
        </is>
      </c>
      <c r="AR183" s="0" t="inlineStr">
        <is>
          <t>New Item Acquired: Mini (2, 11)</t>
        </is>
      </c>
    </row>
    <row r="184">
      <c r="AM184" s="0" t="inlineStr">
        <is>
          <t>New Item Acquired: Mini (5, 7)</t>
        </is>
      </c>
      <c r="AR184" s="0" t="inlineStr">
        <is>
          <t>New Item Acquired: Mini (2, 5)</t>
        </is>
      </c>
    </row>
    <row r="185">
      <c r="AM185" s="0" t="inlineStr">
        <is>
          <t>New Item Acquired: Minor (1, 24)</t>
        </is>
      </c>
      <c r="AR185" s="0" t="inlineStr">
        <is>
          <t>New Item Acquired: Mini (2, 8)</t>
        </is>
      </c>
    </row>
    <row r="186">
      <c r="AM186" s="0" t="inlineStr">
        <is>
          <t>New Item Acquired: Minor (1, 6)</t>
        </is>
      </c>
      <c r="AR186" s="0" t="inlineStr">
        <is>
          <t>New Item Acquired: Mini (4, 18)</t>
        </is>
      </c>
    </row>
    <row r="187">
      <c r="AM187" s="0" t="inlineStr">
        <is>
          <t>New Item Acquired: Minor (2, 11)</t>
        </is>
      </c>
      <c r="AR187" s="0" t="inlineStr">
        <is>
          <t>New Item Acquired: Mini (5, 7)</t>
        </is>
      </c>
    </row>
    <row r="188">
      <c r="AM188" s="0" t="inlineStr">
        <is>
          <t>New Item Acquired: Minor (5, 9)</t>
        </is>
      </c>
      <c r="AR188" s="0" t="inlineStr">
        <is>
          <t>New Item Acquired: Minor (1, 24)</t>
        </is>
      </c>
    </row>
    <row r="189">
      <c r="AM189" s="0" t="inlineStr">
        <is>
          <t>Item ReSelect Failed : Attempts - 3</t>
        </is>
      </c>
      <c r="AR189" s="0" t="inlineStr">
        <is>
          <t>New Item Acquired: Minor (1, 6)</t>
        </is>
      </c>
    </row>
    <row r="190">
      <c r="AM190" s="0" t="inlineStr">
        <is>
          <t>Item ReSelect Failed : Attempts - 3</t>
        </is>
      </c>
      <c r="AR190" s="0" t="inlineStr">
        <is>
          <t>New Item Acquired: Minor (2, 11)</t>
        </is>
      </c>
    </row>
    <row r="191">
      <c r="AM191" s="0" t="inlineStr">
        <is>
          <t>Item ReSelect Failed : Attempts - 3</t>
        </is>
      </c>
      <c r="AR191" s="0" t="inlineStr">
        <is>
          <t>New Item Acquired: Minor (5, 9)</t>
        </is>
      </c>
    </row>
    <row r="192">
      <c r="AM192" s="0" t="inlineStr">
        <is>
          <t>Item ReSelect Failed : Attempts - 3</t>
        </is>
      </c>
      <c r="AR192" s="0" t="inlineStr">
        <is>
          <t>Item ReSelect Failed : Attempts - 3</t>
        </is>
      </c>
    </row>
    <row r="193">
      <c r="AM193" s="0" t="inlineStr">
        <is>
          <t>Clear Gem Acquired : 0 -&gt; 100 (Stage : 1)</t>
        </is>
      </c>
      <c r="AR193" s="0" t="inlineStr">
        <is>
          <t>Item ReSelect Failed : Attempts - 3</t>
        </is>
      </c>
    </row>
    <row r="194">
      <c r="AM194" s="0" t="inlineStr">
        <is>
          <t>Clear Gem Acquired : 100 -&gt; 200 (Stage : 1)</t>
        </is>
      </c>
      <c r="AR194" s="0" t="inlineStr">
        <is>
          <t>Item ReSelect Failed : Attempts - 3</t>
        </is>
      </c>
    </row>
    <row r="195">
      <c r="AM195" s="0" t="inlineStr">
        <is>
          <t>Clear Gem Acquired : 1000 -&gt; 1100 (Stage : 1)</t>
        </is>
      </c>
      <c r="AR195" s="0" t="inlineStr">
        <is>
          <t>Item ReSelect Failed : Attempts - 3</t>
        </is>
      </c>
    </row>
    <row r="196">
      <c r="AM196" s="0" t="inlineStr">
        <is>
          <t>Clear Gem Acquired : 200 -&gt; 300 (Stage : 2)</t>
        </is>
      </c>
      <c r="AR196" s="0" t="inlineStr">
        <is>
          <t>Clear Gem Acquired : 0 -&gt; 100 (Stage : 1)</t>
        </is>
      </c>
    </row>
    <row r="197">
      <c r="AM197" s="0" t="inlineStr">
        <is>
          <t>Clear Gem Acquired : 300 -&gt; 400 (Stage : 1)</t>
        </is>
      </c>
      <c r="AR197" s="0" t="inlineStr">
        <is>
          <t>Clear Gem Acquired : 100 -&gt; 200 (Stage : 1)</t>
        </is>
      </c>
    </row>
    <row r="198">
      <c r="AM198" s="0" t="inlineStr">
        <is>
          <t>Clear Gem Acquired : 400 -&gt; 500 (Stage : 3)</t>
        </is>
      </c>
      <c r="AR198" s="0" t="inlineStr">
        <is>
          <t>Clear Gem Acquired : 1000 -&gt; 1100 (Stage : 1)</t>
        </is>
      </c>
    </row>
    <row r="199">
      <c r="AM199" s="0" t="inlineStr">
        <is>
          <t>Clear Gem Acquired : 500 -&gt; 600 (Stage : 2)</t>
        </is>
      </c>
      <c r="AR199" s="0" t="inlineStr">
        <is>
          <t>Clear Gem Acquired : 200 -&gt; 300 (Stage : 2)</t>
        </is>
      </c>
    </row>
    <row r="200">
      <c r="AM200" s="0" t="inlineStr">
        <is>
          <t>Clear Gem Acquired : 600 -&gt; 700 (Stage : 1)</t>
        </is>
      </c>
      <c r="AR200" s="0" t="inlineStr">
        <is>
          <t>Clear Gem Acquired : 300 -&gt; 400 (Stage : 1)</t>
        </is>
      </c>
    </row>
    <row r="201">
      <c r="AM201" s="0" t="inlineStr">
        <is>
          <t>Clear Gem Acquired : 700 -&gt; 800 (Stage : 4)</t>
        </is>
      </c>
      <c r="AR201" s="0" t="inlineStr">
        <is>
          <t>Clear Gem Acquired : 400 -&gt; 500 (Stage : 3)</t>
        </is>
      </c>
    </row>
    <row r="202">
      <c r="AM202" s="0" t="inlineStr">
        <is>
          <t>Clear Gem Acquired : 800 -&gt; 900 (Stage : 1)</t>
        </is>
      </c>
      <c r="AR202" s="0" t="inlineStr">
        <is>
          <t>Clear Gem Acquired : 500 -&gt; 600 (Stage : 2)</t>
        </is>
      </c>
    </row>
    <row r="203">
      <c r="AM203" s="0" t="inlineStr">
        <is>
          <t>Clear Gem Acquired : 900 -&gt; 1000 (Stage : 1)</t>
        </is>
      </c>
      <c r="AR203" s="0" t="inlineStr">
        <is>
          <t>Clear Gem Acquired : 600 -&gt; 700 (Stage : 1)</t>
        </is>
      </c>
    </row>
    <row r="204">
      <c r="AR204" s="0" t="inlineStr">
        <is>
          <t>Clear Gem Acquired : 700 -&gt; 800 (Stage : 4)</t>
        </is>
      </c>
    </row>
    <row r="205">
      <c r="AR205" s="0" t="inlineStr">
        <is>
          <t>Clear Gem Acquired : 800 -&gt; 900 (Stage : 1)</t>
        </is>
      </c>
    </row>
    <row r="206">
      <c r="AR206" s="0" t="inlineStr">
        <is>
          <t>Clear Gem Acquired : 900 -&gt; 1000 (Stage : 1)</t>
        </is>
      </c>
    </row>
  </sheetData>
  <mergeCells count="1">
    <mergeCell ref="A1:AU1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202"/>
  <sheetViews>
    <sheetView workbookViewId="0">
      <selection activeCell="A1" sqref="A1"/>
    </sheetView>
  </sheetViews>
  <sheetFormatPr baseColWidth="8" defaultRowHeight="16.5"/>
  <cols>
    <col width="11.375" bestFit="1" customWidth="1" style="161" min="2" max="2"/>
    <col width="11.375" customWidth="1" style="161" min="3" max="3"/>
    <col width="13.25" bestFit="1" customWidth="1" style="161" min="4" max="4"/>
    <col width="14.5" bestFit="1" customWidth="1" style="161" min="5" max="5"/>
    <col width="13.25" bestFit="1" customWidth="1" style="161" min="6" max="6"/>
    <col width="17.875" bestFit="1" customWidth="1" style="161" min="7" max="7"/>
    <col width="10.375" bestFit="1" customWidth="1" style="161" min="8" max="9"/>
    <col width="14.5" bestFit="1" customWidth="1" style="161" min="10" max="10"/>
    <col width="4" customWidth="1" style="161" min="11" max="11"/>
    <col width="14.5" customWidth="1" style="161" min="12" max="12"/>
    <col width="4.125" customWidth="1" style="161" min="14" max="14"/>
    <col width="5.125" bestFit="1" customWidth="1" style="161" min="15" max="15"/>
    <col width="4.5" bestFit="1" customWidth="1" style="161" min="16" max="18"/>
    <col width="3.5" customWidth="1" style="161" min="19" max="19"/>
    <col width="3.75" customWidth="1" style="161" min="20" max="20"/>
    <col width="4" bestFit="1" customWidth="1" style="161" min="21" max="21"/>
    <col width="3.5" bestFit="1" customWidth="1" style="161" min="22" max="24"/>
    <col width="3.5" customWidth="1" style="161" min="25" max="25"/>
    <col width="3.875" customWidth="1" style="161" min="26" max="26"/>
    <col width="4" bestFit="1" customWidth="1" style="161" min="27" max="27"/>
    <col width="3.5" bestFit="1" customWidth="1" style="161" min="28" max="30"/>
    <col width="3.5" customWidth="1" style="161" min="31" max="31"/>
    <col width="3.75" customWidth="1" style="161" min="32" max="32"/>
    <col width="4" bestFit="1" customWidth="1" style="161" min="33" max="33"/>
    <col width="3.5" bestFit="1" customWidth="1" style="161" min="34" max="36"/>
    <col width="45.625" bestFit="1" customWidth="1" style="161" min="39" max="39"/>
    <col width="8.75" customWidth="1" style="161" min="40" max="40"/>
    <col width="13.125" bestFit="1" customWidth="1" style="161" min="41" max="41"/>
    <col width="5.5" bestFit="1" customWidth="1" style="161" min="42" max="42"/>
    <col width="45.625" bestFit="1" customWidth="1" style="161" min="44" max="44"/>
    <col width="7.875" customWidth="1" style="161" min="45" max="45"/>
    <col width="13.125" bestFit="1" customWidth="1" style="161" min="46" max="46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D2" s="0" t="inlineStr">
        <is>
          <t>C1</t>
        </is>
      </c>
      <c r="E2" s="0" t="inlineStr">
        <is>
          <t>C2</t>
        </is>
      </c>
      <c r="F2" s="0" t="inlineStr">
        <is>
          <t>C3</t>
        </is>
      </c>
      <c r="G2" s="0" t="inlineStr">
        <is>
          <t>C4</t>
        </is>
      </c>
      <c r="H2" s="0" t="inlineStr">
        <is>
          <t>C5</t>
        </is>
      </c>
      <c r="I2" s="0" t="inlineStr">
        <is>
          <t>C6</t>
        </is>
      </c>
      <c r="J2" s="0" t="inlineStr">
        <is>
          <t>C7</t>
        </is>
      </c>
      <c r="L2" s="31" t="inlineStr">
        <is>
          <t>Weight</t>
        </is>
      </c>
      <c r="N2" s="31" t="inlineStr">
        <is>
          <t>Level1</t>
        </is>
      </c>
      <c r="O2" s="31" t="n"/>
      <c r="P2" s="31" t="n"/>
      <c r="Q2" s="31" t="n"/>
      <c r="R2" s="31" t="n"/>
      <c r="T2" s="31" t="inlineStr">
        <is>
          <t>Level2</t>
        </is>
      </c>
      <c r="U2" s="31" t="n"/>
      <c r="V2" s="31" t="n"/>
      <c r="W2" s="31" t="n"/>
      <c r="X2" s="31" t="n"/>
      <c r="Z2" s="31" t="inlineStr">
        <is>
          <t>Level3</t>
        </is>
      </c>
      <c r="AA2" s="31" t="n"/>
      <c r="AB2" s="31" t="n"/>
      <c r="AC2" s="31" t="n"/>
      <c r="AD2" s="31" t="n"/>
      <c r="AF2" s="28" t="inlineStr">
        <is>
          <t>Level4</t>
        </is>
      </c>
      <c r="AG2" s="29" t="n"/>
      <c r="AH2" s="29" t="n"/>
      <c r="AI2" s="29" t="n"/>
      <c r="AJ2" s="30" t="n"/>
      <c r="AM2" s="0" t="inlineStr">
        <is>
          <t>Line Prize Won: 1.06M (Stage : 2) - 1060000</t>
        </is>
      </c>
      <c r="AO2" s="0" t="inlineStr">
        <is>
          <t>Bingo Win</t>
        </is>
      </c>
      <c r="AP2" s="0">
        <f>COUNTIF($AM$1:$AM$500,"*")</f>
        <v/>
      </c>
      <c r="AR2" s="0" t="inlineStr">
        <is>
          <t>Line Prize Won: 1.20M (Stage : 3) - 1200000</t>
        </is>
      </c>
      <c r="AT2" s="0" t="inlineStr">
        <is>
          <t>Bingo Win</t>
        </is>
      </c>
      <c r="AU2" s="0">
        <f>COUNTIF($AR$1:$AR$500,"*")</f>
        <v/>
      </c>
    </row>
    <row r="3" ht="20.25" customHeight="1" s="161">
      <c r="A3" s="0" t="inlineStr">
        <is>
          <t>Spins</t>
        </is>
      </c>
      <c r="B3" s="0" t="n">
        <v>3000</v>
      </c>
      <c r="C3" s="0" t="n">
        <v>1500</v>
      </c>
      <c r="D3" s="0" t="n">
        <v>799</v>
      </c>
      <c r="E3" s="0" t="n">
        <v>1039</v>
      </c>
      <c r="F3" s="0" t="n">
        <v>1373</v>
      </c>
      <c r="G3" s="0" t="n">
        <v>2816</v>
      </c>
      <c r="H3" s="0" t="n">
        <v>6044</v>
      </c>
      <c r="I3" s="0" t="n">
        <v>10829</v>
      </c>
      <c r="J3" s="0" t="n">
        <v>9913</v>
      </c>
      <c r="L3" s="32" t="n">
        <v>80</v>
      </c>
      <c r="N3" s="22" t="n">
        <v>92</v>
      </c>
      <c r="O3" s="23" t="n">
        <v>92</v>
      </c>
      <c r="P3" s="11" t="n">
        <v>92</v>
      </c>
      <c r="Q3" s="11" t="n">
        <v>92</v>
      </c>
      <c r="R3" s="12" t="n">
        <v>92</v>
      </c>
      <c r="T3" s="22" t="n">
        <v>81</v>
      </c>
      <c r="U3" s="23" t="n">
        <v>81</v>
      </c>
      <c r="V3" s="13" t="n">
        <v>81</v>
      </c>
      <c r="W3" s="13" t="n">
        <v>81</v>
      </c>
      <c r="X3" s="12" t="n">
        <v>81</v>
      </c>
      <c r="Z3" s="22" t="n">
        <v>69</v>
      </c>
      <c r="AA3" s="23" t="n">
        <v>69</v>
      </c>
      <c r="AB3" s="13" t="n">
        <v>69</v>
      </c>
      <c r="AC3" s="13" t="n">
        <v>69</v>
      </c>
      <c r="AD3" s="12" t="n">
        <v>69</v>
      </c>
      <c r="AF3" s="22" t="n">
        <v>57</v>
      </c>
      <c r="AG3" s="23" t="n">
        <v>57</v>
      </c>
      <c r="AH3" s="13" t="n">
        <v>57</v>
      </c>
      <c r="AI3" s="13" t="n">
        <v>57</v>
      </c>
      <c r="AJ3" s="12" t="n">
        <v>57</v>
      </c>
      <c r="AM3" s="0" t="inlineStr">
        <is>
          <t>Line Prize Won: 1.29M (Stage : 3) - 1290000</t>
        </is>
      </c>
      <c r="AO3" s="0" t="inlineStr">
        <is>
          <t>Made</t>
        </is>
      </c>
      <c r="AP3" s="0">
        <f>COUNTIF($AM$1:$AM$500,"Line*")</f>
        <v/>
      </c>
      <c r="AR3" s="0" t="inlineStr">
        <is>
          <t>Line Prize Won: 1.44M (Stage : 3) - 1440000</t>
        </is>
      </c>
      <c r="AT3" s="0" t="inlineStr">
        <is>
          <t>Made</t>
        </is>
      </c>
      <c r="AU3" s="0">
        <f>COUNTIF($AR$1:$AR$500,"Line*")</f>
        <v/>
      </c>
    </row>
    <row r="4">
      <c r="A4" s="0" t="inlineStr">
        <is>
          <t>Total Won</t>
        </is>
      </c>
      <c r="B4" s="34" t="n">
        <v>12874010000</v>
      </c>
      <c r="C4" s="34" t="n">
        <v>3380170000</v>
      </c>
      <c r="D4" s="34" t="n">
        <v>492420000</v>
      </c>
      <c r="E4" s="34" t="n">
        <v>1159310000</v>
      </c>
      <c r="F4" s="34" t="n">
        <v>2786000000</v>
      </c>
      <c r="G4" s="34" t="n">
        <v>11906740000</v>
      </c>
      <c r="H4" s="34" t="n">
        <v>33896350000</v>
      </c>
      <c r="I4" s="34" t="n">
        <v>69021980000</v>
      </c>
      <c r="J4" s="34" t="n">
        <v>61047950000</v>
      </c>
      <c r="K4" s="7" t="n"/>
      <c r="L4" s="32" t="n">
        <v>70</v>
      </c>
      <c r="N4" s="11" t="n">
        <v>92</v>
      </c>
      <c r="O4" s="12" t="n">
        <v>92</v>
      </c>
      <c r="P4" s="11" t="n">
        <v>92</v>
      </c>
      <c r="Q4" s="12" t="n">
        <v>92</v>
      </c>
      <c r="R4" s="11" t="n">
        <v>92</v>
      </c>
      <c r="T4" s="13" t="n">
        <v>81</v>
      </c>
      <c r="U4" s="12" t="n">
        <v>81</v>
      </c>
      <c r="V4" s="13" t="n">
        <v>81</v>
      </c>
      <c r="W4" s="12" t="n">
        <v>81</v>
      </c>
      <c r="X4" s="13" t="n">
        <v>81</v>
      </c>
      <c r="Z4" s="13" t="n">
        <v>69</v>
      </c>
      <c r="AA4" s="12" t="n">
        <v>69</v>
      </c>
      <c r="AB4" s="13" t="n">
        <v>69</v>
      </c>
      <c r="AC4" s="12" t="n">
        <v>69</v>
      </c>
      <c r="AD4" s="13" t="n">
        <v>69</v>
      </c>
      <c r="AF4" s="13" t="n">
        <v>57</v>
      </c>
      <c r="AG4" s="12" t="n">
        <v>57</v>
      </c>
      <c r="AH4" s="13" t="n">
        <v>57</v>
      </c>
      <c r="AI4" s="12" t="n">
        <v>57</v>
      </c>
      <c r="AJ4" s="13" t="n">
        <v>57</v>
      </c>
      <c r="AM4" s="0" t="inlineStr">
        <is>
          <t>Line Prize Won: 1.49M (Stage : 4) - 1490000</t>
        </is>
      </c>
      <c r="AO4" s="0" t="inlineStr">
        <is>
          <t>Bingo/Made</t>
        </is>
      </c>
      <c r="AP4" s="0">
        <f>AP1/AP2</f>
        <v/>
      </c>
      <c r="AR4" s="0" t="inlineStr">
        <is>
          <t>Line Prize Won: 1.56M (Stage : 6) - 1560000</t>
        </is>
      </c>
      <c r="AT4" s="0" t="inlineStr">
        <is>
          <t>Bingo/Made</t>
        </is>
      </c>
      <c r="AU4" s="0">
        <f>AU1/AU2</f>
        <v/>
      </c>
    </row>
    <row r="5">
      <c r="A5" s="0" t="inlineStr">
        <is>
          <t>Players</t>
        </is>
      </c>
      <c r="B5" s="0" t="n">
        <v>1000</v>
      </c>
      <c r="C5" s="0" t="n">
        <v>1000</v>
      </c>
      <c r="D5" s="0" t="n">
        <v>1000</v>
      </c>
      <c r="E5" s="0" t="n">
        <v>1000</v>
      </c>
      <c r="F5" s="0" t="n">
        <v>1000</v>
      </c>
      <c r="G5" s="0" t="n">
        <v>1000</v>
      </c>
      <c r="H5" s="0" t="n">
        <v>1000</v>
      </c>
      <c r="I5" s="0" t="n">
        <v>1000</v>
      </c>
      <c r="J5" s="0" t="n">
        <v>1000</v>
      </c>
      <c r="L5" s="32" t="n">
        <v>60</v>
      </c>
      <c r="N5" s="11" t="n">
        <v>92</v>
      </c>
      <c r="O5" s="11" t="n">
        <v>92</v>
      </c>
      <c r="P5" s="10" t="n"/>
      <c r="Q5" s="11" t="n">
        <v>92</v>
      </c>
      <c r="R5" s="11" t="n">
        <v>92</v>
      </c>
      <c r="T5" s="13" t="n">
        <v>81</v>
      </c>
      <c r="U5" s="13" t="n">
        <v>81</v>
      </c>
      <c r="V5" s="14" t="n"/>
      <c r="W5" s="13" t="n">
        <v>81</v>
      </c>
      <c r="X5" s="13" t="n">
        <v>81</v>
      </c>
      <c r="Z5" s="13" t="n">
        <v>69</v>
      </c>
      <c r="AA5" s="13" t="n">
        <v>69</v>
      </c>
      <c r="AB5" s="14" t="n"/>
      <c r="AC5" s="13" t="n">
        <v>69</v>
      </c>
      <c r="AD5" s="13" t="n">
        <v>69</v>
      </c>
      <c r="AF5" s="13" t="n">
        <v>57</v>
      </c>
      <c r="AG5" s="13" t="n">
        <v>57</v>
      </c>
      <c r="AH5" s="14" t="n"/>
      <c r="AI5" s="13" t="n">
        <v>57</v>
      </c>
      <c r="AJ5" s="13" t="n">
        <v>57</v>
      </c>
      <c r="AM5" s="0" t="inlineStr">
        <is>
          <t>Line Prize Won: 2.07M (Stage : 4) - 2070000</t>
        </is>
      </c>
      <c r="AO5" s="0" t="inlineStr">
        <is>
          <t>(Stage : 1)</t>
        </is>
      </c>
      <c r="AP5" s="0">
        <f>ROUND(COUNTIF(AM:AM,"*(Stage : 1)*")/2,0)</f>
        <v/>
      </c>
      <c r="AR5" s="0" t="inlineStr">
        <is>
          <t>Line Prize Won: 230.00K (Stage : 1) - 230000</t>
        </is>
      </c>
      <c r="AT5" s="0" t="inlineStr">
        <is>
          <t>(Stage : 1)</t>
        </is>
      </c>
      <c r="AU5" s="0">
        <f>ROUND(COUNTIF(AR:AR,"*(Stage : 1)*")/2,0)</f>
        <v/>
      </c>
    </row>
    <row r="6">
      <c r="A6" s="0" t="inlineStr">
        <is>
          <t>Days</t>
        </is>
      </c>
      <c r="B6" s="0">
        <f>B2/300</f>
        <v/>
      </c>
      <c r="C6" s="0">
        <f>C2/300</f>
        <v/>
      </c>
      <c r="D6" s="0">
        <f>D2/160</f>
        <v/>
      </c>
      <c r="E6" s="0">
        <f>E2/160</f>
        <v/>
      </c>
      <c r="F6" s="0">
        <f>F2/157</f>
        <v/>
      </c>
      <c r="G6" s="0">
        <f>G2/264</f>
        <v/>
      </c>
      <c r="H6" s="0">
        <f>H2/490</f>
        <v/>
      </c>
      <c r="I6" s="0">
        <f>I2/826</f>
        <v/>
      </c>
      <c r="J6" s="0">
        <f>J2/877</f>
        <v/>
      </c>
      <c r="L6" s="32" t="n">
        <v>50</v>
      </c>
      <c r="N6" s="11" t="n">
        <v>92</v>
      </c>
      <c r="O6" s="12" t="n">
        <v>92</v>
      </c>
      <c r="P6" s="11" t="n">
        <v>92</v>
      </c>
      <c r="Q6" s="12" t="n">
        <v>92</v>
      </c>
      <c r="R6" s="11" t="n">
        <v>92</v>
      </c>
      <c r="T6" s="13" t="n">
        <v>81</v>
      </c>
      <c r="U6" s="12" t="n">
        <v>81</v>
      </c>
      <c r="V6" s="13" t="n">
        <v>81</v>
      </c>
      <c r="W6" s="12" t="n">
        <v>81</v>
      </c>
      <c r="X6" s="13" t="n">
        <v>81</v>
      </c>
      <c r="Z6" s="13" t="n">
        <v>69</v>
      </c>
      <c r="AA6" s="12" t="n">
        <v>69</v>
      </c>
      <c r="AB6" s="13" t="n">
        <v>69</v>
      </c>
      <c r="AC6" s="12" t="n">
        <v>69</v>
      </c>
      <c r="AD6" s="13" t="n">
        <v>69</v>
      </c>
      <c r="AF6" s="13" t="n">
        <v>57</v>
      </c>
      <c r="AG6" s="12" t="n">
        <v>57</v>
      </c>
      <c r="AH6" s="13" t="n">
        <v>57</v>
      </c>
      <c r="AI6" s="12" t="n">
        <v>57</v>
      </c>
      <c r="AJ6" s="13" t="n">
        <v>57</v>
      </c>
      <c r="AM6" s="0" t="inlineStr">
        <is>
          <t>Line Prize Won: 2.15M (Stage : 5) - 2150000</t>
        </is>
      </c>
      <c r="AO6" s="0" t="inlineStr">
        <is>
          <t>(Stage : 2)</t>
        </is>
      </c>
      <c r="AP6" s="0">
        <f>ROUND(COUNTIF(AM:AM,"*(Stage : 2)*")/2,0)</f>
        <v/>
      </c>
      <c r="AR6" s="0" t="inlineStr">
        <is>
          <t>Line Prize Won: 3.65M (Stage : 5) - 3650000</t>
        </is>
      </c>
      <c r="AT6" s="0" t="inlineStr">
        <is>
          <t>(Stage : 2)</t>
        </is>
      </c>
      <c r="AU6" s="0">
        <f>ROUND(COUNTIF(AR:AR,"*(Stage : 2)*")/2,0)</f>
        <v/>
      </c>
    </row>
    <row r="7">
      <c r="B7" s="2">
        <f>B3/B5</f>
        <v/>
      </c>
      <c r="C7" s="2">
        <f>C3/C5</f>
        <v/>
      </c>
      <c r="D7" s="2">
        <f>D3/D5</f>
        <v/>
      </c>
      <c r="E7" s="2">
        <f>E3/E5</f>
        <v/>
      </c>
      <c r="F7" s="2">
        <f>F3/F5</f>
        <v/>
      </c>
      <c r="G7" s="2">
        <f>G3/G5</f>
        <v/>
      </c>
      <c r="H7" s="2">
        <f>H3/H5</f>
        <v/>
      </c>
      <c r="I7" s="2">
        <f>I3/I5</f>
        <v/>
      </c>
      <c r="J7" s="2">
        <f>J3/J5</f>
        <v/>
      </c>
      <c r="K7" s="2" t="n"/>
      <c r="L7" s="32" t="n">
        <v>40</v>
      </c>
      <c r="N7" s="12" t="n">
        <v>92</v>
      </c>
      <c r="O7" s="11" t="n">
        <v>92</v>
      </c>
      <c r="P7" s="11" t="n">
        <v>92</v>
      </c>
      <c r="Q7" s="11" t="n">
        <v>92</v>
      </c>
      <c r="R7" s="12" t="n">
        <v>92</v>
      </c>
      <c r="T7" s="12" t="n">
        <v>81</v>
      </c>
      <c r="U7" s="13" t="n">
        <v>81</v>
      </c>
      <c r="V7" s="13" t="n">
        <v>81</v>
      </c>
      <c r="W7" s="13" t="n">
        <v>81</v>
      </c>
      <c r="X7" s="12" t="n">
        <v>81</v>
      </c>
      <c r="Z7" s="12" t="n">
        <v>69</v>
      </c>
      <c r="AA7" s="13" t="n">
        <v>69</v>
      </c>
      <c r="AB7" s="13" t="n">
        <v>69</v>
      </c>
      <c r="AC7" s="13" t="n">
        <v>69</v>
      </c>
      <c r="AD7" s="12" t="n">
        <v>69</v>
      </c>
      <c r="AF7" s="12" t="n">
        <v>57</v>
      </c>
      <c r="AG7" s="13" t="n">
        <v>57</v>
      </c>
      <c r="AH7" s="13" t="n">
        <v>57</v>
      </c>
      <c r="AI7" s="13" t="n">
        <v>57</v>
      </c>
      <c r="AJ7" s="12" t="n">
        <v>57</v>
      </c>
      <c r="AM7" s="0" t="inlineStr">
        <is>
          <t>Line Prize Won: 2.76M (Stage : 6) - 2760000</t>
        </is>
      </c>
      <c r="AO7" s="0" t="inlineStr">
        <is>
          <t>(Stage : 3)</t>
        </is>
      </c>
      <c r="AP7" s="0">
        <f>ROUND(COUNTIF(AM:AM,"*(Stage : 3)*")/2,0)</f>
        <v/>
      </c>
      <c r="AR7" s="0" t="inlineStr">
        <is>
          <t>Line Prize Won: 690.00K (Stage : 4) - 690000</t>
        </is>
      </c>
      <c r="AT7" s="0" t="inlineStr">
        <is>
          <t>(Stage : 3)</t>
        </is>
      </c>
      <c r="AU7" s="0">
        <f>ROUND(COUNTIF(AR:AR,"*(Stage : 3)*")/2,0)</f>
        <v/>
      </c>
    </row>
    <row r="8">
      <c r="A8" s="0" t="inlineStr">
        <is>
          <t>Daily Gain</t>
        </is>
      </c>
      <c r="B8" s="33">
        <f>B6/B4</f>
        <v/>
      </c>
      <c r="C8" s="33">
        <f>C6/C4</f>
        <v/>
      </c>
      <c r="D8" s="33">
        <f>D6/D4</f>
        <v/>
      </c>
      <c r="E8" s="33">
        <f>E6/E4</f>
        <v/>
      </c>
      <c r="F8" s="33">
        <f>F6/F4</f>
        <v/>
      </c>
      <c r="G8" s="33">
        <f>G6/G4</f>
        <v/>
      </c>
      <c r="H8" s="33">
        <f>H6/H4</f>
        <v/>
      </c>
      <c r="I8" s="33">
        <f>I6/I4</f>
        <v/>
      </c>
      <c r="J8" s="33">
        <f>J6/J4</f>
        <v/>
      </c>
      <c r="K8" s="2" t="n"/>
      <c r="L8" s="32" t="n">
        <v>30</v>
      </c>
      <c r="Q8" s="204" t="n"/>
      <c r="R8" s="204" t="n"/>
      <c r="W8" s="205" t="n"/>
      <c r="X8" s="205" t="n"/>
      <c r="AC8" s="205" t="n"/>
      <c r="AD8" s="205" t="n"/>
      <c r="AI8" s="205" t="n"/>
      <c r="AJ8" s="205" t="n"/>
      <c r="AM8" s="0" t="inlineStr">
        <is>
          <t>Line Prize Won: 2.87M (Stage : 7) - 2870000</t>
        </is>
      </c>
      <c r="AO8" s="0" t="inlineStr">
        <is>
          <t>(Stage : 4)</t>
        </is>
      </c>
      <c r="AP8" s="0">
        <f>ROUND(COUNTIF(AM:AM,"*(Stage : 4)*")/2,0)</f>
        <v/>
      </c>
      <c r="AR8" s="0" t="inlineStr">
        <is>
          <t>Line Prize Won: 760.00K (Stage : 2) - 760000</t>
        </is>
      </c>
      <c r="AT8" s="0" t="inlineStr">
        <is>
          <t>(Stage : 4)</t>
        </is>
      </c>
      <c r="AU8" s="0">
        <f>ROUND(COUNTIF(AR:AR,"*(Stage : 4)*")/2,0)</f>
        <v/>
      </c>
    </row>
    <row r="9">
      <c r="A9" s="0" t="inlineStr">
        <is>
          <t>Min Bet</t>
        </is>
      </c>
      <c r="D9" s="0" t="n">
        <v>50000</v>
      </c>
      <c r="E9" s="0" t="n">
        <v>100000</v>
      </c>
      <c r="F9" s="0" t="n">
        <v>150000</v>
      </c>
      <c r="G9" s="0" t="n">
        <v>150000</v>
      </c>
      <c r="H9" s="0" t="n">
        <v>250000</v>
      </c>
      <c r="I9" s="0" t="n">
        <v>333333</v>
      </c>
      <c r="J9" s="0" t="n">
        <v>7500000</v>
      </c>
      <c r="K9" s="2" t="n"/>
      <c r="L9" s="32" t="n">
        <v>20</v>
      </c>
      <c r="N9" s="31" t="inlineStr">
        <is>
          <t>Level5</t>
        </is>
      </c>
      <c r="O9" s="31" t="n"/>
      <c r="P9" s="31" t="n"/>
      <c r="Q9" s="31" t="n"/>
      <c r="R9" s="31" t="n"/>
      <c r="T9" s="31" t="inlineStr">
        <is>
          <t>Level6</t>
        </is>
      </c>
      <c r="U9" s="31" t="n"/>
      <c r="V9" s="31" t="n"/>
      <c r="W9" s="31" t="n"/>
      <c r="X9" s="31" t="n"/>
      <c r="Z9" s="31" t="inlineStr">
        <is>
          <t>Level7</t>
        </is>
      </c>
      <c r="AA9" s="31" t="n"/>
      <c r="AB9" s="31" t="n"/>
      <c r="AC9" s="31" t="n"/>
      <c r="AD9" s="31" t="n"/>
      <c r="AF9" s="31" t="inlineStr">
        <is>
          <t>Level8</t>
        </is>
      </c>
      <c r="AG9" s="31" t="n"/>
      <c r="AH9" s="31" t="n"/>
      <c r="AI9" s="31" t="n"/>
      <c r="AJ9" s="31" t="n"/>
      <c r="AM9" s="0" t="inlineStr">
        <is>
          <t>Line Prize Won: 230.00K (Stage : 1) - 230000</t>
        </is>
      </c>
      <c r="AO9" s="0" t="inlineStr">
        <is>
          <t>(Stage : 5)</t>
        </is>
      </c>
      <c r="AP9" s="0">
        <f>ROUND(COUNTIF(AM:AM,"*(Stage : 5)*")/2,0)</f>
        <v/>
      </c>
      <c r="AR9" s="0" t="inlineStr">
        <is>
          <t>Line Prize Won: 820.00K (Stage : 2) - 820000</t>
        </is>
      </c>
      <c r="AT9" s="0" t="inlineStr">
        <is>
          <t>(Stage : 5)</t>
        </is>
      </c>
      <c r="AU9" s="0">
        <f>ROUND(COUNTIF(AR:AR,"*(Stage : 5)*")/2,0)</f>
        <v/>
      </c>
    </row>
    <row r="10">
      <c r="A10" s="0" t="inlineStr">
        <is>
          <t>per RTP</t>
        </is>
      </c>
      <c r="D10" s="35">
        <f>D10/D8</f>
        <v/>
      </c>
      <c r="E10" s="35">
        <f>E10/E8</f>
        <v/>
      </c>
      <c r="F10" s="35">
        <f>F10/F8</f>
        <v/>
      </c>
      <c r="G10" s="35">
        <f>G10/G8</f>
        <v/>
      </c>
      <c r="H10" s="35">
        <f>H10/H8</f>
        <v/>
      </c>
      <c r="I10" s="35">
        <f>I10/I8</f>
        <v/>
      </c>
      <c r="J10" s="35">
        <f>J10/J8</f>
        <v/>
      </c>
      <c r="K10" s="2" t="n"/>
      <c r="L10" s="32" t="n">
        <v>10</v>
      </c>
      <c r="N10" s="22" t="n">
        <v>46</v>
      </c>
      <c r="O10" s="23" t="n">
        <v>46</v>
      </c>
      <c r="P10" s="13" t="n">
        <v>46</v>
      </c>
      <c r="Q10" s="13" t="n">
        <v>46</v>
      </c>
      <c r="R10" s="12" t="n">
        <v>46</v>
      </c>
      <c r="T10" s="22" t="n">
        <v>34</v>
      </c>
      <c r="U10" s="23" t="n">
        <v>34</v>
      </c>
      <c r="V10" s="13" t="n">
        <v>34</v>
      </c>
      <c r="W10" s="13" t="n">
        <v>34</v>
      </c>
      <c r="X10" s="12" t="n">
        <v>34</v>
      </c>
      <c r="Z10" s="22" t="n">
        <v>23</v>
      </c>
      <c r="AA10" s="13" t="n">
        <v>23</v>
      </c>
      <c r="AB10" s="13" t="n">
        <v>23</v>
      </c>
      <c r="AC10" s="13" t="n">
        <v>23</v>
      </c>
      <c r="AD10" s="12" t="n">
        <v>23</v>
      </c>
      <c r="AF10" s="22" t="n">
        <v>11</v>
      </c>
      <c r="AG10" s="13" t="n">
        <v>11</v>
      </c>
      <c r="AH10" s="13" t="n">
        <v>11</v>
      </c>
      <c r="AI10" s="13" t="n">
        <v>11</v>
      </c>
      <c r="AJ10" s="12" t="n">
        <v>11</v>
      </c>
      <c r="AM10" s="0" t="inlineStr">
        <is>
          <t>Line Prize Won: 260.00K (Stage : 1) - 260000</t>
        </is>
      </c>
      <c r="AO10" s="0" t="inlineStr">
        <is>
          <t>(Stage : 6)</t>
        </is>
      </c>
      <c r="AP10" s="0">
        <f>ROUND(COUNTIF(AM:AM,"*(Stage : 6)*")/2,0)</f>
        <v/>
      </c>
      <c r="AR10" s="0" t="inlineStr">
        <is>
          <t>Line Prize Won: 960.00K (Stage : 1) - 960000</t>
        </is>
      </c>
      <c r="AT10" s="0" t="inlineStr">
        <is>
          <t>(Stage : 6)</t>
        </is>
      </c>
      <c r="AU10" s="0">
        <f>ROUND(COUNTIF(AR:AR,"*(Stage : 6)*")/2,0)</f>
        <v/>
      </c>
    </row>
    <row r="11">
      <c r="A11" s="0" t="inlineStr">
        <is>
          <t>Per Spin</t>
        </is>
      </c>
      <c r="B11" s="2">
        <f>B3/(B2*B4)</f>
        <v/>
      </c>
      <c r="C11" s="2">
        <f>C3/(C2*C4)</f>
        <v/>
      </c>
      <c r="D11" s="2">
        <f>D3/(D2*D4)</f>
        <v/>
      </c>
      <c r="E11" s="2">
        <f>E3/(E2*E4)</f>
        <v/>
      </c>
      <c r="F11" s="2">
        <f>F3/(F2*F4)</f>
        <v/>
      </c>
      <c r="G11" s="2">
        <f>G3/(G2*G4)</f>
        <v/>
      </c>
      <c r="H11" s="2">
        <f>H3/(H2*H4)</f>
        <v/>
      </c>
      <c r="I11" s="2">
        <f>I3/(I2*I4)</f>
        <v/>
      </c>
      <c r="J11" s="2">
        <f>J3/(J2*J4)</f>
        <v/>
      </c>
      <c r="K11" s="8" t="n"/>
      <c r="L11" s="25">
        <f>SUM(L2:L9)</f>
        <v/>
      </c>
      <c r="N11" s="13" t="n">
        <v>46</v>
      </c>
      <c r="O11" s="12" t="n">
        <v>46</v>
      </c>
      <c r="P11" s="13" t="n">
        <v>46</v>
      </c>
      <c r="Q11" s="12" t="n">
        <v>46</v>
      </c>
      <c r="R11" s="13" t="n">
        <v>46</v>
      </c>
      <c r="T11" s="13" t="n">
        <v>34</v>
      </c>
      <c r="U11" s="12" t="n">
        <v>34</v>
      </c>
      <c r="V11" s="13" t="n">
        <v>34</v>
      </c>
      <c r="W11" s="12" t="n">
        <v>34</v>
      </c>
      <c r="X11" s="13" t="n">
        <v>34</v>
      </c>
      <c r="Z11" s="13" t="n">
        <v>23</v>
      </c>
      <c r="AA11" s="12" t="n">
        <v>23</v>
      </c>
      <c r="AB11" s="13" t="n">
        <v>23</v>
      </c>
      <c r="AC11" s="12" t="n">
        <v>23</v>
      </c>
      <c r="AD11" s="13" t="n">
        <v>23</v>
      </c>
      <c r="AF11" s="13" t="n">
        <v>11</v>
      </c>
      <c r="AG11" s="12" t="n">
        <v>11</v>
      </c>
      <c r="AH11" s="13" t="n">
        <v>11</v>
      </c>
      <c r="AI11" s="12" t="n">
        <v>11</v>
      </c>
      <c r="AJ11" s="13" t="n">
        <v>11</v>
      </c>
      <c r="AM11" s="0" t="inlineStr">
        <is>
          <t>Line Prize Won: 380.00K (Stage : 2) - 380000</t>
        </is>
      </c>
      <c r="AO11" s="0" t="inlineStr">
        <is>
          <t>(Stage : 7)</t>
        </is>
      </c>
      <c r="AP11" s="0">
        <f>ROUND(COUNTIF(AM:AM,"*(Stage : 7)*")/2,0)</f>
        <v/>
      </c>
      <c r="AR11" s="0" t="inlineStr">
        <is>
          <t>New Item Acquired: 100.00K (1, 1)</t>
        </is>
      </c>
      <c r="AT11" s="0" t="inlineStr">
        <is>
          <t>(Stage : 7)</t>
        </is>
      </c>
      <c r="AU11" s="0">
        <f>ROUND(COUNTIF(AR:AR,"*(Stage : 7)*")/2,0)</f>
        <v/>
      </c>
    </row>
    <row r="12">
      <c r="B12" s="2">
        <f>B3/B4</f>
        <v/>
      </c>
      <c r="C12" s="2">
        <f>C3/C4</f>
        <v/>
      </c>
      <c r="D12" s="2">
        <f>D3/D4</f>
        <v/>
      </c>
      <c r="E12" s="2">
        <f>E3/E4</f>
        <v/>
      </c>
      <c r="F12" s="2">
        <f>F3/F4</f>
        <v/>
      </c>
      <c r="G12" s="2">
        <f>G3/G4</f>
        <v/>
      </c>
      <c r="H12" s="2">
        <f>H3/H4</f>
        <v/>
      </c>
      <c r="I12" s="2">
        <f>I3/I4</f>
        <v/>
      </c>
      <c r="J12" s="2">
        <f>J3/J4</f>
        <v/>
      </c>
      <c r="N12" s="13" t="n">
        <v>46</v>
      </c>
      <c r="O12" s="13" t="n">
        <v>46</v>
      </c>
      <c r="P12" s="14" t="n"/>
      <c r="Q12" s="13" t="n">
        <v>46</v>
      </c>
      <c r="R12" s="13" t="n">
        <v>46</v>
      </c>
      <c r="T12" s="13" t="n">
        <v>34</v>
      </c>
      <c r="U12" s="13" t="n">
        <v>34</v>
      </c>
      <c r="V12" s="14" t="n"/>
      <c r="W12" s="13" t="n">
        <v>34</v>
      </c>
      <c r="X12" s="13" t="n">
        <v>34</v>
      </c>
      <c r="Z12" s="13" t="n">
        <v>23</v>
      </c>
      <c r="AA12" s="13" t="n">
        <v>23</v>
      </c>
      <c r="AB12" s="14" t="n"/>
      <c r="AC12" s="13" t="n">
        <v>23</v>
      </c>
      <c r="AD12" s="13" t="n">
        <v>23</v>
      </c>
      <c r="AF12" s="13" t="n">
        <v>11</v>
      </c>
      <c r="AG12" s="13" t="n">
        <v>11</v>
      </c>
      <c r="AH12" s="14" t="n"/>
      <c r="AI12" s="13" t="n">
        <v>11</v>
      </c>
      <c r="AJ12" s="13" t="n">
        <v>11</v>
      </c>
      <c r="AM12" s="0" t="inlineStr">
        <is>
          <t>Line Prize Won: 510.00K (Stage : 3) - 510000</t>
        </is>
      </c>
      <c r="AO12" s="0" t="inlineStr">
        <is>
          <t>(Stage : 8)</t>
        </is>
      </c>
      <c r="AP12" s="0">
        <f>ROUND(COUNTIF(AM:AM,"*(Stage : 8)*")/2,0)</f>
        <v/>
      </c>
      <c r="AR12" s="0" t="inlineStr">
        <is>
          <t>New Item Acquired: 100.00K (1, 10)</t>
        </is>
      </c>
      <c r="AT12" s="0" t="inlineStr">
        <is>
          <t>(Stage : 8)</t>
        </is>
      </c>
      <c r="AU12" s="0">
        <f>ROUND(COUNTIF(AR:AR,"*(Stage : 8)*")/2,0)</f>
        <v/>
      </c>
    </row>
    <row r="13" ht="18.75" customHeight="1" s="161">
      <c r="D13" s="8">
        <f>'Control Panel'!C8</f>
        <v/>
      </c>
      <c r="E13" s="8">
        <f>'Control Panel'!D8</f>
        <v/>
      </c>
      <c r="F13" s="8">
        <f>'Control Panel'!E8</f>
        <v/>
      </c>
      <c r="G13" s="8">
        <f>'Control Panel'!F8</f>
        <v/>
      </c>
      <c r="H13" s="8">
        <f>'Control Panel'!G8</f>
        <v/>
      </c>
      <c r="I13" s="8">
        <f>'Control Panel'!H8</f>
        <v/>
      </c>
      <c r="J13" s="8">
        <f>'Control Panel'!I8</f>
        <v/>
      </c>
      <c r="N13" s="13" t="n">
        <v>46</v>
      </c>
      <c r="O13" s="12" t="n">
        <v>46</v>
      </c>
      <c r="P13" s="13" t="n">
        <v>46</v>
      </c>
      <c r="Q13" s="12" t="n">
        <v>46</v>
      </c>
      <c r="R13" s="13" t="n">
        <v>46</v>
      </c>
      <c r="T13" s="13" t="n">
        <v>34</v>
      </c>
      <c r="U13" s="12" t="n">
        <v>34</v>
      </c>
      <c r="V13" s="13" t="n">
        <v>34</v>
      </c>
      <c r="W13" s="12" t="n">
        <v>34</v>
      </c>
      <c r="X13" s="13" t="n">
        <v>34</v>
      </c>
      <c r="Z13" s="13" t="n">
        <v>23</v>
      </c>
      <c r="AA13" s="12" t="n">
        <v>23</v>
      </c>
      <c r="AB13" s="13" t="n">
        <v>23</v>
      </c>
      <c r="AC13" s="12" t="n">
        <v>23</v>
      </c>
      <c r="AD13" s="13" t="n">
        <v>23</v>
      </c>
      <c r="AF13" s="13" t="n">
        <v>11</v>
      </c>
      <c r="AG13" s="12" t="n">
        <v>11</v>
      </c>
      <c r="AH13" s="13" t="n">
        <v>11</v>
      </c>
      <c r="AI13" s="12" t="n">
        <v>11</v>
      </c>
      <c r="AJ13" s="13" t="n">
        <v>11</v>
      </c>
      <c r="AM13" s="0" t="inlineStr">
        <is>
          <t>New Item Acquired: 100.00K (1, 11)</t>
        </is>
      </c>
      <c r="AR13" s="0" t="inlineStr">
        <is>
          <t>New Item Acquired: 100.00K (1, 12)</t>
        </is>
      </c>
    </row>
    <row r="14">
      <c r="D14" s="2" t="n"/>
      <c r="E14" s="0">
        <f>E2/D2</f>
        <v/>
      </c>
      <c r="F14" s="0">
        <f>F2/D2</f>
        <v/>
      </c>
      <c r="G14" s="2">
        <f>G2/D2</f>
        <v/>
      </c>
      <c r="H14" s="7">
        <f>H2/D2</f>
        <v/>
      </c>
      <c r="I14" s="0">
        <f>I2/D2</f>
        <v/>
      </c>
      <c r="J14" s="0">
        <f>J2/D2</f>
        <v/>
      </c>
      <c r="K14" s="25" t="n"/>
      <c r="L14" s="25" t="n"/>
      <c r="N14" s="12" t="n">
        <v>46</v>
      </c>
      <c r="O14" s="13" t="n">
        <v>46</v>
      </c>
      <c r="P14" s="13" t="n">
        <v>46</v>
      </c>
      <c r="Q14" s="13" t="n">
        <v>46</v>
      </c>
      <c r="R14" s="12" t="n">
        <v>46</v>
      </c>
      <c r="T14" s="12" t="n">
        <v>34</v>
      </c>
      <c r="U14" s="13" t="n">
        <v>34</v>
      </c>
      <c r="V14" s="13" t="n">
        <v>34</v>
      </c>
      <c r="W14" s="13" t="n">
        <v>34</v>
      </c>
      <c r="X14" s="12" t="n">
        <v>34</v>
      </c>
      <c r="Z14" s="12" t="n">
        <v>23</v>
      </c>
      <c r="AA14" s="13" t="n">
        <v>23</v>
      </c>
      <c r="AB14" s="13" t="n">
        <v>23</v>
      </c>
      <c r="AC14" s="13" t="n">
        <v>23</v>
      </c>
      <c r="AD14" s="12" t="n">
        <v>23</v>
      </c>
      <c r="AF14" s="12" t="n">
        <v>11</v>
      </c>
      <c r="AG14" s="13" t="n">
        <v>11</v>
      </c>
      <c r="AH14" s="13" t="n">
        <v>11</v>
      </c>
      <c r="AI14" s="13" t="n">
        <v>11</v>
      </c>
      <c r="AJ14" s="12" t="n">
        <v>11</v>
      </c>
      <c r="AM14" s="0" t="inlineStr">
        <is>
          <t>New Item Acquired: 100.00K (1, 21)</t>
        </is>
      </c>
      <c r="AR14" s="0" t="inlineStr">
        <is>
          <t>New Item Acquired: 100.00K (1, 15)</t>
        </is>
      </c>
    </row>
    <row r="15">
      <c r="E15" s="0">
        <f>E7/D7</f>
        <v/>
      </c>
      <c r="F15" s="0">
        <f>F7/D7</f>
        <v/>
      </c>
      <c r="G15" s="0">
        <f>G7/D7</f>
        <v/>
      </c>
      <c r="H15" s="0">
        <f>H7/D7</f>
        <v/>
      </c>
      <c r="I15" s="0">
        <f>I7/D7</f>
        <v/>
      </c>
      <c r="J15" s="0">
        <f>J7/D7</f>
        <v/>
      </c>
      <c r="AM15" s="0" t="inlineStr">
        <is>
          <t>New Item Acquired: 100.00K (1, 24)</t>
        </is>
      </c>
      <c r="AR15" s="0" t="inlineStr">
        <is>
          <t>New Item Acquired: 100.00K (1, 25)</t>
        </is>
      </c>
    </row>
    <row r="16">
      <c r="E16" s="25">
        <f>E14/E13</f>
        <v/>
      </c>
      <c r="F16" s="25">
        <f>F14/F13</f>
        <v/>
      </c>
      <c r="G16" s="25">
        <f>G14/G13</f>
        <v/>
      </c>
      <c r="H16" s="25">
        <f>H14/H13</f>
        <v/>
      </c>
      <c r="I16" s="25">
        <f>I14/I13</f>
        <v/>
      </c>
      <c r="J16" s="25">
        <f>J14/J13</f>
        <v/>
      </c>
      <c r="AM16" s="0" t="inlineStr">
        <is>
          <t>New Item Acquired: 100.00K (1, 25)</t>
        </is>
      </c>
      <c r="AR16" s="0" t="inlineStr">
        <is>
          <t>New Item Acquired: 100.00K (2, 15)</t>
        </is>
      </c>
    </row>
    <row r="17">
      <c r="G17" s="2" t="n"/>
      <c r="AM17" s="0" t="inlineStr">
        <is>
          <t>New Item Acquired: 100.00K (1, 5)</t>
        </is>
      </c>
      <c r="AR17" s="0" t="inlineStr">
        <is>
          <t>New Item Acquired: 100.00K (2, 18)</t>
        </is>
      </c>
    </row>
    <row r="18">
      <c r="F18" s="0" t="n">
        <v>16</v>
      </c>
      <c r="G18" s="2" t="n"/>
      <c r="AM18" s="0" t="inlineStr">
        <is>
          <t>New Item Acquired: 100.00K (1, 8)</t>
        </is>
      </c>
      <c r="AR18" s="0" t="inlineStr">
        <is>
          <t>New Item Acquired: 100.00K (2, 2)</t>
        </is>
      </c>
    </row>
    <row r="19">
      <c r="F19" s="2">
        <f>D11*D12+E11*E12+F11*F12+G11*G12+H11*H12+I11*I12+J11*J12</f>
        <v/>
      </c>
      <c r="G19" s="2" t="n"/>
      <c r="AM19" s="0" t="inlineStr">
        <is>
          <t>New Item Acquired: 100.00K (2, 10)</t>
        </is>
      </c>
      <c r="AR19" s="0" t="inlineStr">
        <is>
          <t>New Item Acquired: 100.00K (2, 21)</t>
        </is>
      </c>
    </row>
    <row r="20">
      <c r="F20" s="2">
        <f>F18/F17</f>
        <v/>
      </c>
      <c r="AM20" s="0" t="inlineStr">
        <is>
          <t>New Item Acquired: 100.00K (2, 14)</t>
        </is>
      </c>
      <c r="AR20" s="0" t="inlineStr">
        <is>
          <t>New Item Acquired: 100.00K (2, 22)</t>
        </is>
      </c>
    </row>
    <row r="21" ht="18.75" customHeight="1" s="161">
      <c r="AM21" s="0" t="inlineStr">
        <is>
          <t>New Item Acquired: 100.00K (2, 15)</t>
        </is>
      </c>
      <c r="AR21" s="0" t="inlineStr">
        <is>
          <t>New Item Acquired: 100.00K (2, 23)</t>
        </is>
      </c>
    </row>
    <row r="22">
      <c r="D22" s="9" t="n"/>
      <c r="AM22" s="0" t="inlineStr">
        <is>
          <t>New Item Acquired: 100.00K (2, 15)</t>
        </is>
      </c>
      <c r="AR22" s="0" t="inlineStr">
        <is>
          <t>New Item Acquired: 100.00K (2, 23)</t>
        </is>
      </c>
    </row>
    <row r="23" ht="18.75" customHeight="1" s="161">
      <c r="M23" s="2" t="n"/>
      <c r="AM23" s="0" t="inlineStr">
        <is>
          <t>New Item Acquired: 100.00K (2, 18)</t>
        </is>
      </c>
      <c r="AR23" s="0" t="inlineStr">
        <is>
          <t>New Item Acquired: 100.00K (2, 25)</t>
        </is>
      </c>
    </row>
    <row r="24">
      <c r="D24" s="2" t="n"/>
      <c r="E24" s="7" t="n"/>
      <c r="AM24" s="0" t="inlineStr">
        <is>
          <t>New Item Acquired: 100.00K (2, 20)</t>
        </is>
      </c>
      <c r="AR24" s="0" t="inlineStr">
        <is>
          <t>New Item Acquired: 100.00K (2, 25)</t>
        </is>
      </c>
    </row>
    <row r="25">
      <c r="AM25" s="0" t="inlineStr">
        <is>
          <t>New Item Acquired: 100.00K (2, 21)</t>
        </is>
      </c>
      <c r="AR25" s="0" t="inlineStr">
        <is>
          <t>New Item Acquired: 100.00K (2, 4)</t>
        </is>
      </c>
    </row>
    <row r="26">
      <c r="AM26" s="0" t="inlineStr">
        <is>
          <t>New Item Acquired: 100.00K (2, 3)</t>
        </is>
      </c>
      <c r="AR26" s="0" t="inlineStr">
        <is>
          <t>New Item Acquired: 100.00K (2, 6)</t>
        </is>
      </c>
    </row>
    <row r="27">
      <c r="H27" s="24" t="n"/>
      <c r="I27" s="24" t="n"/>
      <c r="AM27" s="0" t="inlineStr">
        <is>
          <t>New Item Acquired: 100.00K (2, 4)</t>
        </is>
      </c>
      <c r="AR27" s="0" t="inlineStr">
        <is>
          <t>New Item Acquired: 120.00K (4, 10)</t>
        </is>
      </c>
    </row>
    <row r="28">
      <c r="H28" s="2" t="n"/>
      <c r="I28" s="2" t="n"/>
      <c r="AM28" s="0" t="inlineStr">
        <is>
          <t>New Item Acquired: 100.00K (2, 7)</t>
        </is>
      </c>
      <c r="AR28" s="0" t="inlineStr">
        <is>
          <t>New Item Acquired: 120.00K (4, 11)</t>
        </is>
      </c>
    </row>
    <row r="29">
      <c r="AM29" s="0" t="inlineStr">
        <is>
          <t>New Item Acquired: 100.00K (2, 8)</t>
        </is>
      </c>
      <c r="AR29" s="0" t="inlineStr">
        <is>
          <t>New Item Acquired: 120.00K (4, 15)</t>
        </is>
      </c>
    </row>
    <row r="30">
      <c r="AM30" s="0" t="inlineStr">
        <is>
          <t>New Item Acquired: 120.00K (4, 1)</t>
        </is>
      </c>
      <c r="AR30" s="0" t="inlineStr">
        <is>
          <t>New Item Acquired: 120.00K (4, 16)</t>
        </is>
      </c>
    </row>
    <row r="31">
      <c r="AM31" s="0" t="inlineStr">
        <is>
          <t>New Item Acquired: 120.00K (4, 10)</t>
        </is>
      </c>
      <c r="AR31" s="0" t="inlineStr">
        <is>
          <t>New Item Acquired: 120.00K (4, 23)</t>
        </is>
      </c>
    </row>
    <row r="32">
      <c r="AM32" s="0" t="inlineStr">
        <is>
          <t>New Item Acquired: 120.00K (4, 16)</t>
        </is>
      </c>
      <c r="AR32" s="0" t="inlineStr">
        <is>
          <t>New Item Acquired: 120.00K (4, 24)</t>
        </is>
      </c>
    </row>
    <row r="33">
      <c r="AM33" s="0" t="inlineStr">
        <is>
          <t>New Item Acquired: 120.00K (4, 18)</t>
        </is>
      </c>
      <c r="AR33" s="0" t="inlineStr">
        <is>
          <t>New Item Acquired: 120.00K (4, 24)</t>
        </is>
      </c>
    </row>
    <row r="34">
      <c r="AM34" s="0" t="inlineStr">
        <is>
          <t>New Item Acquired: 120.00K (4, 19)</t>
        </is>
      </c>
      <c r="AR34" s="0" t="inlineStr">
        <is>
          <t>New Item Acquired: 120.00K (4, 25)</t>
        </is>
      </c>
    </row>
    <row r="35">
      <c r="AM35" s="0" t="inlineStr">
        <is>
          <t>New Item Acquired: 120.00K (4, 2)</t>
        </is>
      </c>
      <c r="AR35" s="0" t="inlineStr">
        <is>
          <t>New Item Acquired: 150.00K (3, 1)</t>
        </is>
      </c>
    </row>
    <row r="36">
      <c r="AM36" s="0" t="inlineStr">
        <is>
          <t>New Item Acquired: 120.00K (4, 2)</t>
        </is>
      </c>
      <c r="AR36" s="0" t="inlineStr">
        <is>
          <t>New Item Acquired: 150.00K (3, 14)</t>
        </is>
      </c>
    </row>
    <row r="37">
      <c r="AM37" s="0" t="inlineStr">
        <is>
          <t>New Item Acquired: 120.00K (4, 22)</t>
        </is>
      </c>
      <c r="AR37" s="0" t="inlineStr">
        <is>
          <t>New Item Acquired: 150.00K (3, 14)</t>
        </is>
      </c>
    </row>
    <row r="38">
      <c r="AM38" s="0" t="inlineStr">
        <is>
          <t>New Item Acquired: 120.00K (4, 6)</t>
        </is>
      </c>
      <c r="AR38" s="0" t="inlineStr">
        <is>
          <t>New Item Acquired: 150.00K (3, 16)</t>
        </is>
      </c>
    </row>
    <row r="39">
      <c r="AM39" s="0" t="inlineStr">
        <is>
          <t>New Item Acquired: 150.00K (3, 1)</t>
        </is>
      </c>
      <c r="AR39" s="0" t="inlineStr">
        <is>
          <t>New Item Acquired: 150.00K (3, 17)</t>
        </is>
      </c>
    </row>
    <row r="40">
      <c r="AM40" s="0" t="inlineStr">
        <is>
          <t>New Item Acquired: 150.00K (3, 12)</t>
        </is>
      </c>
      <c r="AR40" s="0" t="inlineStr">
        <is>
          <t>New Item Acquired: 150.00K (3, 18)</t>
        </is>
      </c>
    </row>
    <row r="41">
      <c r="AM41" s="0" t="inlineStr">
        <is>
          <t>New Item Acquired: 150.00K (3, 14)</t>
        </is>
      </c>
      <c r="AR41" s="0" t="inlineStr">
        <is>
          <t>New Item Acquired: 150.00K (3, 2)</t>
        </is>
      </c>
    </row>
    <row r="42">
      <c r="AM42" s="0" t="inlineStr">
        <is>
          <t>New Item Acquired: 150.00K (3, 16)</t>
        </is>
      </c>
      <c r="AR42" s="0" t="inlineStr">
        <is>
          <t>New Item Acquired: 150.00K (3, 22)</t>
        </is>
      </c>
    </row>
    <row r="43">
      <c r="AM43" s="0" t="inlineStr">
        <is>
          <t>New Item Acquired: 150.00K (3, 18)</t>
        </is>
      </c>
      <c r="AR43" s="0" t="inlineStr">
        <is>
          <t>New Item Acquired: 150.00K (3, 24)</t>
        </is>
      </c>
    </row>
    <row r="44">
      <c r="AM44" s="0" t="inlineStr">
        <is>
          <t>New Item Acquired: 150.00K (3, 19)</t>
        </is>
      </c>
      <c r="AR44" s="0" t="inlineStr">
        <is>
          <t>New Item Acquired: 150.00K (3, 3)</t>
        </is>
      </c>
    </row>
    <row r="45">
      <c r="AM45" s="0" t="inlineStr">
        <is>
          <t>New Item Acquired: 150.00K (3, 20)</t>
        </is>
      </c>
      <c r="AR45" s="0" t="inlineStr">
        <is>
          <t>New Item Acquired: 150.00K (3, 4)</t>
        </is>
      </c>
    </row>
    <row r="46">
      <c r="AM46" s="0" t="inlineStr">
        <is>
          <t>New Item Acquired: 150.00K (3, 23)</t>
        </is>
      </c>
      <c r="AR46" s="0" t="inlineStr">
        <is>
          <t>New Item Acquired: 150.00K (3, 5)</t>
        </is>
      </c>
    </row>
    <row r="47">
      <c r="AM47" s="0" t="inlineStr">
        <is>
          <t>New Item Acquired: 150.00K (3, 24)</t>
        </is>
      </c>
      <c r="AR47" s="0" t="inlineStr">
        <is>
          <t>New Item Acquired: 150.00K (3, 6)</t>
        </is>
      </c>
    </row>
    <row r="48">
      <c r="AM48" s="0" t="inlineStr">
        <is>
          <t>New Item Acquired: 150.00K (3, 4)</t>
        </is>
      </c>
      <c r="AR48" s="0" t="inlineStr">
        <is>
          <t>New Item Acquired: 150.00K (3, 6)</t>
        </is>
      </c>
    </row>
    <row r="49">
      <c r="AM49" s="0" t="inlineStr">
        <is>
          <t>New Item Acquired: 150.00K (3, 5)</t>
        </is>
      </c>
      <c r="AR49" s="0" t="inlineStr">
        <is>
          <t>New Item Acquired: 150.00K (4, 1)</t>
        </is>
      </c>
    </row>
    <row r="50">
      <c r="AM50" s="0" t="inlineStr">
        <is>
          <t>New Item Acquired: 150.00K (3, 7)</t>
        </is>
      </c>
      <c r="AR50" s="0" t="inlineStr">
        <is>
          <t>New Item Acquired: 150.00K (4, 1)</t>
        </is>
      </c>
    </row>
    <row r="51">
      <c r="AM51" s="0" t="inlineStr">
        <is>
          <t>New Item Acquired: 150.00K (4, 17)</t>
        </is>
      </c>
      <c r="AR51" s="0" t="inlineStr">
        <is>
          <t>New Item Acquired: 150.00K (4, 19)</t>
        </is>
      </c>
    </row>
    <row r="52">
      <c r="AM52" s="0" t="inlineStr">
        <is>
          <t>New Item Acquired: 150.00K (4, 17)</t>
        </is>
      </c>
      <c r="AR52" s="0" t="inlineStr">
        <is>
          <t>New Item Acquired: 150.00K (4, 21)</t>
        </is>
      </c>
    </row>
    <row r="53">
      <c r="AM53" s="0" t="inlineStr">
        <is>
          <t>New Item Acquired: 150.00K (4, 18)</t>
        </is>
      </c>
      <c r="AR53" s="0" t="inlineStr">
        <is>
          <t>New Item Acquired: 150.00K (4, 25)</t>
        </is>
      </c>
    </row>
    <row r="54">
      <c r="AM54" s="0" t="inlineStr">
        <is>
          <t>New Item Acquired: 150.00K (4, 19)</t>
        </is>
      </c>
      <c r="AR54" s="0" t="inlineStr">
        <is>
          <t>New Item Acquired: 150.00K (4, 5)</t>
        </is>
      </c>
    </row>
    <row r="55">
      <c r="AM55" s="0" t="inlineStr">
        <is>
          <t>New Item Acquired: 150.00K (4, 19)</t>
        </is>
      </c>
      <c r="AR55" s="0" t="inlineStr">
        <is>
          <t>New Item Acquired: 150.00K (4, 6)</t>
        </is>
      </c>
    </row>
    <row r="56">
      <c r="AM56" s="0" t="inlineStr">
        <is>
          <t>New Item Acquired: 150.00K (4, 21)</t>
        </is>
      </c>
      <c r="AR56" s="0" t="inlineStr">
        <is>
          <t>New Item Acquired: 150.00K (5, 10)</t>
        </is>
      </c>
    </row>
    <row r="57">
      <c r="AM57" s="0" t="inlineStr">
        <is>
          <t>New Item Acquired: 150.00K (4, 21)</t>
        </is>
      </c>
      <c r="AR57" s="0" t="inlineStr">
        <is>
          <t>New Item Acquired: 150.00K (5, 16)</t>
        </is>
      </c>
    </row>
    <row r="58">
      <c r="AM58" s="0" t="inlineStr">
        <is>
          <t>New Item Acquired: 150.00K (4, 23)</t>
        </is>
      </c>
      <c r="AR58" s="0" t="inlineStr">
        <is>
          <t>New Item Acquired: 150.00K (5, 2)</t>
        </is>
      </c>
    </row>
    <row r="59">
      <c r="AM59" s="0" t="inlineStr">
        <is>
          <t>New Item Acquired: 150.00K (4, 25)</t>
        </is>
      </c>
      <c r="AR59" s="0" t="inlineStr">
        <is>
          <t>New Item Acquired: 150.00K (5, 21)</t>
        </is>
      </c>
    </row>
    <row r="60">
      <c r="AM60" s="0" t="inlineStr">
        <is>
          <t>New Item Acquired: 150.00K (4, 3)</t>
        </is>
      </c>
      <c r="AR60" s="0" t="inlineStr">
        <is>
          <t>New Item Acquired: 150.00K (5, 23)</t>
        </is>
      </c>
    </row>
    <row r="61">
      <c r="AM61" s="0" t="inlineStr">
        <is>
          <t>New Item Acquired: 150.00K (5, 12)</t>
        </is>
      </c>
      <c r="AR61" s="0" t="inlineStr">
        <is>
          <t>New Item Acquired: 150.00K (5, 25)</t>
        </is>
      </c>
    </row>
    <row r="62">
      <c r="AM62" s="0" t="inlineStr">
        <is>
          <t>New Item Acquired: 150.00K (5, 15)</t>
        </is>
      </c>
      <c r="AR62" s="0" t="inlineStr">
        <is>
          <t>New Item Acquired: 150.00K (5, 4)</t>
        </is>
      </c>
    </row>
    <row r="63">
      <c r="AM63" s="0" t="inlineStr">
        <is>
          <t>New Item Acquired: 150.00K (5, 17)</t>
        </is>
      </c>
      <c r="AR63" s="0" t="inlineStr">
        <is>
          <t>New Item Acquired: 150.00K (5, 6)</t>
        </is>
      </c>
    </row>
    <row r="64">
      <c r="AM64" s="0" t="inlineStr">
        <is>
          <t>New Item Acquired: 150.00K (5, 18)</t>
        </is>
      </c>
      <c r="AR64" s="0" t="inlineStr">
        <is>
          <t>New Item Acquired: 180.00K (6, 1)</t>
        </is>
      </c>
    </row>
    <row r="65">
      <c r="AM65" s="0" t="inlineStr">
        <is>
          <t>New Item Acquired: 150.00K (5, 2)</t>
        </is>
      </c>
      <c r="AR65" s="0" t="inlineStr">
        <is>
          <t>New Item Acquired: 180.00K (6, 14)</t>
        </is>
      </c>
    </row>
    <row r="66">
      <c r="AM66" s="0" t="inlineStr">
        <is>
          <t>New Item Acquired: 150.00K (5, 24)</t>
        </is>
      </c>
      <c r="AR66" s="0" t="inlineStr">
        <is>
          <t>New Item Acquired: 180.00K (6, 15)</t>
        </is>
      </c>
    </row>
    <row r="67">
      <c r="AM67" s="0" t="inlineStr">
        <is>
          <t>New Item Acquired: 150.00K (5, 5)</t>
        </is>
      </c>
      <c r="AR67" s="0" t="inlineStr">
        <is>
          <t>New Item Acquired: 180.00K (6, 15)</t>
        </is>
      </c>
    </row>
    <row r="68">
      <c r="AM68" s="0" t="inlineStr">
        <is>
          <t>New Item Acquired: 150.00K (5, 7)</t>
        </is>
      </c>
      <c r="AR68" s="0" t="inlineStr">
        <is>
          <t>New Item Acquired: 180.00K (6, 17)</t>
        </is>
      </c>
    </row>
    <row r="69">
      <c r="AM69" s="0" t="inlineStr">
        <is>
          <t>New Item Acquired: 150.00K (5, 9)</t>
        </is>
      </c>
      <c r="AR69" s="0" t="inlineStr">
        <is>
          <t>New Item Acquired: 180.00K (6, 20)</t>
        </is>
      </c>
    </row>
    <row r="70">
      <c r="AM70" s="0" t="inlineStr">
        <is>
          <t>New Item Acquired: 180.00K (6, 20)</t>
        </is>
      </c>
      <c r="AR70" s="0" t="inlineStr">
        <is>
          <t>New Item Acquired: 180.00K (6, 21)</t>
        </is>
      </c>
    </row>
    <row r="71">
      <c r="AM71" s="0" t="inlineStr">
        <is>
          <t>New Item Acquired: 180.00K (6, 21)</t>
        </is>
      </c>
      <c r="AR71" s="0" t="inlineStr">
        <is>
          <t>New Item Acquired: 180.00K (6, 4)</t>
        </is>
      </c>
    </row>
    <row r="72">
      <c r="AM72" s="0" t="inlineStr">
        <is>
          <t>New Item Acquired: 180.00K (6, 5)</t>
        </is>
      </c>
      <c r="AR72" s="0" t="inlineStr">
        <is>
          <t>New Item Acquired: 180.00K (6, 9)</t>
        </is>
      </c>
    </row>
    <row r="73">
      <c r="AM73" s="0" t="inlineStr">
        <is>
          <t>New Item Acquired: 200.00K (2, 16)</t>
        </is>
      </c>
      <c r="AR73" s="0" t="inlineStr">
        <is>
          <t>New Item Acquired: 200.00K (2, 1)</t>
        </is>
      </c>
    </row>
    <row r="74">
      <c r="AM74" s="0" t="inlineStr">
        <is>
          <t>New Item Acquired: 200.00K (2, 22)</t>
        </is>
      </c>
      <c r="AR74" s="0" t="inlineStr">
        <is>
          <t>New Item Acquired: 200.00K (2, 11)</t>
        </is>
      </c>
    </row>
    <row r="75">
      <c r="AM75" s="0" t="inlineStr">
        <is>
          <t>New Item Acquired: 210.00K (7, 16)</t>
        </is>
      </c>
      <c r="AR75" s="0" t="inlineStr">
        <is>
          <t>New Item Acquired: 200.00K (2, 11)</t>
        </is>
      </c>
    </row>
    <row r="76">
      <c r="AM76" s="0" t="inlineStr">
        <is>
          <t>New Item Acquired: 210.00K (7, 19)</t>
        </is>
      </c>
      <c r="AR76" s="0" t="inlineStr">
        <is>
          <t>New Item Acquired: 200.00K (2, 17)</t>
        </is>
      </c>
    </row>
    <row r="77">
      <c r="AM77" s="0" t="inlineStr">
        <is>
          <t>New Item Acquired: 210.00K (7, 2)</t>
        </is>
      </c>
      <c r="AR77" s="0" t="inlineStr">
        <is>
          <t>New Item Acquired: 200.00K (2, 22)</t>
        </is>
      </c>
    </row>
    <row r="78">
      <c r="AM78" s="0" t="inlineStr">
        <is>
          <t>New Item Acquired: 210.00K (7, 20)</t>
        </is>
      </c>
      <c r="AR78" s="0" t="inlineStr">
        <is>
          <t>New Item Acquired: 200.00K (2, 5)</t>
        </is>
      </c>
    </row>
    <row r="79">
      <c r="AM79" s="0" t="inlineStr">
        <is>
          <t>New Item Acquired: 210.00K (7, 5)</t>
        </is>
      </c>
      <c r="AR79" s="0" t="inlineStr">
        <is>
          <t>New Item Acquired: 210.00K (7, 10)</t>
        </is>
      </c>
    </row>
    <row r="80">
      <c r="AM80" s="0" t="inlineStr">
        <is>
          <t>New Item Acquired: 210.00K (7, 7)</t>
        </is>
      </c>
      <c r="AR80" s="0" t="inlineStr">
        <is>
          <t>New Item Acquired: 210.00K (7, 25)</t>
        </is>
      </c>
    </row>
    <row r="81">
      <c r="AM81" s="0" t="inlineStr">
        <is>
          <t>New Item Acquired: 210.00K (7, 8)</t>
        </is>
      </c>
      <c r="AR81" s="0" t="inlineStr">
        <is>
          <t>New Item Acquired: 240.00K (8, 21)</t>
        </is>
      </c>
    </row>
    <row r="82">
      <c r="AM82" s="0" t="inlineStr">
        <is>
          <t>New Item Acquired: 250.00K (5, 14)</t>
        </is>
      </c>
      <c r="AR82" s="0" t="inlineStr">
        <is>
          <t>New Item Acquired: 240.00K (8, 4)</t>
        </is>
      </c>
    </row>
    <row r="83">
      <c r="AM83" s="0" t="inlineStr">
        <is>
          <t>New Item Acquired: 250.00K (5, 22)</t>
        </is>
      </c>
      <c r="AR83" s="0" t="inlineStr">
        <is>
          <t>New Item Acquired: 250.00K (5, 1)</t>
        </is>
      </c>
    </row>
    <row r="84">
      <c r="AM84" s="0" t="inlineStr">
        <is>
          <t>New Item Acquired: 250.00K (5, 25)</t>
        </is>
      </c>
      <c r="AR84" s="0" t="inlineStr">
        <is>
          <t>New Item Acquired: 250.00K (5, 12)</t>
        </is>
      </c>
    </row>
    <row r="85">
      <c r="AM85" s="0" t="inlineStr">
        <is>
          <t>New Item Acquired: 250.00K (5, 3)</t>
        </is>
      </c>
      <c r="AR85" s="0" t="inlineStr">
        <is>
          <t>New Item Acquired: 250.00K (5, 20)</t>
        </is>
      </c>
    </row>
    <row r="86">
      <c r="AM86" s="0" t="inlineStr">
        <is>
          <t>New Item Acquired: 250.00K (5, 4)</t>
        </is>
      </c>
      <c r="AR86" s="0" t="inlineStr">
        <is>
          <t>New Item Acquired: 250.00K (5, 22)</t>
        </is>
      </c>
    </row>
    <row r="87">
      <c r="AM87" s="0" t="inlineStr">
        <is>
          <t>New Item Acquired: 250.00K (5, 6)</t>
        </is>
      </c>
      <c r="AR87" s="0" t="inlineStr">
        <is>
          <t>New Item Acquired: 250.00K (5, 22)</t>
        </is>
      </c>
    </row>
    <row r="88">
      <c r="AM88" s="0" t="inlineStr">
        <is>
          <t>New Item Acquired: 30.00K (1, 10)</t>
        </is>
      </c>
      <c r="AR88" s="0" t="inlineStr">
        <is>
          <t>New Item Acquired: 250.00K (5, 24)</t>
        </is>
      </c>
    </row>
    <row r="89">
      <c r="AM89" s="0" t="inlineStr">
        <is>
          <t>New Item Acquired: 30.00K (1, 12)</t>
        </is>
      </c>
      <c r="AR89" s="0" t="inlineStr">
        <is>
          <t>New Item Acquired: 250.00K (5, 9)</t>
        </is>
      </c>
    </row>
    <row r="90">
      <c r="AM90" s="0" t="inlineStr">
        <is>
          <t>New Item Acquired: 30.00K (1, 15)</t>
        </is>
      </c>
      <c r="AR90" s="0" t="inlineStr">
        <is>
          <t>New Item Acquired: 250.00K (5, 9)</t>
        </is>
      </c>
    </row>
    <row r="91">
      <c r="AM91" s="0" t="inlineStr">
        <is>
          <t>New Item Acquired: 30.00K (1, 16)</t>
        </is>
      </c>
      <c r="AR91" s="0" t="inlineStr">
        <is>
          <t>New Item Acquired: 30.00K (1, 1)</t>
        </is>
      </c>
    </row>
    <row r="92">
      <c r="AM92" s="0" t="inlineStr">
        <is>
          <t>New Item Acquired: 30.00K (1, 18)</t>
        </is>
      </c>
      <c r="AR92" s="0" t="inlineStr">
        <is>
          <t>New Item Acquired: 30.00K (1, 11)</t>
        </is>
      </c>
    </row>
    <row r="93">
      <c r="AM93" s="0" t="inlineStr">
        <is>
          <t>New Item Acquired: 30.00K (1, 19)</t>
        </is>
      </c>
      <c r="AR93" s="0" t="inlineStr">
        <is>
          <t>New Item Acquired: 30.00K (1, 12)</t>
        </is>
      </c>
    </row>
    <row r="94">
      <c r="AM94" s="0" t="inlineStr">
        <is>
          <t>New Item Acquired: 30.00K (1, 2)</t>
        </is>
      </c>
      <c r="AR94" s="0" t="inlineStr">
        <is>
          <t>New Item Acquired: 30.00K (1, 14)</t>
        </is>
      </c>
    </row>
    <row r="95">
      <c r="AM95" s="0" t="inlineStr">
        <is>
          <t>New Item Acquired: 30.00K (1, 21)</t>
        </is>
      </c>
      <c r="AR95" s="0" t="inlineStr">
        <is>
          <t>New Item Acquired: 30.00K (1, 14)</t>
        </is>
      </c>
    </row>
    <row r="96">
      <c r="AM96" s="0" t="inlineStr">
        <is>
          <t>New Item Acquired: 30.00K (1, 23)</t>
        </is>
      </c>
      <c r="AR96" s="0" t="inlineStr">
        <is>
          <t>New Item Acquired: 30.00K (1, 15)</t>
        </is>
      </c>
    </row>
    <row r="97">
      <c r="AM97" s="0" t="inlineStr">
        <is>
          <t>New Item Acquired: 30.00K (1, 4)</t>
        </is>
      </c>
      <c r="AR97" s="0" t="inlineStr">
        <is>
          <t>New Item Acquired: 30.00K (1, 16)</t>
        </is>
      </c>
    </row>
    <row r="98">
      <c r="AM98" s="0" t="inlineStr">
        <is>
          <t>New Item Acquired: 300.00K (3, 17)</t>
        </is>
      </c>
      <c r="AR98" s="0" t="inlineStr">
        <is>
          <t>New Item Acquired: 30.00K (1, 22)</t>
        </is>
      </c>
    </row>
    <row r="99">
      <c r="AM99" s="0" t="inlineStr">
        <is>
          <t>New Item Acquired: 300.00K (3, 19)</t>
        </is>
      </c>
      <c r="AR99" s="0" t="inlineStr">
        <is>
          <t>New Item Acquired: 30.00K (1, 22)</t>
        </is>
      </c>
    </row>
    <row r="100">
      <c r="AM100" s="0" t="inlineStr">
        <is>
          <t>New Item Acquired: 300.00K (3, 25)</t>
        </is>
      </c>
      <c r="AR100" s="0" t="inlineStr">
        <is>
          <t>New Item Acquired: 30.00K (1, 25)</t>
        </is>
      </c>
    </row>
    <row r="101">
      <c r="AM101" s="0" t="inlineStr">
        <is>
          <t>New Item Acquired: 300.00K (3, 9)</t>
        </is>
      </c>
      <c r="AR101" s="0" t="inlineStr">
        <is>
          <t>New Item Acquired: 30.00K (1, 4)</t>
        </is>
      </c>
    </row>
    <row r="102">
      <c r="AM102" s="0" t="inlineStr">
        <is>
          <t>New Item Acquired: 300.00K (4, 1)</t>
        </is>
      </c>
      <c r="AR102" s="0" t="inlineStr">
        <is>
          <t>New Item Acquired: 30.00K (1, 5)</t>
        </is>
      </c>
    </row>
    <row r="103">
      <c r="AM103" s="0" t="inlineStr">
        <is>
          <t>New Item Acquired: 300.00K (4, 11)</t>
        </is>
      </c>
      <c r="AR103" s="0" t="inlineStr">
        <is>
          <t>New Item Acquired: 30.00K (1, 7)</t>
        </is>
      </c>
    </row>
    <row r="104">
      <c r="AM104" s="0" t="inlineStr">
        <is>
          <t>New Item Acquired: 300.00K (4, 14)</t>
        </is>
      </c>
      <c r="AR104" s="0" t="inlineStr">
        <is>
          <t>New Item Acquired: 30.00K (1, 9)</t>
        </is>
      </c>
    </row>
    <row r="105">
      <c r="AM105" s="0" t="inlineStr">
        <is>
          <t>New Item Acquired: 300.00K (4, 21)</t>
        </is>
      </c>
      <c r="AR105" s="0" t="inlineStr">
        <is>
          <t>New Item Acquired: 300.00K (3, 1)</t>
        </is>
      </c>
    </row>
    <row r="106">
      <c r="AM106" s="0" t="inlineStr">
        <is>
          <t>New Item Acquired: 300.00K (4, 5)</t>
        </is>
      </c>
      <c r="AR106" s="0" t="inlineStr">
        <is>
          <t>New Item Acquired: 300.00K (3, 10)</t>
        </is>
      </c>
    </row>
    <row r="107">
      <c r="AM107" s="0" t="inlineStr">
        <is>
          <t>New Item Acquired: 300.00K (4, 6)</t>
        </is>
      </c>
      <c r="AR107" s="0" t="inlineStr">
        <is>
          <t>New Item Acquired: 300.00K (3, 12)</t>
        </is>
      </c>
    </row>
    <row r="108">
      <c r="AM108" s="0" t="inlineStr">
        <is>
          <t>New Item Acquired: 300.00K (6, 12)</t>
        </is>
      </c>
      <c r="AR108" s="0" t="inlineStr">
        <is>
          <t>New Item Acquired: 300.00K (3, 23)</t>
        </is>
      </c>
    </row>
    <row r="109">
      <c r="AM109" s="0" t="inlineStr">
        <is>
          <t>New Item Acquired: 300.00K (6, 18)</t>
        </is>
      </c>
      <c r="AR109" s="0" t="inlineStr">
        <is>
          <t>New Item Acquired: 300.00K (3, 8)</t>
        </is>
      </c>
    </row>
    <row r="110">
      <c r="AM110" s="0" t="inlineStr">
        <is>
          <t>New Item Acquired: 300.00K (6, 20)</t>
        </is>
      </c>
      <c r="AR110" s="0" t="inlineStr">
        <is>
          <t>New Item Acquired: 300.00K (4, 12)</t>
        </is>
      </c>
    </row>
    <row r="111">
      <c r="AM111" s="0" t="inlineStr">
        <is>
          <t>New Item Acquired: 300.00K (6, 6)</t>
        </is>
      </c>
      <c r="AR111" s="0" t="inlineStr">
        <is>
          <t>New Item Acquired: 300.00K (4, 17)</t>
        </is>
      </c>
    </row>
    <row r="112">
      <c r="AM112" s="0" t="inlineStr">
        <is>
          <t>New Item Acquired: 350.00K (7, 1)</t>
        </is>
      </c>
      <c r="AR112" s="0" t="inlineStr">
        <is>
          <t>New Item Acquired: 300.00K (4, 23)</t>
        </is>
      </c>
    </row>
    <row r="113">
      <c r="AM113" s="0" t="inlineStr">
        <is>
          <t>New Item Acquired: 350.00K (7, 18)</t>
        </is>
      </c>
      <c r="AR113" s="0" t="inlineStr">
        <is>
          <t>New Item Acquired: 300.00K (4, 5)</t>
        </is>
      </c>
    </row>
    <row r="114">
      <c r="AM114" s="0" t="inlineStr">
        <is>
          <t>New Item Acquired: 400.00K (8, 11)</t>
        </is>
      </c>
      <c r="AR114" s="0" t="inlineStr">
        <is>
          <t>New Item Acquired: 300.00K (4, 8)</t>
        </is>
      </c>
    </row>
    <row r="115">
      <c r="AM115" s="0" t="inlineStr">
        <is>
          <t>New Item Acquired: 400.00K (8, 20)</t>
        </is>
      </c>
      <c r="AR115" s="0" t="inlineStr">
        <is>
          <t>New Item Acquired: 300.00K (6, 10)</t>
        </is>
      </c>
    </row>
    <row r="116">
      <c r="AM116" s="0" t="inlineStr">
        <is>
          <t>New Item Acquired: 50.00K (1, 1)</t>
        </is>
      </c>
      <c r="AR116" s="0" t="inlineStr">
        <is>
          <t>New Item Acquired: 300.00K (6, 17)</t>
        </is>
      </c>
    </row>
    <row r="117">
      <c r="AM117" s="0" t="inlineStr">
        <is>
          <t>New Item Acquired: 50.00K (1, 17)</t>
        </is>
      </c>
      <c r="AR117" s="0" t="inlineStr">
        <is>
          <t>New Item Acquired: 300.00K (6, 25)</t>
        </is>
      </c>
    </row>
    <row r="118">
      <c r="AM118" s="0" t="inlineStr">
        <is>
          <t>New Item Acquired: 50.00K (1, 17)</t>
        </is>
      </c>
      <c r="AR118" s="0" t="inlineStr">
        <is>
          <t>New Item Acquired: 350.00K (7, 14)</t>
        </is>
      </c>
    </row>
    <row r="119">
      <c r="AM119" s="0" t="inlineStr">
        <is>
          <t>New Item Acquired: 50.00K (1, 19)</t>
        </is>
      </c>
      <c r="AR119" s="0" t="inlineStr">
        <is>
          <t>New Item Acquired: 350.00K (7, 24)</t>
        </is>
      </c>
    </row>
    <row r="120">
      <c r="AM120" s="0" t="inlineStr">
        <is>
          <t>New Item Acquired: 50.00K (1, 2)</t>
        </is>
      </c>
      <c r="AR120" s="0" t="inlineStr">
        <is>
          <t>New Item Acquired: 350.00K (7, 3)</t>
        </is>
      </c>
    </row>
    <row r="121">
      <c r="AM121" s="0" t="inlineStr">
        <is>
          <t>New Item Acquired: 50.00K (1, 22)</t>
        </is>
      </c>
      <c r="AR121" s="0" t="inlineStr">
        <is>
          <t>New Item Acquired: 350.00K (7, 7)</t>
        </is>
      </c>
    </row>
    <row r="122">
      <c r="AM122" s="0" t="inlineStr">
        <is>
          <t>New Item Acquired: 50.00K (1, 24)</t>
        </is>
      </c>
      <c r="AR122" s="0" t="inlineStr">
        <is>
          <t>New Item Acquired: 400.00K (8, 11)</t>
        </is>
      </c>
    </row>
    <row r="123">
      <c r="AM123" s="0" t="inlineStr">
        <is>
          <t>New Item Acquired: 50.00K (1, 3)</t>
        </is>
      </c>
      <c r="AR123" s="0" t="inlineStr">
        <is>
          <t>New Item Acquired: 400.00K (8, 2)</t>
        </is>
      </c>
    </row>
    <row r="124">
      <c r="AM124" s="0" t="inlineStr">
        <is>
          <t>New Item Acquired: 50.00K (1, 4)</t>
        </is>
      </c>
      <c r="AR124" s="0" t="inlineStr">
        <is>
          <t>New Item Acquired: 400.00K (8, 5)</t>
        </is>
      </c>
    </row>
    <row r="125">
      <c r="AM125" s="0" t="inlineStr">
        <is>
          <t>New Item Acquired: 50.00K (1, 6)</t>
        </is>
      </c>
      <c r="AR125" s="0" t="inlineStr">
        <is>
          <t>New Item Acquired: 50.00K (1, 10)</t>
        </is>
      </c>
    </row>
    <row r="126">
      <c r="AM126" s="0" t="inlineStr">
        <is>
          <t>New Item Acquired: 50.00K (1, 7)</t>
        </is>
      </c>
      <c r="AR126" s="0" t="inlineStr">
        <is>
          <t>New Item Acquired: 50.00K (1, 16)</t>
        </is>
      </c>
    </row>
    <row r="127">
      <c r="AM127" s="0" t="inlineStr">
        <is>
          <t>New Item Acquired: 500.00K (5, 1)</t>
        </is>
      </c>
      <c r="AR127" s="0" t="inlineStr">
        <is>
          <t>New Item Acquired: 50.00K (1, 16)</t>
        </is>
      </c>
    </row>
    <row r="128">
      <c r="AM128" s="0" t="inlineStr">
        <is>
          <t>New Item Acquired: 500.00K (5, 23)</t>
        </is>
      </c>
      <c r="AR128" s="0" t="inlineStr">
        <is>
          <t>New Item Acquired: 50.00K (1, 2)</t>
        </is>
      </c>
    </row>
    <row r="129">
      <c r="AM129" s="0" t="inlineStr">
        <is>
          <t>New Item Acquired: 500.00K (5, 6)</t>
        </is>
      </c>
      <c r="AR129" s="0" t="inlineStr">
        <is>
          <t>New Item Acquired: 50.00K (1, 20)</t>
        </is>
      </c>
    </row>
    <row r="130">
      <c r="AM130" s="0" t="inlineStr">
        <is>
          <t>New Item Acquired: 60.00K (2, 10)</t>
        </is>
      </c>
      <c r="AR130" s="0" t="inlineStr">
        <is>
          <t>New Item Acquired: 50.00K (1, 21)</t>
        </is>
      </c>
    </row>
    <row r="131">
      <c r="AM131" s="0" t="inlineStr">
        <is>
          <t>New Item Acquired: 60.00K (2, 10)</t>
        </is>
      </c>
      <c r="AR131" s="0" t="inlineStr">
        <is>
          <t>New Item Acquired: 50.00K (1, 23)</t>
        </is>
      </c>
    </row>
    <row r="132">
      <c r="AM132" s="0" t="inlineStr">
        <is>
          <t>New Item Acquired: 60.00K (2, 11)</t>
        </is>
      </c>
      <c r="AR132" s="0" t="inlineStr">
        <is>
          <t>New Item Acquired: 50.00K (1, 3)</t>
        </is>
      </c>
    </row>
    <row r="133">
      <c r="AM133" s="0" t="inlineStr">
        <is>
          <t>New Item Acquired: 60.00K (2, 11)</t>
        </is>
      </c>
      <c r="AR133" s="0" t="inlineStr">
        <is>
          <t>New Item Acquired: 50.00K (1, 4)</t>
        </is>
      </c>
    </row>
    <row r="134">
      <c r="AM134" s="0" t="inlineStr">
        <is>
          <t>New Item Acquired: 60.00K (2, 12)</t>
        </is>
      </c>
      <c r="AR134" s="0" t="inlineStr">
        <is>
          <t>New Item Acquired: 50.00K (1, 5)</t>
        </is>
      </c>
    </row>
    <row r="135">
      <c r="AM135" s="0" t="inlineStr">
        <is>
          <t>New Item Acquired: 60.00K (2, 14)</t>
        </is>
      </c>
      <c r="AR135" s="0" t="inlineStr">
        <is>
          <t>New Item Acquired: 50.00K (1, 6)</t>
        </is>
      </c>
    </row>
    <row r="136">
      <c r="AM136" s="0" t="inlineStr">
        <is>
          <t>New Item Acquired: 60.00K (2, 17)</t>
        </is>
      </c>
      <c r="AR136" s="0" t="inlineStr">
        <is>
          <t>New Item Acquired: 50.00K (1, 8)</t>
        </is>
      </c>
    </row>
    <row r="137">
      <c r="AM137" s="0" t="inlineStr">
        <is>
          <t>New Item Acquired: 60.00K (2, 24)</t>
        </is>
      </c>
      <c r="AR137" s="0" t="inlineStr">
        <is>
          <t>New Item Acquired: 50.00K (1, 9)</t>
        </is>
      </c>
    </row>
    <row r="138">
      <c r="AM138" s="0" t="inlineStr">
        <is>
          <t>New Item Acquired: 60.00K (2, 25)</t>
        </is>
      </c>
      <c r="AR138" s="0" t="inlineStr">
        <is>
          <t>New Item Acquired: 500.00K (5, 14)</t>
        </is>
      </c>
    </row>
    <row r="139">
      <c r="AM139" s="0" t="inlineStr">
        <is>
          <t>New Item Acquired: 60.00K (2, 3)</t>
        </is>
      </c>
      <c r="AR139" s="0" t="inlineStr">
        <is>
          <t>New Item Acquired: 500.00K (5, 8)</t>
        </is>
      </c>
    </row>
    <row r="140">
      <c r="AM140" s="0" t="inlineStr">
        <is>
          <t>New Item Acquired: 60.00K (2, 6)</t>
        </is>
      </c>
      <c r="AR140" s="0" t="inlineStr">
        <is>
          <t>New Item Acquired: 60.00K (2, 10)</t>
        </is>
      </c>
    </row>
    <row r="141">
      <c r="AM141" s="0" t="inlineStr">
        <is>
          <t>New Item Acquired: 60.00K (2, 7)</t>
        </is>
      </c>
      <c r="AR141" s="0" t="inlineStr">
        <is>
          <t>New Item Acquired: 60.00K (2, 12)</t>
        </is>
      </c>
    </row>
    <row r="142">
      <c r="AM142" s="0" t="inlineStr">
        <is>
          <t>New Item Acquired: 60.00K (2, 7)</t>
        </is>
      </c>
      <c r="AR142" s="0" t="inlineStr">
        <is>
          <t>New Item Acquired: 60.00K (2, 14)</t>
        </is>
      </c>
    </row>
    <row r="143">
      <c r="AM143" s="0" t="inlineStr">
        <is>
          <t>New Item Acquired: 60.00K (2, 9)</t>
        </is>
      </c>
      <c r="AR143" s="0" t="inlineStr">
        <is>
          <t>New Item Acquired: 60.00K (2, 18)</t>
        </is>
      </c>
    </row>
    <row r="144">
      <c r="AM144" s="0" t="inlineStr">
        <is>
          <t>New Item Acquired: 600.00K (6, 17)</t>
        </is>
      </c>
      <c r="AR144" s="0" t="inlineStr">
        <is>
          <t>New Item Acquired: 60.00K (2, 20)</t>
        </is>
      </c>
    </row>
    <row r="145">
      <c r="AM145" s="0" t="inlineStr">
        <is>
          <t>New Item Acquired: 600.00K (6, 3)</t>
        </is>
      </c>
      <c r="AR145" s="0" t="inlineStr">
        <is>
          <t>New Item Acquired: 60.00K (2, 24)</t>
        </is>
      </c>
    </row>
    <row r="146">
      <c r="AM146" s="0" t="inlineStr">
        <is>
          <t>New Item Acquired: 600.00K (6, 9)</t>
        </is>
      </c>
      <c r="AR146" s="0" t="inlineStr">
        <is>
          <t>New Item Acquired: 60.00K (2, 24)</t>
        </is>
      </c>
    </row>
    <row r="147">
      <c r="AM147" s="0" t="inlineStr">
        <is>
          <t>New Item Acquired: 700.00K (7, 3)</t>
        </is>
      </c>
      <c r="AR147" s="0" t="inlineStr">
        <is>
          <t>New Item Acquired: 60.00K (2, 5)</t>
        </is>
      </c>
    </row>
    <row r="148">
      <c r="AM148" s="0" t="inlineStr">
        <is>
          <t>New Item Acquired: 800.00K (8, 15)</t>
        </is>
      </c>
      <c r="AR148" s="0" t="inlineStr">
        <is>
          <t>New Item Acquired: 60.00K (2, 6)</t>
        </is>
      </c>
    </row>
    <row r="149">
      <c r="AM149" s="0" t="inlineStr">
        <is>
          <t>New Item Acquired: 800.00K (8, 16)</t>
        </is>
      </c>
      <c r="AR149" s="0" t="inlineStr">
        <is>
          <t>New Item Acquired: 60.00K (2, 8)</t>
        </is>
      </c>
    </row>
    <row r="150">
      <c r="AM150" s="0" t="inlineStr">
        <is>
          <t>New Item Acquired: 800.00K (8, 9)</t>
        </is>
      </c>
      <c r="AR150" s="0" t="inlineStr">
        <is>
          <t>New Item Acquired: 60.00K (2, 9)</t>
        </is>
      </c>
    </row>
    <row r="151">
      <c r="AM151" s="0" t="inlineStr">
        <is>
          <t>New Item Acquired: 90.00K (3, 1)</t>
        </is>
      </c>
      <c r="AR151" s="0" t="inlineStr">
        <is>
          <t>New Item Acquired: 600.00K (6, 19)</t>
        </is>
      </c>
    </row>
    <row r="152">
      <c r="AM152" s="0" t="inlineStr">
        <is>
          <t>New Item Acquired: 90.00K (3, 10)</t>
        </is>
      </c>
      <c r="AR152" s="0" t="inlineStr">
        <is>
          <t>New Item Acquired: 600.00K (6, 5)</t>
        </is>
      </c>
    </row>
    <row r="153">
      <c r="AM153" s="0" t="inlineStr">
        <is>
          <t>New Item Acquired: 90.00K (3, 11)</t>
        </is>
      </c>
      <c r="AR153" s="0" t="inlineStr">
        <is>
          <t>New Item Acquired: 700.00K (7, 15)</t>
        </is>
      </c>
    </row>
    <row r="154">
      <c r="AM154" s="0" t="inlineStr">
        <is>
          <t>New Item Acquired: 90.00K (3, 16)</t>
        </is>
      </c>
      <c r="AR154" s="0" t="inlineStr">
        <is>
          <t>New Item Acquired: 700.00K (7, 21)</t>
        </is>
      </c>
    </row>
    <row r="155">
      <c r="AM155" s="0" t="inlineStr">
        <is>
          <t>New Item Acquired: 90.00K (3, 19)</t>
        </is>
      </c>
      <c r="AR155" s="0" t="inlineStr">
        <is>
          <t>New Item Acquired: 90.00K (3, 19)</t>
        </is>
      </c>
    </row>
    <row r="156">
      <c r="AM156" s="0" t="inlineStr">
        <is>
          <t>New Item Acquired: 90.00K (3, 2)</t>
        </is>
      </c>
      <c r="AR156" s="0" t="inlineStr">
        <is>
          <t>New Item Acquired: 90.00K (3, 2)</t>
        </is>
      </c>
    </row>
    <row r="157">
      <c r="AM157" s="0" t="inlineStr">
        <is>
          <t>New Item Acquired: 90.00K (3, 2)</t>
        </is>
      </c>
      <c r="AR157" s="0" t="inlineStr">
        <is>
          <t>New Item Acquired: 90.00K (3, 20)</t>
        </is>
      </c>
    </row>
    <row r="158">
      <c r="AM158" s="0" t="inlineStr">
        <is>
          <t>New Item Acquired: 90.00K (3, 21)</t>
        </is>
      </c>
      <c r="AR158" s="0" t="inlineStr">
        <is>
          <t>New Item Acquired: 90.00K (3, 21)</t>
        </is>
      </c>
    </row>
    <row r="159">
      <c r="AM159" s="0" t="inlineStr">
        <is>
          <t>New Item Acquired: 90.00K (3, 22)</t>
        </is>
      </c>
      <c r="AR159" s="0" t="inlineStr">
        <is>
          <t>New Item Acquired: 90.00K (3, 22)</t>
        </is>
      </c>
    </row>
    <row r="160">
      <c r="AM160" s="0" t="inlineStr">
        <is>
          <t>New Item Acquired: 90.00K (3, 22)</t>
        </is>
      </c>
      <c r="AR160" s="0" t="inlineStr">
        <is>
          <t>New Item Acquired: 90.00K (3, 3)</t>
        </is>
      </c>
    </row>
    <row r="161">
      <c r="AM161" s="0" t="inlineStr">
        <is>
          <t>New Item Acquired: 90.00K (3, 23)</t>
        </is>
      </c>
      <c r="AR161" s="0" t="inlineStr">
        <is>
          <t>New Item Acquired: 90.00K (3, 7)</t>
        </is>
      </c>
    </row>
    <row r="162">
      <c r="AM162" s="0" t="inlineStr">
        <is>
          <t>New Item Acquired: 90.00K (3, 24)</t>
        </is>
      </c>
      <c r="AR162" s="0" t="inlineStr">
        <is>
          <t>New Item Acquired: 90.00K (3, 8)</t>
        </is>
      </c>
    </row>
    <row r="163">
      <c r="AM163" s="0" t="inlineStr">
        <is>
          <t>New Item Acquired: 90.00K (3, 25)</t>
        </is>
      </c>
      <c r="AR163" s="0" t="inlineStr">
        <is>
          <t>New Item Acquired: 90.00K (3, 9)</t>
        </is>
      </c>
    </row>
    <row r="164">
      <c r="AM164" s="0" t="inlineStr">
        <is>
          <t>New Item Acquired: 90.00K (3, 3)</t>
        </is>
      </c>
      <c r="AR164" s="0" t="inlineStr">
        <is>
          <t>New Item Acquired: Major (1, 2)</t>
        </is>
      </c>
    </row>
    <row r="165">
      <c r="AM165" s="0" t="inlineStr">
        <is>
          <t>New Item Acquired: 90.00K (3, 5)</t>
        </is>
      </c>
      <c r="AR165" s="0" t="inlineStr">
        <is>
          <t>New Item Acquired: Major (5, 19)</t>
        </is>
      </c>
    </row>
    <row r="166">
      <c r="AM166" s="0" t="inlineStr">
        <is>
          <t>New Item Acquired: 90.00K (3, 6)</t>
        </is>
      </c>
      <c r="AR166" s="0" t="inlineStr">
        <is>
          <t>New Item Acquired: Mega (1, 8)</t>
        </is>
      </c>
    </row>
    <row r="167">
      <c r="AM167" s="0" t="inlineStr">
        <is>
          <t>New Item Acquired: 90.00K (3, 6)</t>
        </is>
      </c>
      <c r="AR167" s="0" t="inlineStr">
        <is>
          <t>New Item Acquired: Mini (2, 15)</t>
        </is>
      </c>
    </row>
    <row r="168">
      <c r="AM168" s="0" t="inlineStr">
        <is>
          <t>New Item Acquired: Grand (6, 24)</t>
        </is>
      </c>
      <c r="AR168" s="0" t="inlineStr">
        <is>
          <t>New Item Acquired: Mini (2, 25)</t>
        </is>
      </c>
    </row>
    <row r="169">
      <c r="AM169" s="0" t="inlineStr">
        <is>
          <t>New Item Acquired: Mega (2, 14)</t>
        </is>
      </c>
      <c r="AR169" s="0" t="inlineStr">
        <is>
          <t>New Item Acquired: Mini (3, 12)</t>
        </is>
      </c>
    </row>
    <row r="170">
      <c r="AM170" s="0" t="inlineStr">
        <is>
          <t>New Item Acquired: Mega (3, 22)</t>
        </is>
      </c>
      <c r="AR170" s="0" t="inlineStr">
        <is>
          <t>New Item Acquired: Mini (3, 19)</t>
        </is>
      </c>
    </row>
    <row r="171">
      <c r="AM171" s="0" t="inlineStr">
        <is>
          <t>New Item Acquired: Mini (1, 15)</t>
        </is>
      </c>
      <c r="AR171" s="0" t="inlineStr">
        <is>
          <t>New Item Acquired: Mini (3, 4)</t>
        </is>
      </c>
    </row>
    <row r="172">
      <c r="AM172" s="0" t="inlineStr">
        <is>
          <t>New Item Acquired: Mini (2, 12)</t>
        </is>
      </c>
      <c r="AR172" s="0" t="inlineStr">
        <is>
          <t>New Item Acquired: Mini (3, 8)</t>
        </is>
      </c>
    </row>
    <row r="173">
      <c r="AM173" s="0" t="inlineStr">
        <is>
          <t>New Item Acquired: Mini (4, 4)</t>
        </is>
      </c>
      <c r="AR173" s="0" t="inlineStr">
        <is>
          <t>New Item Acquired: Mini (3, 9)</t>
        </is>
      </c>
    </row>
    <row r="174">
      <c r="AM174" s="0" t="inlineStr">
        <is>
          <t>New Item Acquired: Mini (4, 7)</t>
        </is>
      </c>
      <c r="AR174" s="0" t="inlineStr">
        <is>
          <t>New Item Acquired: Mini (4, 3)</t>
        </is>
      </c>
    </row>
    <row r="175">
      <c r="AM175" s="0" t="inlineStr">
        <is>
          <t>New Item Acquired: Mini (5, 21)</t>
        </is>
      </c>
      <c r="AR175" s="0" t="inlineStr">
        <is>
          <t>New Item Acquired: Mini (5, 19)</t>
        </is>
      </c>
    </row>
    <row r="176">
      <c r="AM176" s="0" t="inlineStr">
        <is>
          <t>New Item Acquired: Mini (6, 19)</t>
        </is>
      </c>
      <c r="AR176" s="0" t="inlineStr">
        <is>
          <t>New Item Acquired: Mini (5, 4)</t>
        </is>
      </c>
    </row>
    <row r="177">
      <c r="AM177" s="0" t="inlineStr">
        <is>
          <t>New Item Acquired: Mini (6, 5)</t>
        </is>
      </c>
      <c r="AR177" s="0" t="inlineStr">
        <is>
          <t>New Item Acquired: Mini (7, 1)</t>
        </is>
      </c>
    </row>
    <row r="178">
      <c r="AM178" s="0" t="inlineStr">
        <is>
          <t>New Item Acquired: Mini (7, 24)</t>
        </is>
      </c>
      <c r="AR178" s="0" t="inlineStr">
        <is>
          <t>New Item Acquired: Mini (8, 9)</t>
        </is>
      </c>
    </row>
    <row r="179">
      <c r="AM179" s="0" t="inlineStr">
        <is>
          <t>New Item Acquired: Mini (7, 4)</t>
        </is>
      </c>
      <c r="AR179" s="0" t="inlineStr">
        <is>
          <t>New Item Acquired: Minor (1, 3)</t>
        </is>
      </c>
    </row>
    <row r="180">
      <c r="AM180" s="0" t="inlineStr">
        <is>
          <t>New Item Acquired: Minor (1, 8)</t>
        </is>
      </c>
      <c r="AR180" s="0" t="inlineStr">
        <is>
          <t>New Item Acquired: Minor (4, 14)</t>
        </is>
      </c>
    </row>
    <row r="181">
      <c r="AM181" s="0" t="inlineStr">
        <is>
          <t>New Item Acquired: Minor (1, 9)</t>
        </is>
      </c>
      <c r="AR181" s="0" t="inlineStr">
        <is>
          <t>New Item Acquired: Minor (5, 1)</t>
        </is>
      </c>
    </row>
    <row r="182">
      <c r="AM182" s="0" t="inlineStr">
        <is>
          <t>New Item Acquired: Minor (3, 12)</t>
        </is>
      </c>
      <c r="AR182" s="0" t="inlineStr">
        <is>
          <t>New Item Acquired: Minor (5, 17)</t>
        </is>
      </c>
    </row>
    <row r="183">
      <c r="AM183" s="0" t="inlineStr">
        <is>
          <t>New Item Acquired: Minor (3, 25)</t>
        </is>
      </c>
      <c r="AR183" s="0" t="inlineStr">
        <is>
          <t>New Item Acquired: Minor (6, 2)</t>
        </is>
      </c>
    </row>
    <row r="184">
      <c r="AM184" s="0" t="inlineStr">
        <is>
          <t>New Item Acquired: Minor (4, 11)</t>
        </is>
      </c>
      <c r="AR184" s="0" t="inlineStr">
        <is>
          <t>Item ReSelect Failed : Attempts - 3</t>
        </is>
      </c>
    </row>
    <row r="185">
      <c r="AM185" s="0" t="inlineStr">
        <is>
          <t>New Item Acquired: Minor (4, 11)</t>
        </is>
      </c>
      <c r="AR185" s="0" t="inlineStr">
        <is>
          <t>Item ReSelect Failed : Attempts - 3</t>
        </is>
      </c>
    </row>
    <row r="186">
      <c r="AM186" s="0" t="inlineStr">
        <is>
          <t>New Item Acquired: Minor (6, 16)</t>
        </is>
      </c>
      <c r="AR186" s="0" t="inlineStr">
        <is>
          <t>Clear Gem Acquired : 0 -&gt; 100 (Stage : 2)</t>
        </is>
      </c>
    </row>
    <row r="187">
      <c r="AM187" s="0" t="inlineStr">
        <is>
          <t>New Item Acquired: Minor (6, 9)</t>
        </is>
      </c>
      <c r="AR187" s="0" t="inlineStr">
        <is>
          <t>Clear Gem Acquired : 100 -&gt; 200 (Stage : 3)</t>
        </is>
      </c>
    </row>
    <row r="188">
      <c r="AM188" s="0" t="inlineStr">
        <is>
          <t>Item ReSelect Failed : Attempts - 3</t>
        </is>
      </c>
      <c r="AR188" s="0" t="inlineStr">
        <is>
          <t>Clear Gem Acquired : 200 -&gt; 300 (Stage : 1)</t>
        </is>
      </c>
    </row>
    <row r="189">
      <c r="AM189" s="0" t="inlineStr">
        <is>
          <t>Item ReSelect Failed : Attempts - 3</t>
        </is>
      </c>
      <c r="AR189" s="0" t="inlineStr">
        <is>
          <t>Clear Gem Acquired : 300 -&gt; 400 (Stage : 5)</t>
        </is>
      </c>
    </row>
    <row r="190">
      <c r="AM190" s="0" t="inlineStr">
        <is>
          <t>Item ReSelect Failed : Attempts - 3</t>
        </is>
      </c>
      <c r="AR190" s="0" t="inlineStr">
        <is>
          <t>Clear Gem Acquired : 400 -&gt; 500 (Stage : 4)</t>
        </is>
      </c>
    </row>
    <row r="191">
      <c r="AM191" s="0" t="inlineStr">
        <is>
          <t>Item ReSelect Failed : Attempts - 3</t>
        </is>
      </c>
      <c r="AR191" s="0" t="inlineStr">
        <is>
          <t>Clear Gem Acquired : 500 -&gt; 600 (Stage : 3)</t>
        </is>
      </c>
    </row>
    <row r="192">
      <c r="AM192" s="0" t="inlineStr">
        <is>
          <t>Clear Gem Acquired : 0 -&gt; 100 (Stage : 2)</t>
        </is>
      </c>
      <c r="AR192" s="0" t="inlineStr">
        <is>
          <t>Clear Gem Acquired : 600 -&gt; 700 (Stage : 6)</t>
        </is>
      </c>
    </row>
    <row r="193">
      <c r="AM193" s="0" t="inlineStr">
        <is>
          <t>Clear Gem Acquired : 100 -&gt; 200 (Stage : 3)</t>
        </is>
      </c>
      <c r="AR193" s="0" t="inlineStr">
        <is>
          <t>Clear Gem Acquired : 700 -&gt; 800 (Stage : 2)</t>
        </is>
      </c>
    </row>
    <row r="194">
      <c r="AM194" s="0" t="inlineStr">
        <is>
          <t>Clear Gem Acquired : 1000 -&gt; 1100 (Stage : 1)</t>
        </is>
      </c>
      <c r="AR194" s="0" t="inlineStr">
        <is>
          <t>Clear Gem Acquired : 800 -&gt; 900 (Stage : 1)</t>
        </is>
      </c>
    </row>
    <row r="195">
      <c r="AM195" s="0" t="inlineStr">
        <is>
          <t>Clear Gem Acquired : 200 -&gt; 300 (Stage : 4)</t>
        </is>
      </c>
    </row>
    <row r="196">
      <c r="AM196" s="0" t="inlineStr">
        <is>
          <t>Clear Gem Acquired : 300 -&gt; 400 (Stage : 5)</t>
        </is>
      </c>
    </row>
    <row r="197">
      <c r="AM197" s="0" t="inlineStr">
        <is>
          <t>Clear Gem Acquired : 400 -&gt; 500 (Stage : 1)</t>
        </is>
      </c>
    </row>
    <row r="198">
      <c r="AM198" s="0" t="inlineStr">
        <is>
          <t>Clear Gem Acquired : 500 -&gt; 600 (Stage : 3)</t>
        </is>
      </c>
    </row>
    <row r="199">
      <c r="AM199" s="0" t="inlineStr">
        <is>
          <t>Clear Gem Acquired : 600 -&gt; 700 (Stage : 4)</t>
        </is>
      </c>
    </row>
    <row r="200">
      <c r="AM200" s="0" t="inlineStr">
        <is>
          <t>Clear Gem Acquired : 700 -&gt; 800 (Stage : 2)</t>
        </is>
      </c>
    </row>
    <row r="201">
      <c r="AM201" s="0" t="inlineStr">
        <is>
          <t>Clear Gem Acquired : 800 -&gt; 900 (Stage : 6)</t>
        </is>
      </c>
    </row>
    <row r="202">
      <c r="AM202" s="0" t="inlineStr">
        <is>
          <t>Clear Gem Acquired : 900 -&gt; 1000 (Stage : 7)</t>
        </is>
      </c>
    </row>
  </sheetData>
  <mergeCells count="1">
    <mergeCell ref="A1:AU1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222"/>
  <sheetViews>
    <sheetView workbookViewId="0">
      <selection activeCell="A1" sqref="A1"/>
    </sheetView>
  </sheetViews>
  <sheetFormatPr baseColWidth="8" defaultRowHeight="16.5"/>
  <cols>
    <col width="11.375" bestFit="1" customWidth="1" style="161" min="2" max="2"/>
    <col width="11.375" customWidth="1" style="161" min="3" max="3"/>
    <col width="13.25" bestFit="1" customWidth="1" style="161" min="4" max="4"/>
    <col width="14.5" bestFit="1" customWidth="1" style="161" min="5" max="5"/>
    <col width="13.25" bestFit="1" customWidth="1" style="161" min="6" max="6"/>
    <col width="17.875" bestFit="1" customWidth="1" style="161" min="7" max="7"/>
    <col width="10.375" bestFit="1" customWidth="1" style="161" min="8" max="9"/>
    <col width="14.5" bestFit="1" customWidth="1" style="161" min="10" max="10"/>
    <col width="4" customWidth="1" style="161" min="11" max="11"/>
    <col width="14.5" customWidth="1" style="161" min="12" max="12"/>
    <col width="4.125" customWidth="1" style="161" min="14" max="14"/>
    <col width="5.125" bestFit="1" customWidth="1" style="161" min="15" max="15"/>
    <col width="4.5" bestFit="1" customWidth="1" style="161" min="16" max="18"/>
    <col width="3.5" customWidth="1" style="161" min="19" max="19"/>
    <col width="3.75" customWidth="1" style="161" min="20" max="20"/>
    <col width="4" bestFit="1" customWidth="1" style="161" min="21" max="21"/>
    <col width="3.5" bestFit="1" customWidth="1" style="161" min="22" max="24"/>
    <col width="3.5" customWidth="1" style="161" min="25" max="25"/>
    <col width="3.875" customWidth="1" style="161" min="26" max="26"/>
    <col width="4" bestFit="1" customWidth="1" style="161" min="27" max="27"/>
    <col width="3.5" bestFit="1" customWidth="1" style="161" min="28" max="30"/>
    <col width="3.5" customWidth="1" style="161" min="31" max="31"/>
    <col width="3.75" customWidth="1" style="161" min="32" max="32"/>
    <col width="4" bestFit="1" customWidth="1" style="161" min="33" max="33"/>
    <col width="3.5" bestFit="1" customWidth="1" style="161" min="34" max="36"/>
    <col width="45.625" bestFit="1" customWidth="1" style="161" min="39" max="39"/>
    <col width="6.25" customWidth="1" style="161" min="40" max="40"/>
    <col width="13.125" bestFit="1" customWidth="1" style="161" min="41" max="41"/>
    <col width="9.25" bestFit="1" customWidth="1" style="161" min="42" max="42"/>
    <col width="45.625" bestFit="1" customWidth="1" style="161" min="44" max="44"/>
    <col width="5.75" customWidth="1" style="161" min="45" max="45"/>
    <col width="13.125" bestFit="1" customWidth="1" style="161" min="46" max="46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D2" s="0" t="inlineStr">
        <is>
          <t>C1</t>
        </is>
      </c>
      <c r="E2" s="0" t="inlineStr">
        <is>
          <t>C2</t>
        </is>
      </c>
      <c r="F2" s="0" t="inlineStr">
        <is>
          <t>C3</t>
        </is>
      </c>
      <c r="G2" s="0" t="inlineStr">
        <is>
          <t>C4</t>
        </is>
      </c>
      <c r="H2" s="0" t="inlineStr">
        <is>
          <t>C5</t>
        </is>
      </c>
      <c r="I2" s="0" t="inlineStr">
        <is>
          <t>C6</t>
        </is>
      </c>
      <c r="J2" s="0" t="inlineStr">
        <is>
          <t>C7</t>
        </is>
      </c>
      <c r="L2" s="31" t="inlineStr">
        <is>
          <t>Weight</t>
        </is>
      </c>
      <c r="N2" s="31" t="inlineStr">
        <is>
          <t>Level1</t>
        </is>
      </c>
      <c r="O2" s="31" t="n"/>
      <c r="P2" s="31" t="n"/>
      <c r="Q2" s="31" t="n"/>
      <c r="R2" s="31" t="n"/>
      <c r="T2" s="31" t="inlineStr">
        <is>
          <t>Level2</t>
        </is>
      </c>
      <c r="U2" s="31" t="n"/>
      <c r="V2" s="31" t="n"/>
      <c r="W2" s="31" t="n"/>
      <c r="X2" s="31" t="n"/>
      <c r="Z2" s="31" t="inlineStr">
        <is>
          <t>Level3</t>
        </is>
      </c>
      <c r="AA2" s="31" t="n"/>
      <c r="AB2" s="31" t="n"/>
      <c r="AC2" s="31" t="n"/>
      <c r="AD2" s="31" t="n"/>
      <c r="AF2" s="28" t="inlineStr">
        <is>
          <t>Level4</t>
        </is>
      </c>
      <c r="AG2" s="29" t="n"/>
      <c r="AH2" s="29" t="n"/>
      <c r="AI2" s="29" t="n"/>
      <c r="AJ2" s="30" t="n"/>
      <c r="AM2" s="0" t="inlineStr">
        <is>
          <t>Line Prize Won: 1.05M (Stage : 3) - 1050000</t>
        </is>
      </c>
      <c r="AO2" s="0" t="inlineStr">
        <is>
          <t>Bingo Win</t>
        </is>
      </c>
      <c r="AP2" s="0">
        <f>COUNTIF($AM$1:$AM$500,"*")</f>
        <v/>
      </c>
      <c r="AR2" s="0" t="inlineStr">
        <is>
          <t>Line Prize Won: 1.36M (Stage : 8) - 1360000</t>
        </is>
      </c>
      <c r="AT2" s="0" t="inlineStr">
        <is>
          <t>Bingo Win</t>
        </is>
      </c>
      <c r="AU2" s="0">
        <f>COUNTIF($AR$1:$AR$500,"*")</f>
        <v/>
      </c>
    </row>
    <row r="3" ht="20.25" customHeight="1" s="161">
      <c r="A3" s="0" t="inlineStr">
        <is>
          <t>Spins</t>
        </is>
      </c>
      <c r="B3" s="0" t="n">
        <v>3000</v>
      </c>
      <c r="C3" s="0" t="n">
        <v>1500</v>
      </c>
      <c r="D3" s="0" t="n">
        <v>799</v>
      </c>
      <c r="E3" s="0" t="n">
        <v>1039</v>
      </c>
      <c r="F3" s="0" t="n">
        <v>1373</v>
      </c>
      <c r="G3" s="0" t="n">
        <v>2816</v>
      </c>
      <c r="H3" s="0" t="n">
        <v>6044</v>
      </c>
      <c r="I3" s="0" t="n">
        <v>10829</v>
      </c>
      <c r="J3" s="0" t="n">
        <v>9913</v>
      </c>
      <c r="L3" s="32" t="n">
        <v>14</v>
      </c>
      <c r="N3" s="22" t="n">
        <v>77</v>
      </c>
      <c r="O3" s="23" t="n">
        <v>77</v>
      </c>
      <c r="P3" s="11" t="n">
        <v>77</v>
      </c>
      <c r="Q3" s="11" t="n">
        <v>77</v>
      </c>
      <c r="R3" s="12" t="n">
        <v>77</v>
      </c>
      <c r="T3" s="22" t="n">
        <v>55</v>
      </c>
      <c r="U3" s="23" t="n">
        <v>55</v>
      </c>
      <c r="V3" s="13" t="n">
        <v>55</v>
      </c>
      <c r="W3" s="13" t="n">
        <v>55</v>
      </c>
      <c r="X3" s="12" t="n">
        <v>55</v>
      </c>
      <c r="Z3" s="22" t="n">
        <v>55</v>
      </c>
      <c r="AA3" s="23" t="n">
        <v>55</v>
      </c>
      <c r="AB3" s="13" t="n">
        <v>55</v>
      </c>
      <c r="AC3" s="13" t="n">
        <v>55</v>
      </c>
      <c r="AD3" s="12" t="n">
        <v>55</v>
      </c>
      <c r="AF3" s="22" t="n">
        <v>55</v>
      </c>
      <c r="AG3" s="23" t="n">
        <v>55</v>
      </c>
      <c r="AH3" s="13" t="n">
        <v>55</v>
      </c>
      <c r="AI3" s="13" t="n">
        <v>55</v>
      </c>
      <c r="AJ3" s="12" t="n">
        <v>55</v>
      </c>
      <c r="AM3" s="0" t="inlineStr">
        <is>
          <t>Line Prize Won: 1.05M (Stage : 5) - 1050000</t>
        </is>
      </c>
      <c r="AO3" s="0" t="inlineStr">
        <is>
          <t>Made</t>
        </is>
      </c>
      <c r="AP3" s="0">
        <f>COUNTIF($AM$1:$AM$500,"Line*")</f>
        <v/>
      </c>
      <c r="AR3" s="0" t="inlineStr">
        <is>
          <t>Line Prize Won: 1.41M (Stage : 1) - 1410000</t>
        </is>
      </c>
      <c r="AT3" s="0" t="inlineStr">
        <is>
          <t>Made</t>
        </is>
      </c>
      <c r="AU3" s="0">
        <f>COUNTIF($AR$1:$AR$500,"Line*")</f>
        <v/>
      </c>
    </row>
    <row r="4">
      <c r="A4" s="0" t="inlineStr">
        <is>
          <t>Total Won</t>
        </is>
      </c>
      <c r="B4" s="34" t="n">
        <v>16522540000</v>
      </c>
      <c r="C4" s="34" t="n">
        <v>3195370000</v>
      </c>
      <c r="D4" s="34" t="n">
        <v>308840000</v>
      </c>
      <c r="E4" s="34" t="n">
        <v>924590000</v>
      </c>
      <c r="F4" s="34" t="n">
        <v>2460130000</v>
      </c>
      <c r="G4" s="34" t="n">
        <v>14595610000</v>
      </c>
      <c r="H4" s="34" t="n">
        <v>42230350000</v>
      </c>
      <c r="I4" s="34" t="n">
        <v>82688210000</v>
      </c>
      <c r="J4" s="34" t="n">
        <v>74820530000</v>
      </c>
      <c r="K4" s="7" t="n"/>
      <c r="L4" s="32" t="n">
        <v>10</v>
      </c>
      <c r="N4" s="11" t="n">
        <v>77</v>
      </c>
      <c r="O4" s="12" t="n">
        <v>77</v>
      </c>
      <c r="P4" s="11" t="n">
        <v>77</v>
      </c>
      <c r="Q4" s="12" t="n">
        <v>77</v>
      </c>
      <c r="R4" s="11" t="n">
        <v>77</v>
      </c>
      <c r="T4" s="13" t="n">
        <v>55</v>
      </c>
      <c r="U4" s="12" t="n">
        <v>55</v>
      </c>
      <c r="V4" s="13" t="n">
        <v>55</v>
      </c>
      <c r="W4" s="12" t="n">
        <v>55</v>
      </c>
      <c r="X4" s="13" t="n">
        <v>55</v>
      </c>
      <c r="Z4" s="13" t="n">
        <v>55</v>
      </c>
      <c r="AA4" s="12" t="n">
        <v>55</v>
      </c>
      <c r="AB4" s="13" t="n">
        <v>55</v>
      </c>
      <c r="AC4" s="12" t="n">
        <v>55</v>
      </c>
      <c r="AD4" s="13" t="n">
        <v>55</v>
      </c>
      <c r="AF4" s="13" t="n">
        <v>55</v>
      </c>
      <c r="AG4" s="12" t="n">
        <v>55</v>
      </c>
      <c r="AH4" s="13" t="n">
        <v>55</v>
      </c>
      <c r="AI4" s="12" t="n">
        <v>55</v>
      </c>
      <c r="AJ4" s="13" t="n">
        <v>55</v>
      </c>
      <c r="AM4" s="0" t="inlineStr">
        <is>
          <t>Line Prize Won: 1.20M (Stage : 3) - 1200000</t>
        </is>
      </c>
      <c r="AO4" s="0" t="inlineStr">
        <is>
          <t>Bingo/Made</t>
        </is>
      </c>
      <c r="AP4" s="0">
        <f>AP1/AP2</f>
        <v/>
      </c>
      <c r="AR4" s="0" t="inlineStr">
        <is>
          <t>Line Prize Won: 1.52M (Stage : 4) - 1520000</t>
        </is>
      </c>
      <c r="AT4" s="0" t="inlineStr">
        <is>
          <t>Bingo/Made</t>
        </is>
      </c>
      <c r="AU4" s="0">
        <f>AU1/AU2</f>
        <v/>
      </c>
    </row>
    <row r="5">
      <c r="A5" s="0" t="inlineStr">
        <is>
          <t>Players</t>
        </is>
      </c>
      <c r="B5" s="0" t="n">
        <v>1000</v>
      </c>
      <c r="C5" s="0" t="n">
        <v>1000</v>
      </c>
      <c r="D5" s="0" t="n">
        <v>1000</v>
      </c>
      <c r="E5" s="0" t="n">
        <v>1000</v>
      </c>
      <c r="F5" s="0" t="n">
        <v>1000</v>
      </c>
      <c r="G5" s="0" t="n">
        <v>1000</v>
      </c>
      <c r="H5" s="0" t="n">
        <v>1000</v>
      </c>
      <c r="I5" s="0" t="n">
        <v>1000</v>
      </c>
      <c r="J5" s="0" t="n">
        <v>1000</v>
      </c>
      <c r="L5" s="32" t="n">
        <v>10</v>
      </c>
      <c r="N5" s="11" t="n">
        <v>77</v>
      </c>
      <c r="O5" s="11" t="n">
        <v>77</v>
      </c>
      <c r="P5" s="10" t="n"/>
      <c r="Q5" s="11" t="n">
        <v>77</v>
      </c>
      <c r="R5" s="11" t="n">
        <v>77</v>
      </c>
      <c r="T5" s="13" t="n">
        <v>55</v>
      </c>
      <c r="U5" s="13" t="n">
        <v>55</v>
      </c>
      <c r="V5" s="14" t="n"/>
      <c r="W5" s="13" t="n">
        <v>55</v>
      </c>
      <c r="X5" s="13" t="n">
        <v>55</v>
      </c>
      <c r="Z5" s="13" t="n">
        <v>55</v>
      </c>
      <c r="AA5" s="13" t="n">
        <v>55</v>
      </c>
      <c r="AB5" s="14" t="n"/>
      <c r="AC5" s="13" t="n">
        <v>55</v>
      </c>
      <c r="AD5" s="13" t="n">
        <v>55</v>
      </c>
      <c r="AF5" s="13" t="n">
        <v>55</v>
      </c>
      <c r="AG5" s="13" t="n">
        <v>55</v>
      </c>
      <c r="AH5" s="14" t="n"/>
      <c r="AI5" s="13" t="n">
        <v>55</v>
      </c>
      <c r="AJ5" s="13" t="n">
        <v>55</v>
      </c>
      <c r="AM5" s="0" t="inlineStr">
        <is>
          <t>Line Prize Won: 2.38M (Stage : 7) - 2380000</t>
        </is>
      </c>
      <c r="AO5" s="0" t="inlineStr">
        <is>
          <t>(Stage : 1)</t>
        </is>
      </c>
      <c r="AP5" s="0">
        <f>ROUND(COUNTIF(AM:AM,"*(Stage : 1)*")/2,0)</f>
        <v/>
      </c>
      <c r="AR5" s="0" t="inlineStr">
        <is>
          <t>Line Prize Won: 1.53M (Stage : 3) - 1530000</t>
        </is>
      </c>
      <c r="AT5" s="0" t="inlineStr">
        <is>
          <t>(Stage : 1)</t>
        </is>
      </c>
      <c r="AU5" s="0">
        <f>ROUND(COUNTIF(AR:AR,"*(Stage : 1)*")/2,0)</f>
        <v/>
      </c>
    </row>
    <row r="6">
      <c r="A6" s="0" t="inlineStr">
        <is>
          <t>Days</t>
        </is>
      </c>
      <c r="B6" s="0">
        <f>B2/300</f>
        <v/>
      </c>
      <c r="C6" s="0">
        <f>C2/300</f>
        <v/>
      </c>
      <c r="D6" s="0">
        <f>D2/160</f>
        <v/>
      </c>
      <c r="E6" s="0">
        <f>E2/160</f>
        <v/>
      </c>
      <c r="F6" s="0">
        <f>F2/157</f>
        <v/>
      </c>
      <c r="G6" s="0">
        <f>G2/264</f>
        <v/>
      </c>
      <c r="H6" s="0">
        <f>H2/490</f>
        <v/>
      </c>
      <c r="I6" s="0">
        <f>I2/826</f>
        <v/>
      </c>
      <c r="J6" s="0">
        <f>J2/877</f>
        <v/>
      </c>
      <c r="L6" s="32" t="n">
        <v>10</v>
      </c>
      <c r="N6" s="11" t="n">
        <v>77</v>
      </c>
      <c r="O6" s="12" t="n">
        <v>77</v>
      </c>
      <c r="P6" s="11" t="n">
        <v>77</v>
      </c>
      <c r="Q6" s="12" t="n">
        <v>77</v>
      </c>
      <c r="R6" s="11" t="n">
        <v>77</v>
      </c>
      <c r="T6" s="13" t="n">
        <v>55</v>
      </c>
      <c r="U6" s="12" t="n">
        <v>55</v>
      </c>
      <c r="V6" s="13" t="n">
        <v>55</v>
      </c>
      <c r="W6" s="12" t="n">
        <v>55</v>
      </c>
      <c r="X6" s="13" t="n">
        <v>55</v>
      </c>
      <c r="Z6" s="13" t="n">
        <v>55</v>
      </c>
      <c r="AA6" s="12" t="n">
        <v>55</v>
      </c>
      <c r="AB6" s="13" t="n">
        <v>55</v>
      </c>
      <c r="AC6" s="12" t="n">
        <v>55</v>
      </c>
      <c r="AD6" s="13" t="n">
        <v>55</v>
      </c>
      <c r="AF6" s="13" t="n">
        <v>55</v>
      </c>
      <c r="AG6" s="12" t="n">
        <v>55</v>
      </c>
      <c r="AH6" s="13" t="n">
        <v>55</v>
      </c>
      <c r="AI6" s="12" t="n">
        <v>55</v>
      </c>
      <c r="AJ6" s="13" t="n">
        <v>55</v>
      </c>
      <c r="AM6" s="0" t="inlineStr">
        <is>
          <t>Line Prize Won: 330.00K (Stage : 1) - 330000</t>
        </is>
      </c>
      <c r="AO6" s="0" t="inlineStr">
        <is>
          <t>(Stage : 2)</t>
        </is>
      </c>
      <c r="AP6" s="0">
        <f>ROUND(COUNTIF(AM:AM,"*(Stage : 2)*")/2,0)</f>
        <v/>
      </c>
      <c r="AR6" s="0" t="inlineStr">
        <is>
          <t>Line Prize Won: 1.82M (Stage : 7) - 1820000</t>
        </is>
      </c>
      <c r="AT6" s="0" t="inlineStr">
        <is>
          <t>(Stage : 2)</t>
        </is>
      </c>
      <c r="AU6" s="0">
        <f>ROUND(COUNTIF(AR:AR,"*(Stage : 2)*")/2,0)</f>
        <v/>
      </c>
    </row>
    <row r="7">
      <c r="B7" s="2">
        <f>B3/B5</f>
        <v/>
      </c>
      <c r="C7" s="2">
        <f>C3/C5</f>
        <v/>
      </c>
      <c r="D7" s="2">
        <f>D3/D5</f>
        <v/>
      </c>
      <c r="E7" s="2">
        <f>E3/E5</f>
        <v/>
      </c>
      <c r="F7" s="2">
        <f>F3/F5</f>
        <v/>
      </c>
      <c r="G7" s="2">
        <f>G3/G5</f>
        <v/>
      </c>
      <c r="H7" s="2">
        <f>H3/H5</f>
        <v/>
      </c>
      <c r="I7" s="2">
        <f>I3/I5</f>
        <v/>
      </c>
      <c r="J7" s="2">
        <f>J3/J5</f>
        <v/>
      </c>
      <c r="K7" s="2" t="n"/>
      <c r="L7" s="32" t="n">
        <v>10</v>
      </c>
      <c r="N7" s="12" t="n">
        <v>77</v>
      </c>
      <c r="O7" s="11" t="n">
        <v>77</v>
      </c>
      <c r="P7" s="11" t="n">
        <v>77</v>
      </c>
      <c r="Q7" s="11" t="n">
        <v>77</v>
      </c>
      <c r="R7" s="12" t="n">
        <v>77</v>
      </c>
      <c r="T7" s="12" t="n">
        <v>55</v>
      </c>
      <c r="U7" s="13" t="n">
        <v>55</v>
      </c>
      <c r="V7" s="13" t="n">
        <v>55</v>
      </c>
      <c r="W7" s="13" t="n">
        <v>55</v>
      </c>
      <c r="X7" s="12" t="n">
        <v>55</v>
      </c>
      <c r="Z7" s="12" t="n">
        <v>55</v>
      </c>
      <c r="AA7" s="13" t="n">
        <v>55</v>
      </c>
      <c r="AB7" s="13" t="n">
        <v>55</v>
      </c>
      <c r="AC7" s="13" t="n">
        <v>55</v>
      </c>
      <c r="AD7" s="12" t="n">
        <v>55</v>
      </c>
      <c r="AF7" s="12" t="n">
        <v>55</v>
      </c>
      <c r="AG7" s="13" t="n">
        <v>55</v>
      </c>
      <c r="AH7" s="13" t="n">
        <v>55</v>
      </c>
      <c r="AI7" s="13" t="n">
        <v>55</v>
      </c>
      <c r="AJ7" s="12" t="n">
        <v>55</v>
      </c>
      <c r="AM7" s="0" t="inlineStr">
        <is>
          <t>Line Prize Won: 410.00K (Stage : 1) - 410000</t>
        </is>
      </c>
      <c r="AO7" s="0" t="inlineStr">
        <is>
          <t>(Stage : 3)</t>
        </is>
      </c>
      <c r="AP7" s="0">
        <f>ROUND(COUNTIF(AM:AM,"*(Stage : 3)*")/2,0)</f>
        <v/>
      </c>
      <c r="AR7" s="0" t="inlineStr">
        <is>
          <t>Line Prize Won: 3.30M (Stage : 5) - 3300000</t>
        </is>
      </c>
      <c r="AT7" s="0" t="inlineStr">
        <is>
          <t>(Stage : 3)</t>
        </is>
      </c>
      <c r="AU7" s="0">
        <f>ROUND(COUNTIF(AR:AR,"*(Stage : 3)*")/2,0)</f>
        <v/>
      </c>
    </row>
    <row r="8">
      <c r="A8" s="0" t="inlineStr">
        <is>
          <t>Daily Gain</t>
        </is>
      </c>
      <c r="B8" s="33">
        <f>B6/B4</f>
        <v/>
      </c>
      <c r="C8" s="33">
        <f>C6/C4</f>
        <v/>
      </c>
      <c r="D8" s="33">
        <f>D6/D4</f>
        <v/>
      </c>
      <c r="E8" s="33">
        <f>E6/E4</f>
        <v/>
      </c>
      <c r="F8" s="33">
        <f>F6/F4</f>
        <v/>
      </c>
      <c r="G8" s="33">
        <f>G6/G4</f>
        <v/>
      </c>
      <c r="H8" s="33">
        <f>H6/H4</f>
        <v/>
      </c>
      <c r="I8" s="33">
        <f>I6/I4</f>
        <v/>
      </c>
      <c r="J8" s="33">
        <f>J6/J4</f>
        <v/>
      </c>
      <c r="K8" s="2" t="n"/>
      <c r="L8" s="32" t="n">
        <v>7</v>
      </c>
      <c r="Q8" s="204" t="n">
        <v>1320</v>
      </c>
      <c r="R8" s="204" t="n"/>
      <c r="W8" s="205" t="n">
        <v>912</v>
      </c>
      <c r="X8" s="205" t="n"/>
      <c r="AC8" s="205" t="n">
        <v>912</v>
      </c>
      <c r="AD8" s="205" t="n"/>
      <c r="AI8" s="205" t="n">
        <v>912</v>
      </c>
      <c r="AJ8" s="205" t="n"/>
      <c r="AM8" s="0" t="inlineStr">
        <is>
          <t>Line Prize Won: 580.00K (Stage : 1) - 580000</t>
        </is>
      </c>
      <c r="AO8" s="0" t="inlineStr">
        <is>
          <t>(Stage : 4)</t>
        </is>
      </c>
      <c r="AP8" s="0">
        <f>ROUND(COUNTIF(AM:AM,"*(Stage : 4)*")/2,0)</f>
        <v/>
      </c>
      <c r="AR8" s="0" t="inlineStr">
        <is>
          <t>Line Prize Won: 360.00K (Stage : 1) - 360000</t>
        </is>
      </c>
      <c r="AT8" s="0" t="inlineStr">
        <is>
          <t>(Stage : 4)</t>
        </is>
      </c>
      <c r="AU8" s="0">
        <f>ROUND(COUNTIF(AR:AR,"*(Stage : 4)*")/2,0)</f>
        <v/>
      </c>
    </row>
    <row r="9">
      <c r="A9" s="0" t="inlineStr">
        <is>
          <t>Min Bet</t>
        </is>
      </c>
      <c r="D9" s="0" t="n">
        <v>150000</v>
      </c>
      <c r="E9" s="0" t="n">
        <v>250000</v>
      </c>
      <c r="F9" s="0" t="n">
        <v>400000</v>
      </c>
      <c r="G9" s="0" t="n">
        <v>600000</v>
      </c>
      <c r="H9" s="0" t="n">
        <v>500000</v>
      </c>
      <c r="I9" s="0" t="n">
        <v>1000000</v>
      </c>
      <c r="J9" s="0" t="n">
        <v>5000000</v>
      </c>
      <c r="K9" s="2" t="n"/>
      <c r="L9" s="32" t="n">
        <v>7</v>
      </c>
      <c r="N9" s="31" t="inlineStr">
        <is>
          <t>Level5</t>
        </is>
      </c>
      <c r="O9" s="31" t="n"/>
      <c r="P9" s="31" t="n"/>
      <c r="Q9" s="31" t="n"/>
      <c r="R9" s="31" t="n"/>
      <c r="T9" s="31" t="inlineStr">
        <is>
          <t>Level6</t>
        </is>
      </c>
      <c r="U9" s="31" t="n"/>
      <c r="V9" s="31" t="n"/>
      <c r="W9" s="31" t="n"/>
      <c r="X9" s="31" t="n"/>
      <c r="Z9" s="31" t="inlineStr">
        <is>
          <t>Level7</t>
        </is>
      </c>
      <c r="AA9" s="31" t="n"/>
      <c r="AB9" s="31" t="n"/>
      <c r="AC9" s="31" t="n"/>
      <c r="AD9" s="31" t="n"/>
      <c r="AF9" s="31" t="inlineStr">
        <is>
          <t>Level8</t>
        </is>
      </c>
      <c r="AG9" s="31" t="n"/>
      <c r="AH9" s="31" t="n"/>
      <c r="AI9" s="31" t="n"/>
      <c r="AJ9" s="31" t="n"/>
      <c r="AM9" s="0" t="inlineStr">
        <is>
          <t>Line Prize Won: 720.00K (Stage : 2) - 720000</t>
        </is>
      </c>
      <c r="AO9" s="0" t="inlineStr">
        <is>
          <t>(Stage : 5)</t>
        </is>
      </c>
      <c r="AP9" s="0">
        <f>ROUND(COUNTIF(AM:AM,"*(Stage : 5)*")/2,0)</f>
        <v/>
      </c>
      <c r="AR9" s="0" t="inlineStr">
        <is>
          <t>Line Prize Won: 380.00K (Stage : 2) - 380000</t>
        </is>
      </c>
      <c r="AT9" s="0" t="inlineStr">
        <is>
          <t>(Stage : 5)</t>
        </is>
      </c>
      <c r="AU9" s="0">
        <f>ROUND(COUNTIF(AR:AR,"*(Stage : 5)*")/2,0)</f>
        <v/>
      </c>
    </row>
    <row r="10">
      <c r="A10" s="0" t="inlineStr">
        <is>
          <t>per RTP</t>
        </is>
      </c>
      <c r="D10" s="35">
        <f>D10/D8</f>
        <v/>
      </c>
      <c r="E10" s="35">
        <f>E10/E8</f>
        <v/>
      </c>
      <c r="F10" s="35">
        <f>F10/F8</f>
        <v/>
      </c>
      <c r="G10" s="35">
        <f>G10/G8</f>
        <v/>
      </c>
      <c r="H10" s="35">
        <f>H10/H8</f>
        <v/>
      </c>
      <c r="I10" s="35">
        <f>I10/I8</f>
        <v/>
      </c>
      <c r="J10" s="35">
        <f>J10/J8</f>
        <v/>
      </c>
      <c r="K10" s="2" t="n"/>
      <c r="L10" s="32" t="n">
        <v>7</v>
      </c>
      <c r="N10" s="22" t="n">
        <v>55</v>
      </c>
      <c r="O10" s="23" t="n">
        <v>55</v>
      </c>
      <c r="P10" s="13" t="n">
        <v>55</v>
      </c>
      <c r="Q10" s="13" t="n">
        <v>55</v>
      </c>
      <c r="R10" s="12" t="n">
        <v>55</v>
      </c>
      <c r="T10" s="22" t="n">
        <v>38</v>
      </c>
      <c r="U10" s="23" t="n">
        <v>38</v>
      </c>
      <c r="V10" s="13" t="n">
        <v>38</v>
      </c>
      <c r="W10" s="13" t="n">
        <v>38</v>
      </c>
      <c r="X10" s="12" t="n">
        <v>38</v>
      </c>
      <c r="Z10" s="22" t="n">
        <v>38</v>
      </c>
      <c r="AA10" s="13" t="n">
        <v>38</v>
      </c>
      <c r="AB10" s="13" t="n">
        <v>38</v>
      </c>
      <c r="AC10" s="13" t="n">
        <v>38</v>
      </c>
      <c r="AD10" s="12" t="n">
        <v>38</v>
      </c>
      <c r="AF10" s="22" t="n">
        <v>38</v>
      </c>
      <c r="AG10" s="13" t="n">
        <v>38</v>
      </c>
      <c r="AH10" s="13" t="n">
        <v>38</v>
      </c>
      <c r="AI10" s="13" t="n">
        <v>38</v>
      </c>
      <c r="AJ10" s="12" t="n">
        <v>38</v>
      </c>
      <c r="AM10" s="0" t="inlineStr">
        <is>
          <t>Line Prize Won: 990.00K (Stage : 4) - 990000</t>
        </is>
      </c>
      <c r="AO10" s="0" t="inlineStr">
        <is>
          <t>(Stage : 6)</t>
        </is>
      </c>
      <c r="AP10" s="0">
        <f>ROUND(COUNTIF(AM:AM,"*(Stage : 6)*")/2,0)</f>
        <v/>
      </c>
      <c r="AR10" s="0" t="inlineStr">
        <is>
          <t>Line Prize Won: 480.00K (Stage : 1) - 480000</t>
        </is>
      </c>
      <c r="AT10" s="0" t="inlineStr">
        <is>
          <t>(Stage : 6)</t>
        </is>
      </c>
      <c r="AU10" s="0">
        <f>ROUND(COUNTIF(AR:AR,"*(Stage : 6)*")/2,0)</f>
        <v/>
      </c>
    </row>
    <row r="11">
      <c r="A11" s="0" t="inlineStr">
        <is>
          <t>Per Spin</t>
        </is>
      </c>
      <c r="B11" s="2">
        <f>B3/(B2*B4)</f>
        <v/>
      </c>
      <c r="C11" s="2">
        <f>C3/(C2*C4)</f>
        <v/>
      </c>
      <c r="D11" s="2">
        <f>D3/(D2*D4)</f>
        <v/>
      </c>
      <c r="E11" s="2">
        <f>E3/(E2*E4)</f>
        <v/>
      </c>
      <c r="F11" s="2">
        <f>F3/(F2*F4)</f>
        <v/>
      </c>
      <c r="G11" s="2">
        <f>G3/(G2*G4)</f>
        <v/>
      </c>
      <c r="H11" s="2">
        <f>H3/(H2*H4)</f>
        <v/>
      </c>
      <c r="I11" s="2">
        <f>I3/(I2*I4)</f>
        <v/>
      </c>
      <c r="J11" s="2">
        <f>J3/(J2*J4)</f>
        <v/>
      </c>
      <c r="K11" s="8" t="n"/>
      <c r="L11" s="25">
        <f>SUM(L2:L9)</f>
        <v/>
      </c>
      <c r="N11" s="13" t="n">
        <v>55</v>
      </c>
      <c r="O11" s="12" t="n">
        <v>55</v>
      </c>
      <c r="P11" s="13" t="n">
        <v>55</v>
      </c>
      <c r="Q11" s="12" t="n">
        <v>55</v>
      </c>
      <c r="R11" s="13" t="n">
        <v>55</v>
      </c>
      <c r="T11" s="13" t="n">
        <v>38</v>
      </c>
      <c r="U11" s="12" t="n">
        <v>38</v>
      </c>
      <c r="V11" s="13" t="n">
        <v>38</v>
      </c>
      <c r="W11" s="12" t="n">
        <v>38</v>
      </c>
      <c r="X11" s="13" t="n">
        <v>38</v>
      </c>
      <c r="Z11" s="13" t="n">
        <v>38</v>
      </c>
      <c r="AA11" s="12" t="n">
        <v>38</v>
      </c>
      <c r="AB11" s="13" t="n">
        <v>38</v>
      </c>
      <c r="AC11" s="12" t="n">
        <v>38</v>
      </c>
      <c r="AD11" s="13" t="n">
        <v>38</v>
      </c>
      <c r="AF11" s="13" t="n">
        <v>38</v>
      </c>
      <c r="AG11" s="12" t="n">
        <v>38</v>
      </c>
      <c r="AH11" s="13" t="n">
        <v>38</v>
      </c>
      <c r="AI11" s="12" t="n">
        <v>38</v>
      </c>
      <c r="AJ11" s="13" t="n">
        <v>38</v>
      </c>
      <c r="AM11" s="0" t="inlineStr">
        <is>
          <t>New Item Acquired: 100.00K (1, 11)</t>
        </is>
      </c>
      <c r="AO11" s="0" t="inlineStr">
        <is>
          <t>(Stage : 7)</t>
        </is>
      </c>
      <c r="AP11" s="0">
        <f>ROUND(COUNTIF(AM:AM,"*(Stage : 7)*")/2,0)</f>
        <v/>
      </c>
      <c r="AR11" s="0" t="inlineStr">
        <is>
          <t>Line Prize Won: 780.00K (Stage : 3) - 780000</t>
        </is>
      </c>
      <c r="AT11" s="0" t="inlineStr">
        <is>
          <t>(Stage : 7)</t>
        </is>
      </c>
      <c r="AU11" s="0">
        <f>ROUND(COUNTIF(AR:AR,"*(Stage : 7)*")/2,0)</f>
        <v/>
      </c>
    </row>
    <row r="12" ht="20.25" customHeight="1" s="161">
      <c r="B12" s="2">
        <f>B3/B4</f>
        <v/>
      </c>
      <c r="C12" s="2">
        <f>C3/C4</f>
        <v/>
      </c>
      <c r="D12" s="2">
        <f>D3/D4</f>
        <v/>
      </c>
      <c r="E12" s="2">
        <f>E3/E4</f>
        <v/>
      </c>
      <c r="F12" s="2">
        <f>F3/F4</f>
        <v/>
      </c>
      <c r="G12" s="2">
        <f>G3/G4</f>
        <v/>
      </c>
      <c r="H12" s="2">
        <f>H3/H4</f>
        <v/>
      </c>
      <c r="I12" s="2">
        <f>I3/I4</f>
        <v/>
      </c>
      <c r="J12" s="2">
        <f>J3/J4</f>
        <v/>
      </c>
      <c r="N12" s="13" t="n">
        <v>55</v>
      </c>
      <c r="O12" s="13" t="n">
        <v>55</v>
      </c>
      <c r="P12" s="14" t="n"/>
      <c r="Q12" s="13" t="n">
        <v>55</v>
      </c>
      <c r="R12" s="13" t="n">
        <v>55</v>
      </c>
      <c r="T12" s="13" t="n">
        <v>38</v>
      </c>
      <c r="U12" s="13" t="n">
        <v>38</v>
      </c>
      <c r="V12" s="14" t="n"/>
      <c r="W12" s="13" t="n">
        <v>38</v>
      </c>
      <c r="X12" s="13" t="n">
        <v>38</v>
      </c>
      <c r="Z12" s="13" t="n">
        <v>38</v>
      </c>
      <c r="AA12" s="13" t="n">
        <v>38</v>
      </c>
      <c r="AB12" s="14" t="n"/>
      <c r="AC12" s="13" t="n">
        <v>38</v>
      </c>
      <c r="AD12" s="13" t="n">
        <v>38</v>
      </c>
      <c r="AF12" s="13" t="n">
        <v>38</v>
      </c>
      <c r="AG12" s="13" t="n">
        <v>38</v>
      </c>
      <c r="AH12" s="14" t="n"/>
      <c r="AI12" s="13" t="n">
        <v>38</v>
      </c>
      <c r="AJ12" s="13" t="n">
        <v>38</v>
      </c>
      <c r="AM12" s="0" t="inlineStr">
        <is>
          <t>New Item Acquired: 100.00K (1, 18)</t>
        </is>
      </c>
      <c r="AO12" s="0" t="inlineStr">
        <is>
          <t>(Stage : 8)</t>
        </is>
      </c>
      <c r="AP12" s="0">
        <f>ROUND(COUNTIF(AM:AM,"*(Stage : 8)*")/2,0)</f>
        <v/>
      </c>
      <c r="AR12" s="0" t="inlineStr">
        <is>
          <t>New Item Acquired: 100.00K (1, 1)</t>
        </is>
      </c>
      <c r="AT12" s="0" t="inlineStr">
        <is>
          <t>(Stage : 8)</t>
        </is>
      </c>
      <c r="AU12" s="0">
        <f>ROUND(COUNTIF(AR:AR,"*(Stage : 8)*")/2,0)</f>
        <v/>
      </c>
    </row>
    <row r="13" ht="18.75" customHeight="1" s="161">
      <c r="D13" s="8">
        <f>'Control Panel'!C8</f>
        <v/>
      </c>
      <c r="E13" s="8">
        <f>'Control Panel'!D8</f>
        <v/>
      </c>
      <c r="F13" s="8">
        <f>'Control Panel'!E8</f>
        <v/>
      </c>
      <c r="G13" s="8">
        <f>'Control Panel'!F8</f>
        <v/>
      </c>
      <c r="H13" s="8">
        <f>'Control Panel'!G8</f>
        <v/>
      </c>
      <c r="I13" s="8">
        <f>'Control Panel'!H8</f>
        <v/>
      </c>
      <c r="J13" s="8">
        <f>'Control Panel'!I8</f>
        <v/>
      </c>
      <c r="N13" s="13" t="n">
        <v>55</v>
      </c>
      <c r="O13" s="12" t="n">
        <v>55</v>
      </c>
      <c r="P13" s="13" t="n">
        <v>55</v>
      </c>
      <c r="Q13" s="12" t="n">
        <v>55</v>
      </c>
      <c r="R13" s="13" t="n">
        <v>55</v>
      </c>
      <c r="T13" s="13" t="n">
        <v>38</v>
      </c>
      <c r="U13" s="12" t="n">
        <v>38</v>
      </c>
      <c r="V13" s="13" t="n">
        <v>38</v>
      </c>
      <c r="W13" s="12" t="n">
        <v>38</v>
      </c>
      <c r="X13" s="13" t="n">
        <v>38</v>
      </c>
      <c r="Z13" s="13" t="n">
        <v>38</v>
      </c>
      <c r="AA13" s="12" t="n">
        <v>38</v>
      </c>
      <c r="AB13" s="13" t="n">
        <v>38</v>
      </c>
      <c r="AC13" s="12" t="n">
        <v>38</v>
      </c>
      <c r="AD13" s="13" t="n">
        <v>38</v>
      </c>
      <c r="AF13" s="13" t="n">
        <v>38</v>
      </c>
      <c r="AG13" s="12" t="n">
        <v>38</v>
      </c>
      <c r="AH13" s="13" t="n">
        <v>38</v>
      </c>
      <c r="AI13" s="12" t="n">
        <v>38</v>
      </c>
      <c r="AJ13" s="13" t="n">
        <v>38</v>
      </c>
      <c r="AM13" s="0" t="inlineStr">
        <is>
          <t>New Item Acquired: 100.00K (1, 20)</t>
        </is>
      </c>
      <c r="AO13" s="34" t="n">
        <v>8710000</v>
      </c>
      <c r="AP13" s="0" t="n">
        <v>10</v>
      </c>
      <c r="AR13" s="0" t="inlineStr">
        <is>
          <t>New Item Acquired: 100.00K (1, 10)</t>
        </is>
      </c>
      <c r="AT13" s="34" t="n">
        <v>12940000</v>
      </c>
      <c r="AU13" s="0" t="n">
        <v>10</v>
      </c>
    </row>
    <row r="14">
      <c r="D14" s="2" t="n"/>
      <c r="E14" s="0">
        <f>E2/D2</f>
        <v/>
      </c>
      <c r="F14" s="0">
        <f>F2/D2</f>
        <v/>
      </c>
      <c r="G14" s="2">
        <f>G2/D2</f>
        <v/>
      </c>
      <c r="H14" s="7">
        <f>H2/D2</f>
        <v/>
      </c>
      <c r="I14" s="0">
        <f>I2/D2</f>
        <v/>
      </c>
      <c r="J14" s="0">
        <f>J2/D2</f>
        <v/>
      </c>
      <c r="K14" s="25" t="n"/>
      <c r="L14" s="25" t="n"/>
      <c r="N14" s="12" t="n">
        <v>55</v>
      </c>
      <c r="O14" s="13" t="n">
        <v>55</v>
      </c>
      <c r="P14" s="13" t="n">
        <v>55</v>
      </c>
      <c r="Q14" s="13" t="n">
        <v>55</v>
      </c>
      <c r="R14" s="12" t="n">
        <v>55</v>
      </c>
      <c r="T14" s="12" t="n">
        <v>38</v>
      </c>
      <c r="U14" s="13" t="n">
        <v>38</v>
      </c>
      <c r="V14" s="13" t="n">
        <v>38</v>
      </c>
      <c r="W14" s="13" t="n">
        <v>38</v>
      </c>
      <c r="X14" s="12" t="n">
        <v>38</v>
      </c>
      <c r="Z14" s="12" t="n">
        <v>38</v>
      </c>
      <c r="AA14" s="13" t="n">
        <v>38</v>
      </c>
      <c r="AB14" s="13" t="n">
        <v>38</v>
      </c>
      <c r="AC14" s="13" t="n">
        <v>38</v>
      </c>
      <c r="AD14" s="12" t="n">
        <v>38</v>
      </c>
      <c r="AF14" s="12" t="n">
        <v>38</v>
      </c>
      <c r="AG14" s="13" t="n">
        <v>38</v>
      </c>
      <c r="AH14" s="13" t="n">
        <v>38</v>
      </c>
      <c r="AI14" s="13" t="n">
        <v>38</v>
      </c>
      <c r="AJ14" s="12" t="n">
        <v>38</v>
      </c>
      <c r="AM14" s="0" t="inlineStr">
        <is>
          <t>New Item Acquired: 100.00K (1, 22)</t>
        </is>
      </c>
      <c r="AO14" s="0" t="n">
        <v>3000</v>
      </c>
      <c r="AP14" s="2">
        <f>AO12/AP12</f>
        <v/>
      </c>
      <c r="AR14" s="0" t="inlineStr">
        <is>
          <t>New Item Acquired: 100.00K (1, 17)</t>
        </is>
      </c>
      <c r="AT14" s="0" t="n">
        <v>3000</v>
      </c>
      <c r="AU14" s="2">
        <f>AT12/AU12</f>
        <v/>
      </c>
    </row>
    <row r="15">
      <c r="E15" s="0">
        <f>E7/D7</f>
        <v/>
      </c>
      <c r="F15" s="0">
        <f>F7/D7</f>
        <v/>
      </c>
      <c r="G15" s="0">
        <f>G7/D7</f>
        <v/>
      </c>
      <c r="H15" s="0">
        <f>H7/D7</f>
        <v/>
      </c>
      <c r="I15" s="0">
        <f>I7/D7</f>
        <v/>
      </c>
      <c r="J15" s="0">
        <f>J7/D7</f>
        <v/>
      </c>
      <c r="AM15" s="0" t="inlineStr">
        <is>
          <t>New Item Acquired: 100.00K (1, 23)</t>
        </is>
      </c>
      <c r="AR15" s="0" t="inlineStr">
        <is>
          <t>New Item Acquired: 100.00K (1, 18)</t>
        </is>
      </c>
    </row>
    <row r="16">
      <c r="E16" s="25">
        <f>E14/E13</f>
        <v/>
      </c>
      <c r="F16" s="25">
        <f>F14/F13</f>
        <v/>
      </c>
      <c r="G16" s="25">
        <f>G14/G13</f>
        <v/>
      </c>
      <c r="H16" s="25">
        <f>H14/H13</f>
        <v/>
      </c>
      <c r="I16" s="25">
        <f>I14/I13</f>
        <v/>
      </c>
      <c r="J16" s="25">
        <f>J14/J13</f>
        <v/>
      </c>
      <c r="AM16" s="0" t="inlineStr">
        <is>
          <t>New Item Acquired: 100.00K (1, 25)</t>
        </is>
      </c>
      <c r="AO16" s="2">
        <f>AO12/AO13</f>
        <v/>
      </c>
      <c r="AR16" s="0" t="inlineStr">
        <is>
          <t>New Item Acquired: 100.00K (1, 23)</t>
        </is>
      </c>
      <c r="AT16" s="2">
        <f>AT12/AT13</f>
        <v/>
      </c>
    </row>
    <row r="17">
      <c r="G17" s="2" t="n"/>
      <c r="AM17" s="0" t="inlineStr">
        <is>
          <t>New Item Acquired: 100.00K (1, 6)</t>
        </is>
      </c>
      <c r="AR17" s="0" t="inlineStr">
        <is>
          <t>New Item Acquired: 100.00K (1, 23)</t>
        </is>
      </c>
    </row>
    <row r="18">
      <c r="F18" s="0" t="n">
        <v>16</v>
      </c>
      <c r="G18" s="2" t="n"/>
      <c r="AM18" s="0" t="inlineStr">
        <is>
          <t>New Item Acquired: 100.00K (1, 7)</t>
        </is>
      </c>
      <c r="AR18" s="0" t="inlineStr">
        <is>
          <t>New Item Acquired: 100.00K (1, 4)</t>
        </is>
      </c>
    </row>
    <row r="19">
      <c r="F19" s="2">
        <f>D11*D12+E11*E12+F11*F12+G11*G12+H11*H12+I11*I12+J11*J12</f>
        <v/>
      </c>
      <c r="G19" s="2" t="n"/>
      <c r="AM19" s="0" t="inlineStr">
        <is>
          <t>New Item Acquired: 100.00K (2, 11)</t>
        </is>
      </c>
      <c r="AR19" s="0" t="inlineStr">
        <is>
          <t>New Item Acquired: 100.00K (1, 5)</t>
        </is>
      </c>
    </row>
    <row r="20">
      <c r="F20" s="2">
        <f>F18/F17</f>
        <v/>
      </c>
      <c r="AM20" s="0" t="inlineStr">
        <is>
          <t>New Item Acquired: 100.00K (2, 12)</t>
        </is>
      </c>
      <c r="AR20" s="0" t="inlineStr">
        <is>
          <t>New Item Acquired: 100.00K (2, 10)</t>
        </is>
      </c>
    </row>
    <row r="21" ht="18.75" customHeight="1" s="161">
      <c r="AM21" s="0" t="inlineStr">
        <is>
          <t>New Item Acquired: 100.00K (2, 15)</t>
        </is>
      </c>
      <c r="AR21" s="0" t="inlineStr">
        <is>
          <t>New Item Acquired: 100.00K (2, 15)</t>
        </is>
      </c>
    </row>
    <row r="22">
      <c r="D22" s="9" t="n"/>
      <c r="AM22" s="0" t="inlineStr">
        <is>
          <t>New Item Acquired: 100.00K (2, 16)</t>
        </is>
      </c>
      <c r="AR22" s="0" t="inlineStr">
        <is>
          <t>New Item Acquired: 100.00K (2, 17)</t>
        </is>
      </c>
    </row>
    <row r="23" ht="18.75" customHeight="1" s="161">
      <c r="M23" s="2" t="n"/>
      <c r="AM23" s="0" t="inlineStr">
        <is>
          <t>New Item Acquired: 100.00K (2, 2)</t>
        </is>
      </c>
      <c r="AR23" s="0" t="inlineStr">
        <is>
          <t>New Item Acquired: 100.00K (2, 19)</t>
        </is>
      </c>
    </row>
    <row r="24">
      <c r="D24" s="2" t="n"/>
      <c r="E24" s="7" t="n"/>
      <c r="AM24" s="0" t="inlineStr">
        <is>
          <t>New Item Acquired: 100.00K (2, 20)</t>
        </is>
      </c>
      <c r="AR24" s="0" t="inlineStr">
        <is>
          <t>New Item Acquired: 100.00K (2, 21)</t>
        </is>
      </c>
    </row>
    <row r="25">
      <c r="AM25" s="0" t="inlineStr">
        <is>
          <t>New Item Acquired: 100.00K (2, 24)</t>
        </is>
      </c>
      <c r="AR25" s="0" t="inlineStr">
        <is>
          <t>New Item Acquired: 100.00K (2, 22)</t>
        </is>
      </c>
    </row>
    <row r="26">
      <c r="AM26" s="0" t="inlineStr">
        <is>
          <t>New Item Acquired: 100.00K (2, 25)</t>
        </is>
      </c>
      <c r="AR26" s="0" t="inlineStr">
        <is>
          <t>New Item Acquired: 120.00K (4, 10)</t>
        </is>
      </c>
    </row>
    <row r="27">
      <c r="H27" s="24" t="n"/>
      <c r="I27" s="24" t="n"/>
      <c r="AM27" s="0" t="inlineStr">
        <is>
          <t>New Item Acquired: 100.00K (2, 3)</t>
        </is>
      </c>
      <c r="AR27" s="0" t="inlineStr">
        <is>
          <t>New Item Acquired: 120.00K (4, 11)</t>
        </is>
      </c>
    </row>
    <row r="28">
      <c r="H28" s="2" t="n"/>
      <c r="I28" s="2" t="n"/>
      <c r="AM28" s="0" t="inlineStr">
        <is>
          <t>New Item Acquired: 100.00K (2, 9)</t>
        </is>
      </c>
      <c r="AR28" s="0" t="inlineStr">
        <is>
          <t>New Item Acquired: 120.00K (4, 12)</t>
        </is>
      </c>
    </row>
    <row r="29">
      <c r="AM29" s="0" t="inlineStr">
        <is>
          <t>New Item Acquired: 120.00K (4, 15)</t>
        </is>
      </c>
      <c r="AR29" s="0" t="inlineStr">
        <is>
          <t>New Item Acquired: 120.00K (4, 12)</t>
        </is>
      </c>
    </row>
    <row r="30">
      <c r="AM30" s="0" t="inlineStr">
        <is>
          <t>New Item Acquired: 120.00K (4, 16)</t>
        </is>
      </c>
      <c r="AR30" s="0" t="inlineStr">
        <is>
          <t>New Item Acquired: 120.00K (4, 15)</t>
        </is>
      </c>
    </row>
    <row r="31">
      <c r="AM31" s="0" t="inlineStr">
        <is>
          <t>New Item Acquired: 120.00K (4, 18)</t>
        </is>
      </c>
      <c r="AR31" s="0" t="inlineStr">
        <is>
          <t>New Item Acquired: 120.00K (4, 19)</t>
        </is>
      </c>
    </row>
    <row r="32">
      <c r="AM32" s="0" t="inlineStr">
        <is>
          <t>New Item Acquired: 120.00K (4, 20)</t>
        </is>
      </c>
      <c r="AR32" s="0" t="inlineStr">
        <is>
          <t>New Item Acquired: 120.00K (4, 2)</t>
        </is>
      </c>
    </row>
    <row r="33">
      <c r="AM33" s="0" t="inlineStr">
        <is>
          <t>New Item Acquired: 120.00K (4, 21)</t>
        </is>
      </c>
      <c r="AR33" s="0" t="inlineStr">
        <is>
          <t>New Item Acquired: 120.00K (4, 25)</t>
        </is>
      </c>
    </row>
    <row r="34">
      <c r="AM34" s="0" t="inlineStr">
        <is>
          <t>New Item Acquired: 120.00K (4, 3)</t>
        </is>
      </c>
      <c r="AR34" s="0" t="inlineStr">
        <is>
          <t>New Item Acquired: 120.00K (4, 3)</t>
        </is>
      </c>
    </row>
    <row r="35">
      <c r="AM35" s="0" t="inlineStr">
        <is>
          <t>New Item Acquired: 120.00K (4, 6)</t>
        </is>
      </c>
      <c r="AR35" s="0" t="inlineStr">
        <is>
          <t>New Item Acquired: 150.00K (3, 1)</t>
        </is>
      </c>
    </row>
    <row r="36">
      <c r="AM36" s="0" t="inlineStr">
        <is>
          <t>New Item Acquired: 120.00K (4, 8)</t>
        </is>
      </c>
      <c r="AR36" s="0" t="inlineStr">
        <is>
          <t>New Item Acquired: 150.00K (3, 10)</t>
        </is>
      </c>
    </row>
    <row r="37">
      <c r="AM37" s="0" t="inlineStr">
        <is>
          <t>New Item Acquired: 150.00K (3, 1)</t>
        </is>
      </c>
      <c r="AR37" s="0" t="inlineStr">
        <is>
          <t>New Item Acquired: 150.00K (3, 17)</t>
        </is>
      </c>
    </row>
    <row r="38">
      <c r="AM38" s="0" t="inlineStr">
        <is>
          <t>New Item Acquired: 150.00K (3, 12)</t>
        </is>
      </c>
      <c r="AR38" s="0" t="inlineStr">
        <is>
          <t>New Item Acquired: 150.00K (3, 22)</t>
        </is>
      </c>
    </row>
    <row r="39">
      <c r="AM39" s="0" t="inlineStr">
        <is>
          <t>New Item Acquired: 150.00K (3, 12)</t>
        </is>
      </c>
      <c r="AR39" s="0" t="inlineStr">
        <is>
          <t>New Item Acquired: 150.00K (3, 24)</t>
        </is>
      </c>
    </row>
    <row r="40">
      <c r="AM40" s="0" t="inlineStr">
        <is>
          <t>New Item Acquired: 150.00K (3, 17)</t>
        </is>
      </c>
      <c r="AR40" s="0" t="inlineStr">
        <is>
          <t>New Item Acquired: 150.00K (3, 8)</t>
        </is>
      </c>
    </row>
    <row r="41">
      <c r="AM41" s="0" t="inlineStr">
        <is>
          <t>New Item Acquired: 150.00K (3, 19)</t>
        </is>
      </c>
      <c r="AR41" s="0" t="inlineStr">
        <is>
          <t>New Item Acquired: 150.00K (3, 9)</t>
        </is>
      </c>
    </row>
    <row r="42">
      <c r="AM42" s="0" t="inlineStr">
        <is>
          <t>New Item Acquired: 150.00K (3, 21)</t>
        </is>
      </c>
      <c r="AR42" s="0" t="inlineStr">
        <is>
          <t>New Item Acquired: 150.00K (4, 11)</t>
        </is>
      </c>
    </row>
    <row r="43">
      <c r="AM43" s="0" t="inlineStr">
        <is>
          <t>New Item Acquired: 150.00K (3, 22)</t>
        </is>
      </c>
      <c r="AR43" s="0" t="inlineStr">
        <is>
          <t>New Item Acquired: 150.00K (4, 18)</t>
        </is>
      </c>
    </row>
    <row r="44">
      <c r="AM44" s="0" t="inlineStr">
        <is>
          <t>New Item Acquired: 150.00K (3, 3)</t>
        </is>
      </c>
      <c r="AR44" s="0" t="inlineStr">
        <is>
          <t>New Item Acquired: 150.00K (4, 19)</t>
        </is>
      </c>
    </row>
    <row r="45">
      <c r="AM45" s="0" t="inlineStr">
        <is>
          <t>New Item Acquired: 150.00K (3, 4)</t>
        </is>
      </c>
      <c r="AR45" s="0" t="inlineStr">
        <is>
          <t>New Item Acquired: 150.00K (4, 20)</t>
        </is>
      </c>
    </row>
    <row r="46">
      <c r="AM46" s="0" t="inlineStr">
        <is>
          <t>New Item Acquired: 150.00K (3, 5)</t>
        </is>
      </c>
      <c r="AR46" s="0" t="inlineStr">
        <is>
          <t>New Item Acquired: 150.00K (4, 24)</t>
        </is>
      </c>
    </row>
    <row r="47">
      <c r="AM47" s="0" t="inlineStr">
        <is>
          <t>New Item Acquired: 150.00K (3, 8)</t>
        </is>
      </c>
      <c r="AR47" s="0" t="inlineStr">
        <is>
          <t>New Item Acquired: 150.00K (4, 4)</t>
        </is>
      </c>
    </row>
    <row r="48">
      <c r="AM48" s="0" t="inlineStr">
        <is>
          <t>New Item Acquired: 150.00K (3, 9)</t>
        </is>
      </c>
      <c r="AR48" s="0" t="inlineStr">
        <is>
          <t>New Item Acquired: 150.00K (4, 7)</t>
        </is>
      </c>
    </row>
    <row r="49">
      <c r="AM49" s="0" t="inlineStr">
        <is>
          <t>New Item Acquired: 150.00K (4, 10)</t>
        </is>
      </c>
      <c r="AR49" s="0" t="inlineStr">
        <is>
          <t>New Item Acquired: 150.00K (4, 8)</t>
        </is>
      </c>
    </row>
    <row r="50">
      <c r="AM50" s="0" t="inlineStr">
        <is>
          <t>New Item Acquired: 150.00K (4, 10)</t>
        </is>
      </c>
      <c r="AR50" s="0" t="inlineStr">
        <is>
          <t>New Item Acquired: 150.00K (5, 16)</t>
        </is>
      </c>
    </row>
    <row r="51">
      <c r="AM51" s="0" t="inlineStr">
        <is>
          <t>New Item Acquired: 150.00K (4, 12)</t>
        </is>
      </c>
      <c r="AR51" s="0" t="inlineStr">
        <is>
          <t>New Item Acquired: 150.00K (5, 16)</t>
        </is>
      </c>
    </row>
    <row r="52">
      <c r="AM52" s="0" t="inlineStr">
        <is>
          <t>New Item Acquired: 150.00K (4, 14)</t>
        </is>
      </c>
      <c r="AR52" s="0" t="inlineStr">
        <is>
          <t>New Item Acquired: 150.00K (5, 18)</t>
        </is>
      </c>
    </row>
    <row r="53">
      <c r="AM53" s="0" t="inlineStr">
        <is>
          <t>New Item Acquired: 150.00K (4, 17)</t>
        </is>
      </c>
      <c r="AR53" s="0" t="inlineStr">
        <is>
          <t>New Item Acquired: 150.00K (5, 19)</t>
        </is>
      </c>
    </row>
    <row r="54">
      <c r="AM54" s="0" t="inlineStr">
        <is>
          <t>New Item Acquired: 150.00K (4, 2)</t>
        </is>
      </c>
      <c r="AR54" s="0" t="inlineStr">
        <is>
          <t>New Item Acquired: 150.00K (5, 2)</t>
        </is>
      </c>
    </row>
    <row r="55">
      <c r="AM55" s="0" t="inlineStr">
        <is>
          <t>New Item Acquired: 150.00K (4, 25)</t>
        </is>
      </c>
      <c r="AR55" s="0" t="inlineStr">
        <is>
          <t>New Item Acquired: 150.00K (5, 20)</t>
        </is>
      </c>
    </row>
    <row r="56">
      <c r="AM56" s="0" t="inlineStr">
        <is>
          <t>New Item Acquired: 150.00K (4, 5)</t>
        </is>
      </c>
      <c r="AR56" s="0" t="inlineStr">
        <is>
          <t>New Item Acquired: 150.00K (5, 23)</t>
        </is>
      </c>
    </row>
    <row r="57">
      <c r="AM57" s="0" t="inlineStr">
        <is>
          <t>New Item Acquired: 150.00K (5, 1)</t>
        </is>
      </c>
      <c r="AR57" s="0" t="inlineStr">
        <is>
          <t>New Item Acquired: 150.00K (5, 4)</t>
        </is>
      </c>
    </row>
    <row r="58">
      <c r="AM58" s="0" t="inlineStr">
        <is>
          <t>New Item Acquired: 150.00K (5, 11)</t>
        </is>
      </c>
      <c r="AR58" s="0" t="inlineStr">
        <is>
          <t>New Item Acquired: 150.00K (5, 5)</t>
        </is>
      </c>
    </row>
    <row r="59">
      <c r="AM59" s="0" t="inlineStr">
        <is>
          <t>New Item Acquired: 150.00K (5, 11)</t>
        </is>
      </c>
      <c r="AR59" s="0" t="inlineStr">
        <is>
          <t>New Item Acquired: 150.00K (5, 5)</t>
        </is>
      </c>
    </row>
    <row r="60">
      <c r="AM60" s="0" t="inlineStr">
        <is>
          <t>New Item Acquired: 150.00K (5, 15)</t>
        </is>
      </c>
      <c r="AR60" s="0" t="inlineStr">
        <is>
          <t>New Item Acquired: 180.00K (6, 19)</t>
        </is>
      </c>
    </row>
    <row r="61">
      <c r="AM61" s="0" t="inlineStr">
        <is>
          <t>New Item Acquired: 150.00K (5, 20)</t>
        </is>
      </c>
      <c r="AR61" s="0" t="inlineStr">
        <is>
          <t>New Item Acquired: 180.00K (6, 2)</t>
        </is>
      </c>
    </row>
    <row r="62">
      <c r="AM62" s="0" t="inlineStr">
        <is>
          <t>New Item Acquired: 150.00K (5, 21)</t>
        </is>
      </c>
      <c r="AR62" s="0" t="inlineStr">
        <is>
          <t>New Item Acquired: 180.00K (6, 7)</t>
        </is>
      </c>
    </row>
    <row r="63">
      <c r="AM63" s="0" t="inlineStr">
        <is>
          <t>New Item Acquired: 150.00K (5, 24)</t>
        </is>
      </c>
      <c r="AR63" s="0" t="inlineStr">
        <is>
          <t>New Item Acquired: 180.00K (6, 9)</t>
        </is>
      </c>
    </row>
    <row r="64">
      <c r="AM64" s="0" t="inlineStr">
        <is>
          <t>New Item Acquired: 150.00K (5, 3)</t>
        </is>
      </c>
      <c r="AR64" s="0" t="inlineStr">
        <is>
          <t>New Item Acquired: 200.00K (2, 19)</t>
        </is>
      </c>
    </row>
    <row r="65">
      <c r="AM65" s="0" t="inlineStr">
        <is>
          <t>New Item Acquired: 150.00K (5, 4)</t>
        </is>
      </c>
      <c r="AR65" s="0" t="inlineStr">
        <is>
          <t>New Item Acquired: 200.00K (2, 25)</t>
        </is>
      </c>
    </row>
    <row r="66">
      <c r="AM66" s="0" t="inlineStr">
        <is>
          <t>New Item Acquired: 150.00K (5, 5)</t>
        </is>
      </c>
      <c r="AR66" s="0" t="inlineStr">
        <is>
          <t>New Item Acquired: 200.00K (2, 8)</t>
        </is>
      </c>
    </row>
    <row r="67">
      <c r="AM67" s="0" t="inlineStr">
        <is>
          <t>New Item Acquired: 150.00K (5, 9)</t>
        </is>
      </c>
      <c r="AR67" s="0" t="inlineStr">
        <is>
          <t>New Item Acquired: 210.00K (7, 1)</t>
        </is>
      </c>
    </row>
    <row r="68">
      <c r="AM68" s="0" t="inlineStr">
        <is>
          <t>New Item Acquired: 180.00K (6, 10)</t>
        </is>
      </c>
      <c r="AR68" s="0" t="inlineStr">
        <is>
          <t>New Item Acquired: 210.00K (7, 18)</t>
        </is>
      </c>
    </row>
    <row r="69">
      <c r="AM69" s="0" t="inlineStr">
        <is>
          <t>New Item Acquired: 180.00K (6, 19)</t>
        </is>
      </c>
      <c r="AR69" s="0" t="inlineStr">
        <is>
          <t>New Item Acquired: 210.00K (7, 20)</t>
        </is>
      </c>
    </row>
    <row r="70">
      <c r="AM70" s="0" t="inlineStr">
        <is>
          <t>New Item Acquired: 180.00K (6, 24)</t>
        </is>
      </c>
      <c r="AR70" s="0" t="inlineStr">
        <is>
          <t>New Item Acquired: 210.00K (7, 22)</t>
        </is>
      </c>
    </row>
    <row r="71">
      <c r="AM71" s="0" t="inlineStr">
        <is>
          <t>New Item Acquired: 180.00K (6, 3)</t>
        </is>
      </c>
      <c r="AR71" s="0" t="inlineStr">
        <is>
          <t>New Item Acquired: 210.00K (7, 23)</t>
        </is>
      </c>
    </row>
    <row r="72">
      <c r="AM72" s="0" t="inlineStr">
        <is>
          <t>New Item Acquired: 180.00K (6, 6)</t>
        </is>
      </c>
      <c r="AR72" s="0" t="inlineStr">
        <is>
          <t>New Item Acquired: 210.00K (7, 25)</t>
        </is>
      </c>
    </row>
    <row r="73">
      <c r="AM73" s="0" t="inlineStr">
        <is>
          <t>New Item Acquired: 180.00K (6, 9)</t>
        </is>
      </c>
      <c r="AR73" s="0" t="inlineStr">
        <is>
          <t>New Item Acquired: 210.00K (7, 5)</t>
        </is>
      </c>
    </row>
    <row r="74">
      <c r="AM74" s="0" t="inlineStr">
        <is>
          <t>New Item Acquired: 200.00K (2, 11)</t>
        </is>
      </c>
      <c r="AR74" s="0" t="inlineStr">
        <is>
          <t>New Item Acquired: 210.00K (7, 6)</t>
        </is>
      </c>
    </row>
    <row r="75">
      <c r="AM75" s="0" t="inlineStr">
        <is>
          <t>New Item Acquired: 200.00K (2, 8)</t>
        </is>
      </c>
      <c r="AR75" s="0" t="inlineStr">
        <is>
          <t>New Item Acquired: 210.00K (7, 7)</t>
        </is>
      </c>
    </row>
    <row r="76">
      <c r="AM76" s="0" t="inlineStr">
        <is>
          <t>New Item Acquired: 210.00K (7, 10)</t>
        </is>
      </c>
      <c r="AR76" s="0" t="inlineStr">
        <is>
          <t>New Item Acquired: 240.00K (8, 10)</t>
        </is>
      </c>
    </row>
    <row r="77">
      <c r="AM77" s="0" t="inlineStr">
        <is>
          <t>New Item Acquired: 210.00K (7, 19)</t>
        </is>
      </c>
      <c r="AR77" s="0" t="inlineStr">
        <is>
          <t>New Item Acquired: 240.00K (8, 14)</t>
        </is>
      </c>
    </row>
    <row r="78">
      <c r="AM78" s="0" t="inlineStr">
        <is>
          <t>New Item Acquired: 210.00K (7, 20)</t>
        </is>
      </c>
      <c r="AR78" s="0" t="inlineStr">
        <is>
          <t>New Item Acquired: 240.00K (8, 15)</t>
        </is>
      </c>
    </row>
    <row r="79">
      <c r="AM79" s="0" t="inlineStr">
        <is>
          <t>New Item Acquired: 210.00K (7, 22)</t>
        </is>
      </c>
      <c r="AR79" s="0" t="inlineStr">
        <is>
          <t>New Item Acquired: 240.00K (8, 16)</t>
        </is>
      </c>
    </row>
    <row r="80">
      <c r="AM80" s="0" t="inlineStr">
        <is>
          <t>New Item Acquired: 210.00K (7, 22)</t>
        </is>
      </c>
      <c r="AR80" s="0" t="inlineStr">
        <is>
          <t>New Item Acquired: 240.00K (8, 17)</t>
        </is>
      </c>
    </row>
    <row r="81">
      <c r="AM81" s="0" t="inlineStr">
        <is>
          <t>New Item Acquired: 210.00K (7, 25)</t>
        </is>
      </c>
      <c r="AR81" s="0" t="inlineStr">
        <is>
          <t>New Item Acquired: 240.00K (8, 19)</t>
        </is>
      </c>
    </row>
    <row r="82">
      <c r="AM82" s="0" t="inlineStr">
        <is>
          <t>New Item Acquired: 210.00K (7, 7)</t>
        </is>
      </c>
      <c r="AR82" s="0" t="inlineStr">
        <is>
          <t>New Item Acquired: 240.00K (8, 3)</t>
        </is>
      </c>
    </row>
    <row r="83">
      <c r="AM83" s="0" t="inlineStr">
        <is>
          <t>New Item Acquired: 240.00K (8, 10)</t>
        </is>
      </c>
      <c r="AR83" s="0" t="inlineStr">
        <is>
          <t>New Item Acquired: 240.00K (8, 4)</t>
        </is>
      </c>
    </row>
    <row r="84">
      <c r="AM84" s="0" t="inlineStr">
        <is>
          <t>New Item Acquired: 240.00K (8, 16)</t>
        </is>
      </c>
      <c r="AR84" s="0" t="inlineStr">
        <is>
          <t>New Item Acquired: 240.00K (8, 9)</t>
        </is>
      </c>
    </row>
    <row r="85">
      <c r="AM85" s="0" t="inlineStr">
        <is>
          <t>New Item Acquired: 240.00K (8, 22)</t>
        </is>
      </c>
      <c r="AR85" s="0" t="inlineStr">
        <is>
          <t>New Item Acquired: 250.00K (5, 1)</t>
        </is>
      </c>
    </row>
    <row r="86">
      <c r="AM86" s="0" t="inlineStr">
        <is>
          <t>New Item Acquired: 240.00K (8, 23)</t>
        </is>
      </c>
      <c r="AR86" s="0" t="inlineStr">
        <is>
          <t>New Item Acquired: 250.00K (5, 10)</t>
        </is>
      </c>
    </row>
    <row r="87">
      <c r="AM87" s="0" t="inlineStr">
        <is>
          <t>New Item Acquired: 240.00K (8, 6)</t>
        </is>
      </c>
      <c r="AR87" s="0" t="inlineStr">
        <is>
          <t>New Item Acquired: 250.00K (5, 10)</t>
        </is>
      </c>
    </row>
    <row r="88">
      <c r="AM88" s="0" t="inlineStr">
        <is>
          <t>New Item Acquired: 240.00K (8, 9)</t>
        </is>
      </c>
      <c r="AR88" s="0" t="inlineStr">
        <is>
          <t>New Item Acquired: 250.00K (5, 12)</t>
        </is>
      </c>
    </row>
    <row r="89">
      <c r="AM89" s="0" t="inlineStr">
        <is>
          <t>New Item Acquired: 250.00K (5, 1)</t>
        </is>
      </c>
      <c r="AR89" s="0" t="inlineStr">
        <is>
          <t>New Item Acquired: 250.00K (5, 18)</t>
        </is>
      </c>
    </row>
    <row r="90">
      <c r="AM90" s="0" t="inlineStr">
        <is>
          <t>New Item Acquired: 250.00K (5, 12)</t>
        </is>
      </c>
      <c r="AR90" s="0" t="inlineStr">
        <is>
          <t>New Item Acquired: 250.00K (5, 2)</t>
        </is>
      </c>
    </row>
    <row r="91">
      <c r="AM91" s="0" t="inlineStr">
        <is>
          <t>New Item Acquired: 250.00K (5, 16)</t>
        </is>
      </c>
      <c r="AR91" s="0" t="inlineStr">
        <is>
          <t>New Item Acquired: 250.00K (5, 21)</t>
        </is>
      </c>
    </row>
    <row r="92">
      <c r="AM92" s="0" t="inlineStr">
        <is>
          <t>New Item Acquired: 250.00K (5, 16)</t>
        </is>
      </c>
      <c r="AR92" s="0" t="inlineStr">
        <is>
          <t>New Item Acquired: 250.00K (5, 22)</t>
        </is>
      </c>
    </row>
    <row r="93">
      <c r="AM93" s="0" t="inlineStr">
        <is>
          <t>New Item Acquired: 250.00K (5, 18)</t>
        </is>
      </c>
      <c r="AR93" s="0" t="inlineStr">
        <is>
          <t>New Item Acquired: 250.00K (5, 22)</t>
        </is>
      </c>
    </row>
    <row r="94">
      <c r="AM94" s="0" t="inlineStr">
        <is>
          <t>New Item Acquired: 250.00K (5, 19)</t>
        </is>
      </c>
      <c r="AR94" s="0" t="inlineStr">
        <is>
          <t>New Item Acquired: 250.00K (5, 23)</t>
        </is>
      </c>
    </row>
    <row r="95">
      <c r="AM95" s="0" t="inlineStr">
        <is>
          <t>New Item Acquired: 250.00K (5, 20)</t>
        </is>
      </c>
      <c r="AR95" s="0" t="inlineStr">
        <is>
          <t>New Item Acquired: 250.00K (5, 24)</t>
        </is>
      </c>
    </row>
    <row r="96">
      <c r="AM96" s="0" t="inlineStr">
        <is>
          <t>New Item Acquired: 250.00K (5, 22)</t>
        </is>
      </c>
      <c r="AR96" s="0" t="inlineStr">
        <is>
          <t>New Item Acquired: 250.00K (5, 7)</t>
        </is>
      </c>
    </row>
    <row r="97">
      <c r="AM97" s="0" t="inlineStr">
        <is>
          <t>New Item Acquired: 250.00K (5, 23)</t>
        </is>
      </c>
      <c r="AR97" s="0" t="inlineStr">
        <is>
          <t>New Item Acquired: 250.00K (5, 9)</t>
        </is>
      </c>
    </row>
    <row r="98">
      <c r="AM98" s="0" t="inlineStr">
        <is>
          <t>New Item Acquired: 250.00K (5, 23)</t>
        </is>
      </c>
      <c r="AR98" s="0" t="inlineStr">
        <is>
          <t>New Item Acquired: 30.00K (1, 11)</t>
        </is>
      </c>
    </row>
    <row r="99">
      <c r="AM99" s="0" t="inlineStr">
        <is>
          <t>New Item Acquired: 250.00K (5, 25)</t>
        </is>
      </c>
      <c r="AR99" s="0" t="inlineStr">
        <is>
          <t>New Item Acquired: 30.00K (1, 11)</t>
        </is>
      </c>
    </row>
    <row r="100">
      <c r="AM100" s="0" t="inlineStr">
        <is>
          <t>New Item Acquired: 250.00K (5, 6)</t>
        </is>
      </c>
      <c r="AR100" s="0" t="inlineStr">
        <is>
          <t>New Item Acquired: 30.00K (1, 14)</t>
        </is>
      </c>
    </row>
    <row r="101">
      <c r="AM101" s="0" t="inlineStr">
        <is>
          <t>New Item Acquired: 30.00K (1, 11)</t>
        </is>
      </c>
      <c r="AR101" s="0" t="inlineStr">
        <is>
          <t>New Item Acquired: 30.00K (1, 15)</t>
        </is>
      </c>
    </row>
    <row r="102">
      <c r="AM102" s="0" t="inlineStr">
        <is>
          <t>New Item Acquired: 30.00K (1, 14)</t>
        </is>
      </c>
      <c r="AR102" s="0" t="inlineStr">
        <is>
          <t>New Item Acquired: 30.00K (1, 17)</t>
        </is>
      </c>
    </row>
    <row r="103">
      <c r="AM103" s="0" t="inlineStr">
        <is>
          <t>New Item Acquired: 30.00K (1, 16)</t>
        </is>
      </c>
      <c r="AR103" s="0" t="inlineStr">
        <is>
          <t>New Item Acquired: 30.00K (1, 18)</t>
        </is>
      </c>
    </row>
    <row r="104">
      <c r="AM104" s="0" t="inlineStr">
        <is>
          <t>New Item Acquired: 30.00K (1, 19)</t>
        </is>
      </c>
      <c r="AR104" s="0" t="inlineStr">
        <is>
          <t>New Item Acquired: 30.00K (1, 19)</t>
        </is>
      </c>
    </row>
    <row r="105">
      <c r="AM105" s="0" t="inlineStr">
        <is>
          <t>New Item Acquired: 30.00K (1, 2)</t>
        </is>
      </c>
      <c r="AR105" s="0" t="inlineStr">
        <is>
          <t>New Item Acquired: 30.00K (1, 19)</t>
        </is>
      </c>
    </row>
    <row r="106">
      <c r="AM106" s="0" t="inlineStr">
        <is>
          <t>New Item Acquired: 30.00K (1, 21)</t>
        </is>
      </c>
      <c r="AR106" s="0" t="inlineStr">
        <is>
          <t>New Item Acquired: 30.00K (1, 20)</t>
        </is>
      </c>
    </row>
    <row r="107">
      <c r="AM107" s="0" t="inlineStr">
        <is>
          <t>New Item Acquired: 30.00K (1, 24)</t>
        </is>
      </c>
      <c r="AR107" s="0" t="inlineStr">
        <is>
          <t>New Item Acquired: 30.00K (1, 21)</t>
        </is>
      </c>
    </row>
    <row r="108">
      <c r="AM108" s="0" t="inlineStr">
        <is>
          <t>New Item Acquired: 30.00K (1, 25)</t>
        </is>
      </c>
      <c r="AR108" s="0" t="inlineStr">
        <is>
          <t>New Item Acquired: 30.00K (1, 22)</t>
        </is>
      </c>
    </row>
    <row r="109">
      <c r="AM109" s="0" t="inlineStr">
        <is>
          <t>New Item Acquired: 30.00K (1, 3)</t>
        </is>
      </c>
      <c r="AR109" s="0" t="inlineStr">
        <is>
          <t>New Item Acquired: 30.00K (1, 3)</t>
        </is>
      </c>
    </row>
    <row r="110">
      <c r="AM110" s="0" t="inlineStr">
        <is>
          <t>New Item Acquired: 30.00K (1, 3)</t>
        </is>
      </c>
      <c r="AR110" s="0" t="inlineStr">
        <is>
          <t>New Item Acquired: 300.00K (3, 16)</t>
        </is>
      </c>
    </row>
    <row r="111">
      <c r="AM111" s="0" t="inlineStr">
        <is>
          <t>New Item Acquired: 30.00K (1, 4)</t>
        </is>
      </c>
      <c r="AR111" s="0" t="inlineStr">
        <is>
          <t>New Item Acquired: 300.00K (3, 18)</t>
        </is>
      </c>
    </row>
    <row r="112">
      <c r="AM112" s="0" t="inlineStr">
        <is>
          <t>New Item Acquired: 30.00K (1, 5)</t>
        </is>
      </c>
      <c r="AR112" s="0" t="inlineStr">
        <is>
          <t>New Item Acquired: 300.00K (3, 19)</t>
        </is>
      </c>
    </row>
    <row r="113">
      <c r="AM113" s="0" t="inlineStr">
        <is>
          <t>New Item Acquired: 30.00K (1, 8)</t>
        </is>
      </c>
      <c r="AR113" s="0" t="inlineStr">
        <is>
          <t>New Item Acquired: 300.00K (3, 21)</t>
        </is>
      </c>
    </row>
    <row r="114">
      <c r="AM114" s="0" t="inlineStr">
        <is>
          <t>New Item Acquired: 30.00K (1, 8)</t>
        </is>
      </c>
      <c r="AR114" s="0" t="inlineStr">
        <is>
          <t>New Item Acquired: 300.00K (4, 6)</t>
        </is>
      </c>
    </row>
    <row r="115">
      <c r="AM115" s="0" t="inlineStr">
        <is>
          <t>New Item Acquired: 300.00K (3, 16)</t>
        </is>
      </c>
      <c r="AR115" s="0" t="inlineStr">
        <is>
          <t>New Item Acquired: 300.00K (4, 9)</t>
        </is>
      </c>
    </row>
    <row r="116">
      <c r="AM116" s="0" t="inlineStr">
        <is>
          <t>New Item Acquired: 300.00K (3, 2)</t>
        </is>
      </c>
      <c r="AR116" s="0" t="inlineStr">
        <is>
          <t>New Item Acquired: 300.00K (6, 10)</t>
        </is>
      </c>
    </row>
    <row r="117">
      <c r="AM117" s="0" t="inlineStr">
        <is>
          <t>New Item Acquired: 300.00K (3, 25)</t>
        </is>
      </c>
      <c r="AR117" s="0" t="inlineStr">
        <is>
          <t>New Item Acquired: 300.00K (6, 12)</t>
        </is>
      </c>
    </row>
    <row r="118">
      <c r="AM118" s="0" t="inlineStr">
        <is>
          <t>New Item Acquired: 300.00K (3, 4)</t>
        </is>
      </c>
      <c r="AR118" s="0" t="inlineStr">
        <is>
          <t>New Item Acquired: 300.00K (6, 14)</t>
        </is>
      </c>
    </row>
    <row r="119">
      <c r="AM119" s="0" t="inlineStr">
        <is>
          <t>New Item Acquired: 300.00K (3, 5)</t>
        </is>
      </c>
      <c r="AR119" s="0" t="inlineStr">
        <is>
          <t>New Item Acquired: 300.00K (6, 20)</t>
        </is>
      </c>
    </row>
    <row r="120">
      <c r="AM120" s="0" t="inlineStr">
        <is>
          <t>New Item Acquired: 300.00K (3, 6)</t>
        </is>
      </c>
      <c r="AR120" s="0" t="inlineStr">
        <is>
          <t>New Item Acquired: 300.00K (6, 21)</t>
        </is>
      </c>
    </row>
    <row r="121">
      <c r="AM121" s="0" t="inlineStr">
        <is>
          <t>New Item Acquired: 300.00K (3, 9)</t>
        </is>
      </c>
      <c r="AR121" s="0" t="inlineStr">
        <is>
          <t>New Item Acquired: 300.00K (6, 4)</t>
        </is>
      </c>
    </row>
    <row r="122">
      <c r="AM122" s="0" t="inlineStr">
        <is>
          <t>New Item Acquired: 300.00K (4, 1)</t>
        </is>
      </c>
      <c r="AR122" s="0" t="inlineStr">
        <is>
          <t>New Item Acquired: 300.00K (6, 5)</t>
        </is>
      </c>
    </row>
    <row r="123">
      <c r="AM123" s="0" t="inlineStr">
        <is>
          <t>New Item Acquired: 300.00K (4, 18)</t>
        </is>
      </c>
      <c r="AR123" s="0" t="inlineStr">
        <is>
          <t>New Item Acquired: 350.00K (7, 10)</t>
        </is>
      </c>
    </row>
    <row r="124">
      <c r="AM124" s="0" t="inlineStr">
        <is>
          <t>New Item Acquired: 300.00K (4, 19)</t>
        </is>
      </c>
      <c r="AR124" s="0" t="inlineStr">
        <is>
          <t>New Item Acquired: 350.00K (7, 11)</t>
        </is>
      </c>
    </row>
    <row r="125">
      <c r="AM125" s="0" t="inlineStr">
        <is>
          <t>New Item Acquired: 300.00K (4, 23)</t>
        </is>
      </c>
      <c r="AR125" s="0" t="inlineStr">
        <is>
          <t>New Item Acquired: 350.00K (7, 14)</t>
        </is>
      </c>
    </row>
    <row r="126">
      <c r="AM126" s="0" t="inlineStr">
        <is>
          <t>New Item Acquired: 300.00K (6, 22)</t>
        </is>
      </c>
      <c r="AR126" s="0" t="inlineStr">
        <is>
          <t>New Item Acquired: 350.00K (7, 15)</t>
        </is>
      </c>
    </row>
    <row r="127">
      <c r="AM127" s="0" t="inlineStr">
        <is>
          <t>New Item Acquired: 350.00K (7, 1)</t>
        </is>
      </c>
      <c r="AR127" s="0" t="inlineStr">
        <is>
          <t>New Item Acquired: 350.00K (7, 19)</t>
        </is>
      </c>
    </row>
    <row r="128">
      <c r="AM128" s="0" t="inlineStr">
        <is>
          <t>New Item Acquired: 350.00K (7, 10)</t>
        </is>
      </c>
      <c r="AR128" s="0" t="inlineStr">
        <is>
          <t>New Item Acquired: 350.00K (7, 2)</t>
        </is>
      </c>
    </row>
    <row r="129">
      <c r="AM129" s="0" t="inlineStr">
        <is>
          <t>New Item Acquired: 350.00K (7, 18)</t>
        </is>
      </c>
      <c r="AR129" s="0" t="inlineStr">
        <is>
          <t>New Item Acquired: 350.00K (7, 21)</t>
        </is>
      </c>
    </row>
    <row r="130">
      <c r="AM130" s="0" t="inlineStr">
        <is>
          <t>New Item Acquired: 350.00K (7, 23)</t>
        </is>
      </c>
      <c r="AR130" s="0" t="inlineStr">
        <is>
          <t>New Item Acquired: 350.00K (7, 23)</t>
        </is>
      </c>
    </row>
    <row r="131">
      <c r="AM131" s="0" t="inlineStr">
        <is>
          <t>New Item Acquired: 350.00K (7, 23)</t>
        </is>
      </c>
      <c r="AR131" s="0" t="inlineStr">
        <is>
          <t>New Item Acquired: 350.00K (7, 3)</t>
        </is>
      </c>
    </row>
    <row r="132">
      <c r="AM132" s="0" t="inlineStr">
        <is>
          <t>New Item Acquired: 350.00K (7, 24)</t>
        </is>
      </c>
      <c r="AR132" s="0" t="inlineStr">
        <is>
          <t>New Item Acquired: 350.00K (7, 4)</t>
        </is>
      </c>
    </row>
    <row r="133">
      <c r="AM133" s="0" t="inlineStr">
        <is>
          <t>New Item Acquired: 350.00K (7, 3)</t>
        </is>
      </c>
      <c r="AR133" s="0" t="inlineStr">
        <is>
          <t>New Item Acquired: 350.00K (7, 6)</t>
        </is>
      </c>
    </row>
    <row r="134">
      <c r="AM134" s="0" t="inlineStr">
        <is>
          <t>New Item Acquired: 350.00K (7, 5)</t>
        </is>
      </c>
      <c r="AR134" s="0" t="inlineStr">
        <is>
          <t>New Item Acquired: 350.00K (7, 7)</t>
        </is>
      </c>
    </row>
    <row r="135">
      <c r="AM135" s="0" t="inlineStr">
        <is>
          <t>New Item Acquired: 400.00K (8, 1)</t>
        </is>
      </c>
      <c r="AR135" s="0" t="inlineStr">
        <is>
          <t>New Item Acquired: 400.00K (8, 20)</t>
        </is>
      </c>
    </row>
    <row r="136">
      <c r="AM136" s="0" t="inlineStr">
        <is>
          <t>New Item Acquired: 400.00K (8, 12)</t>
        </is>
      </c>
      <c r="AR136" s="0" t="inlineStr">
        <is>
          <t>New Item Acquired: 400.00K (8, 23)</t>
        </is>
      </c>
    </row>
    <row r="137">
      <c r="AM137" s="0" t="inlineStr">
        <is>
          <t>New Item Acquired: 400.00K (8, 18)</t>
        </is>
      </c>
      <c r="AR137" s="0" t="inlineStr">
        <is>
          <t>New Item Acquired: 400.00K (8, 24)</t>
        </is>
      </c>
    </row>
    <row r="138">
      <c r="AM138" s="0" t="inlineStr">
        <is>
          <t>New Item Acquired: 400.00K (8, 24)</t>
        </is>
      </c>
      <c r="AR138" s="0" t="inlineStr">
        <is>
          <t>New Item Acquired: 400.00K (8, 24)</t>
        </is>
      </c>
    </row>
    <row r="139">
      <c r="AM139" s="0" t="inlineStr">
        <is>
          <t>New Item Acquired: 400.00K (8, 5)</t>
        </is>
      </c>
      <c r="AR139" s="0" t="inlineStr">
        <is>
          <t>New Item Acquired: 400.00K (8, 25)</t>
        </is>
      </c>
    </row>
    <row r="140">
      <c r="AM140" s="0" t="inlineStr">
        <is>
          <t>New Item Acquired: 50.00K (1, 1)</t>
        </is>
      </c>
      <c r="AR140" s="0" t="inlineStr">
        <is>
          <t>New Item Acquired: 400.00K (8, 8)</t>
        </is>
      </c>
    </row>
    <row r="141">
      <c r="AM141" s="0" t="inlineStr">
        <is>
          <t>New Item Acquired: 50.00K (1, 10)</t>
        </is>
      </c>
      <c r="AR141" s="0" t="inlineStr">
        <is>
          <t>New Item Acquired: 50.00K (1, 1)</t>
        </is>
      </c>
    </row>
    <row r="142">
      <c r="AM142" s="0" t="inlineStr">
        <is>
          <t>New Item Acquired: 50.00K (1, 12)</t>
        </is>
      </c>
      <c r="AR142" s="0" t="inlineStr">
        <is>
          <t>New Item Acquired: 50.00K (1, 14)</t>
        </is>
      </c>
    </row>
    <row r="143">
      <c r="AM143" s="0" t="inlineStr">
        <is>
          <t>New Item Acquired: 50.00K (1, 15)</t>
        </is>
      </c>
      <c r="AR143" s="0" t="inlineStr">
        <is>
          <t>New Item Acquired: 50.00K (1, 15)</t>
        </is>
      </c>
    </row>
    <row r="144">
      <c r="AM144" s="0" t="inlineStr">
        <is>
          <t>New Item Acquired: 50.00K (1, 16)</t>
        </is>
      </c>
      <c r="AR144" s="0" t="inlineStr">
        <is>
          <t>New Item Acquired: 50.00K (1, 16)</t>
        </is>
      </c>
    </row>
    <row r="145">
      <c r="AM145" s="0" t="inlineStr">
        <is>
          <t>New Item Acquired: 50.00K (1, 17)</t>
        </is>
      </c>
      <c r="AR145" s="0" t="inlineStr">
        <is>
          <t>New Item Acquired: 50.00K (1, 18)</t>
        </is>
      </c>
    </row>
    <row r="146">
      <c r="AM146" s="0" t="inlineStr">
        <is>
          <t>New Item Acquired: 50.00K (1, 17)</t>
        </is>
      </c>
      <c r="AR146" s="0" t="inlineStr">
        <is>
          <t>New Item Acquired: 50.00K (1, 20)</t>
        </is>
      </c>
    </row>
    <row r="147">
      <c r="AM147" s="0" t="inlineStr">
        <is>
          <t>New Item Acquired: 50.00K (1, 18)</t>
        </is>
      </c>
      <c r="AR147" s="0" t="inlineStr">
        <is>
          <t>New Item Acquired: 50.00K (1, 21)</t>
        </is>
      </c>
    </row>
    <row r="148">
      <c r="AM148" s="0" t="inlineStr">
        <is>
          <t>New Item Acquired: 50.00K (1, 18)</t>
        </is>
      </c>
      <c r="AR148" s="0" t="inlineStr">
        <is>
          <t>New Item Acquired: 50.00K (1, 22)</t>
        </is>
      </c>
    </row>
    <row r="149">
      <c r="AM149" s="0" t="inlineStr">
        <is>
          <t>New Item Acquired: 50.00K (1, 21)</t>
        </is>
      </c>
      <c r="AR149" s="0" t="inlineStr">
        <is>
          <t>New Item Acquired: 50.00K (1, 24)</t>
        </is>
      </c>
    </row>
    <row r="150">
      <c r="AM150" s="0" t="inlineStr">
        <is>
          <t>New Item Acquired: 50.00K (1, 22)</t>
        </is>
      </c>
      <c r="AR150" s="0" t="inlineStr">
        <is>
          <t>New Item Acquired: 50.00K (1, 24)</t>
        </is>
      </c>
    </row>
    <row r="151">
      <c r="AM151" s="0" t="inlineStr">
        <is>
          <t>New Item Acquired: 50.00K (1, 23)</t>
        </is>
      </c>
      <c r="AR151" s="0" t="inlineStr">
        <is>
          <t>New Item Acquired: 50.00K (1, 3)</t>
        </is>
      </c>
    </row>
    <row r="152">
      <c r="AM152" s="0" t="inlineStr">
        <is>
          <t>New Item Acquired: 50.00K (1, 9)</t>
        </is>
      </c>
      <c r="AR152" s="0" t="inlineStr">
        <is>
          <t>New Item Acquired: 50.00K (1, 5)</t>
        </is>
      </c>
    </row>
    <row r="153">
      <c r="AM153" s="0" t="inlineStr">
        <is>
          <t>New Item Acquired: 50.00K (1, 9)</t>
        </is>
      </c>
      <c r="AR153" s="0" t="inlineStr">
        <is>
          <t>New Item Acquired: 50.00K (1, 8)</t>
        </is>
      </c>
    </row>
    <row r="154">
      <c r="AM154" s="0" t="inlineStr">
        <is>
          <t>New Item Acquired: 500.00K (5, 19)</t>
        </is>
      </c>
      <c r="AR154" s="0" t="inlineStr">
        <is>
          <t>New Item Acquired: 500.00K (5, 3)</t>
        </is>
      </c>
    </row>
    <row r="155">
      <c r="AM155" s="0" t="inlineStr">
        <is>
          <t>New Item Acquired: 500.00K (5, 6)</t>
        </is>
      </c>
      <c r="AR155" s="0" t="inlineStr">
        <is>
          <t>New Item Acquired: 500.00K (5, 6)</t>
        </is>
      </c>
    </row>
    <row r="156">
      <c r="AM156" s="0" t="inlineStr">
        <is>
          <t>New Item Acquired: 60.00K (2, 1)</t>
        </is>
      </c>
      <c r="AR156" s="0" t="inlineStr">
        <is>
          <t>New Item Acquired: 500.00K (5, 6)</t>
        </is>
      </c>
    </row>
    <row r="157">
      <c r="AM157" s="0" t="inlineStr">
        <is>
          <t>New Item Acquired: 60.00K (2, 18)</t>
        </is>
      </c>
      <c r="AR157" s="0" t="inlineStr">
        <is>
          <t>New Item Acquired: 60.00K (2, 15)</t>
        </is>
      </c>
    </row>
    <row r="158">
      <c r="AM158" s="0" t="inlineStr">
        <is>
          <t>New Item Acquired: 60.00K (2, 20)</t>
        </is>
      </c>
      <c r="AR158" s="0" t="inlineStr">
        <is>
          <t>New Item Acquired: 60.00K (2, 20)</t>
        </is>
      </c>
    </row>
    <row r="159">
      <c r="AM159" s="0" t="inlineStr">
        <is>
          <t>New Item Acquired: 60.00K (2, 21)</t>
        </is>
      </c>
      <c r="AR159" s="0" t="inlineStr">
        <is>
          <t>New Item Acquired: 60.00K (2, 23)</t>
        </is>
      </c>
    </row>
    <row r="160">
      <c r="AM160" s="0" t="inlineStr">
        <is>
          <t>New Item Acquired: 60.00K (2, 5)</t>
        </is>
      </c>
      <c r="AR160" s="0" t="inlineStr">
        <is>
          <t>New Item Acquired: 60.00K (2, 24)</t>
        </is>
      </c>
    </row>
    <row r="161">
      <c r="AM161" s="0" t="inlineStr">
        <is>
          <t>New Item Acquired: 600.00K (6, 23)</t>
        </is>
      </c>
      <c r="AR161" s="0" t="inlineStr">
        <is>
          <t>New Item Acquired: 60.00K (2, 25)</t>
        </is>
      </c>
    </row>
    <row r="162">
      <c r="AM162" s="0" t="inlineStr">
        <is>
          <t>New Item Acquired: 600.00K (6, 5)</t>
        </is>
      </c>
      <c r="AR162" s="0" t="inlineStr">
        <is>
          <t>New Item Acquired: 60.00K (2, 3)</t>
        </is>
      </c>
    </row>
    <row r="163">
      <c r="AM163" s="0" t="inlineStr">
        <is>
          <t>New Item Acquired: 800.00K (8, 7)</t>
        </is>
      </c>
      <c r="AR163" s="0" t="inlineStr">
        <is>
          <t>New Item Acquired: 60.00K (2, 6)</t>
        </is>
      </c>
    </row>
    <row r="164">
      <c r="AM164" s="0" t="inlineStr">
        <is>
          <t>New Item Acquired: 90.00K (3, 10)</t>
        </is>
      </c>
      <c r="AR164" s="0" t="inlineStr">
        <is>
          <t>New Item Acquired: 60.00K (2, 8)</t>
        </is>
      </c>
    </row>
    <row r="165">
      <c r="AM165" s="0" t="inlineStr">
        <is>
          <t>New Item Acquired: 90.00K (3, 14)</t>
        </is>
      </c>
      <c r="AR165" s="0" t="inlineStr">
        <is>
          <t>New Item Acquired: 600.00K (6, 16)</t>
        </is>
      </c>
    </row>
    <row r="166">
      <c r="AM166" s="0" t="inlineStr">
        <is>
          <t>New Item Acquired: 90.00K (3, 14)</t>
        </is>
      </c>
      <c r="AR166" s="0" t="inlineStr">
        <is>
          <t>New Item Acquired: 700.00K (7, 19)</t>
        </is>
      </c>
    </row>
    <row r="167">
      <c r="AM167" s="0" t="inlineStr">
        <is>
          <t>New Item Acquired: 90.00K (3, 15)</t>
        </is>
      </c>
      <c r="AR167" s="0" t="inlineStr">
        <is>
          <t>New Item Acquired: 700.00K (7, 2)</t>
        </is>
      </c>
    </row>
    <row r="168">
      <c r="AM168" s="0" t="inlineStr">
        <is>
          <t>New Item Acquired: 90.00K (3, 18)</t>
        </is>
      </c>
      <c r="AR168" s="0" t="inlineStr">
        <is>
          <t>New Item Acquired: 700.00K (7, 20)</t>
        </is>
      </c>
    </row>
    <row r="169">
      <c r="AM169" s="0" t="inlineStr">
        <is>
          <t>New Item Acquired: 90.00K (3, 19)</t>
        </is>
      </c>
      <c r="AR169" s="0" t="inlineStr">
        <is>
          <t>New Item Acquired: 700.00K (7, 24)</t>
        </is>
      </c>
    </row>
    <row r="170">
      <c r="AM170" s="0" t="inlineStr">
        <is>
          <t>New Item Acquired: 90.00K (3, 19)</t>
        </is>
      </c>
      <c r="AR170" s="0" t="inlineStr">
        <is>
          <t>New Item Acquired: 700.00K (7, 3)</t>
        </is>
      </c>
    </row>
    <row r="171">
      <c r="AM171" s="0" t="inlineStr">
        <is>
          <t>New Item Acquired: 90.00K (3, 22)</t>
        </is>
      </c>
      <c r="AR171" s="0" t="inlineStr">
        <is>
          <t>New Item Acquired: 90.00K (3, 14)</t>
        </is>
      </c>
    </row>
    <row r="172">
      <c r="AM172" s="0" t="inlineStr">
        <is>
          <t>New Item Acquired: 90.00K (3, 24)</t>
        </is>
      </c>
      <c r="AR172" s="0" t="inlineStr">
        <is>
          <t>New Item Acquired: 90.00K (3, 18)</t>
        </is>
      </c>
    </row>
    <row r="173">
      <c r="AM173" s="0" t="inlineStr">
        <is>
          <t>New Item Acquired: 90.00K (3, 24)</t>
        </is>
      </c>
      <c r="AR173" s="0" t="inlineStr">
        <is>
          <t>New Item Acquired: 90.00K (3, 23)</t>
        </is>
      </c>
    </row>
    <row r="174">
      <c r="AM174" s="0" t="inlineStr">
        <is>
          <t>New Item Acquired: Major (1, 20)</t>
        </is>
      </c>
      <c r="AR174" s="0" t="inlineStr">
        <is>
          <t>New Item Acquired: 90.00K (3, 23)</t>
        </is>
      </c>
    </row>
    <row r="175">
      <c r="AM175" s="0" t="inlineStr">
        <is>
          <t>New Item Acquired: Major (7, 19)</t>
        </is>
      </c>
      <c r="AR175" s="0" t="inlineStr">
        <is>
          <t>New Item Acquired: 90.00K (3, 24)</t>
        </is>
      </c>
    </row>
    <row r="176">
      <c r="AM176" s="0" t="inlineStr">
        <is>
          <t>New Item Acquired: Mini (1, 8)</t>
        </is>
      </c>
      <c r="AR176" s="0" t="inlineStr">
        <is>
          <t>New Item Acquired: 90.00K (3, 25)</t>
        </is>
      </c>
    </row>
    <row r="177">
      <c r="AM177" s="0" t="inlineStr">
        <is>
          <t>New Item Acquired: Mini (2, 4)</t>
        </is>
      </c>
      <c r="AR177" s="0" t="inlineStr">
        <is>
          <t>New Item Acquired: 90.00K (3, 25)</t>
        </is>
      </c>
    </row>
    <row r="178">
      <c r="AM178" s="0" t="inlineStr">
        <is>
          <t>New Item Acquired: Mini (3, 7)</t>
        </is>
      </c>
      <c r="AR178" s="0" t="inlineStr">
        <is>
          <t>New Item Acquired: 90.00K (3, 7)</t>
        </is>
      </c>
    </row>
    <row r="179">
      <c r="AM179" s="0" t="inlineStr">
        <is>
          <t>New Item Acquired: Mini (5, 5)</t>
        </is>
      </c>
      <c r="AR179" s="0" t="inlineStr">
        <is>
          <t>New Item Acquired: 90.00K (3, 8)</t>
        </is>
      </c>
    </row>
    <row r="180">
      <c r="AM180" s="0" t="inlineStr">
        <is>
          <t>New Item Acquired: Mini (6, 1)</t>
        </is>
      </c>
      <c r="AR180" s="0" t="inlineStr">
        <is>
          <t>New Item Acquired: Major (1, 20)</t>
        </is>
      </c>
    </row>
    <row r="181">
      <c r="AM181" s="0" t="inlineStr">
        <is>
          <t>New Item Acquired: Mini (7, 17)</t>
        </is>
      </c>
      <c r="AR181" s="0" t="inlineStr">
        <is>
          <t>New Item Acquired: Major (3, 9)</t>
        </is>
      </c>
    </row>
    <row r="182">
      <c r="AM182" s="0" t="inlineStr">
        <is>
          <t>New Item Acquired: Mini (7, 9)</t>
        </is>
      </c>
      <c r="AR182" s="0" t="inlineStr">
        <is>
          <t>New Item Acquired: Major (4, 1)</t>
        </is>
      </c>
    </row>
    <row r="183">
      <c r="AM183" s="0" t="inlineStr">
        <is>
          <t>New Item Acquired: Minor (2, 15)</t>
        </is>
      </c>
      <c r="AR183" s="0" t="inlineStr">
        <is>
          <t>New Item Acquired: Major (4, 21)</t>
        </is>
      </c>
    </row>
    <row r="184">
      <c r="AM184" s="0" t="inlineStr">
        <is>
          <t>New Item Acquired: Minor (2, 9)</t>
        </is>
      </c>
      <c r="AR184" s="0" t="inlineStr">
        <is>
          <t>New Item Acquired: Major (5, 11)</t>
        </is>
      </c>
    </row>
    <row r="185">
      <c r="AM185" s="0" t="inlineStr">
        <is>
          <t>New Item Acquired: Minor (6, 7)</t>
        </is>
      </c>
      <c r="AR185" s="0" t="inlineStr">
        <is>
          <t>New Item Acquired: Major (5, 21)</t>
        </is>
      </c>
    </row>
    <row r="186">
      <c r="AM186" s="0" t="inlineStr">
        <is>
          <t>Item ReSelect Failed : Attempts - 3</t>
        </is>
      </c>
      <c r="AR186" s="0" t="inlineStr">
        <is>
          <t>New Item Acquired: Major (5, 25)</t>
        </is>
      </c>
    </row>
    <row r="187">
      <c r="AM187" s="0" t="inlineStr">
        <is>
          <t>Item ReSelect Failed : Attempts - 3</t>
        </is>
      </c>
      <c r="AR187" s="0" t="inlineStr">
        <is>
          <t>New Item Acquired: Mega (1, 4)</t>
        </is>
      </c>
    </row>
    <row r="188">
      <c r="AM188" s="0" t="inlineStr">
        <is>
          <t>Item ReSelect Failed : Attempts - 3</t>
        </is>
      </c>
      <c r="AR188" s="0" t="inlineStr">
        <is>
          <t>New Item Acquired: Mega (2, 11)</t>
        </is>
      </c>
    </row>
    <row r="189">
      <c r="AM189" s="0" t="inlineStr">
        <is>
          <t>Clear Gem Acquired : 0 -&gt; 100 (Stage : 3)</t>
        </is>
      </c>
      <c r="AR189" s="0" t="inlineStr">
        <is>
          <t>New Item Acquired: Mega (2, 16)</t>
        </is>
      </c>
    </row>
    <row r="190">
      <c r="AM190" s="0" t="inlineStr">
        <is>
          <t>Clear Gem Acquired : 100 -&gt; 200 (Stage : 1)</t>
        </is>
      </c>
      <c r="AR190" s="0" t="inlineStr">
        <is>
          <t>New Item Acquired: Mega (4, 24)</t>
        </is>
      </c>
    </row>
    <row r="191">
      <c r="AM191" s="0" t="inlineStr">
        <is>
          <t>Clear Gem Acquired : 200 -&gt; 300 (Stage : 5)</t>
        </is>
      </c>
      <c r="AR191" s="0" t="inlineStr">
        <is>
          <t>New Item Acquired: Mini (1, 10)</t>
        </is>
      </c>
    </row>
    <row r="192">
      <c r="AM192" s="0" t="inlineStr">
        <is>
          <t>Clear Gem Acquired : 300 -&gt; 400 (Stage : 1)</t>
        </is>
      </c>
      <c r="AR192" s="0" t="inlineStr">
        <is>
          <t>New Item Acquired: Mini (1, 19)</t>
        </is>
      </c>
    </row>
    <row r="193">
      <c r="AM193" s="0" t="inlineStr">
        <is>
          <t>Clear Gem Acquired : 400 -&gt; 500 (Stage : 3)</t>
        </is>
      </c>
      <c r="AR193" s="0" t="inlineStr">
        <is>
          <t>New Item Acquired: Mini (1, 25)</t>
        </is>
      </c>
    </row>
    <row r="194">
      <c r="AM194" s="0" t="inlineStr">
        <is>
          <t>Clear Gem Acquired : 500 -&gt; 600 (Stage : 4)</t>
        </is>
      </c>
      <c r="AR194" s="0" t="inlineStr">
        <is>
          <t>New Item Acquired: Mini (2, 22)</t>
        </is>
      </c>
    </row>
    <row r="195">
      <c r="AM195" s="0" t="inlineStr">
        <is>
          <t>Clear Gem Acquired : 600 -&gt; 700 (Stage : 7)</t>
        </is>
      </c>
      <c r="AR195" s="0" t="inlineStr">
        <is>
          <t>New Item Acquired: Mini (3, 15)</t>
        </is>
      </c>
    </row>
    <row r="196">
      <c r="AM196" s="0" t="inlineStr">
        <is>
          <t>Clear Gem Acquired : 700 -&gt; 800 (Stage : 2)</t>
        </is>
      </c>
      <c r="AR196" s="0" t="inlineStr">
        <is>
          <t>New Item Acquired: Mini (3, 19)</t>
        </is>
      </c>
    </row>
    <row r="197">
      <c r="AM197" s="0" t="inlineStr">
        <is>
          <t>Clear Gem Acquired : 800 -&gt; 900 (Stage : 1)</t>
        </is>
      </c>
      <c r="AR197" s="0" t="inlineStr">
        <is>
          <t>New Item Acquired: Mini (3, 4)</t>
        </is>
      </c>
    </row>
    <row r="198">
      <c r="AR198" s="0" t="inlineStr">
        <is>
          <t>New Item Acquired: Mini (4, 5)</t>
        </is>
      </c>
    </row>
    <row r="199">
      <c r="AR199" s="0" t="inlineStr">
        <is>
          <t>New Item Acquired: Mini (4, 9)</t>
        </is>
      </c>
    </row>
    <row r="200">
      <c r="AR200" s="0" t="inlineStr">
        <is>
          <t>New Item Acquired: Mini (5, 3)</t>
        </is>
      </c>
    </row>
    <row r="201">
      <c r="AR201" s="0" t="inlineStr">
        <is>
          <t>New Item Acquired: Mini (8, 19)</t>
        </is>
      </c>
    </row>
    <row r="202">
      <c r="AR202" s="0" t="inlineStr">
        <is>
          <t>New Item Acquired: Mini (8, 21)</t>
        </is>
      </c>
    </row>
    <row r="203">
      <c r="AR203" s="0" t="inlineStr">
        <is>
          <t>New Item Acquired: Minor (1, 9)</t>
        </is>
      </c>
    </row>
    <row r="204">
      <c r="AR204" s="0" t="inlineStr">
        <is>
          <t>New Item Acquired: Minor (2, 11)</t>
        </is>
      </c>
    </row>
    <row r="205">
      <c r="AR205" s="0" t="inlineStr">
        <is>
          <t>New Item Acquired: Minor (5, 14)</t>
        </is>
      </c>
    </row>
    <row r="206">
      <c r="AR206" s="0" t="inlineStr">
        <is>
          <t>New Item Acquired: Minor (5, 15)</t>
        </is>
      </c>
    </row>
    <row r="207">
      <c r="AR207" s="0" t="inlineStr">
        <is>
          <t>New Item Acquired: Minor (5, 8)</t>
        </is>
      </c>
    </row>
    <row r="208">
      <c r="AR208" s="0" t="inlineStr">
        <is>
          <t>New Item Acquired: Minor (6, 25)</t>
        </is>
      </c>
    </row>
    <row r="209">
      <c r="AR209" s="0" t="inlineStr">
        <is>
          <t>New Item Acquired: Minor (8, 11)</t>
        </is>
      </c>
    </row>
    <row r="210">
      <c r="AR210" s="0" t="inlineStr">
        <is>
          <t>Item ReSelect Failed : Attempts - 3</t>
        </is>
      </c>
    </row>
    <row r="211">
      <c r="AR211" s="0" t="inlineStr">
        <is>
          <t>Item ReSelect Failed : Attempts - 3</t>
        </is>
      </c>
    </row>
    <row r="212">
      <c r="AR212" s="0" t="inlineStr">
        <is>
          <t>Item ReSelect Failed : Attempts - 3</t>
        </is>
      </c>
    </row>
    <row r="213">
      <c r="AR213" s="0" t="inlineStr">
        <is>
          <t>Item ReSelect Failed : Attempts - 3</t>
        </is>
      </c>
    </row>
    <row r="214">
      <c r="AR214" s="0" t="inlineStr">
        <is>
          <t>Clear Gem Acquired : 0 -&gt; 100 (Stage : 1)</t>
        </is>
      </c>
    </row>
    <row r="215">
      <c r="AR215" s="0" t="inlineStr">
        <is>
          <t>Clear Gem Acquired : 100 -&gt; 200 (Stage : 2)</t>
        </is>
      </c>
    </row>
    <row r="216">
      <c r="AR216" s="0" t="inlineStr">
        <is>
          <t>Clear Gem Acquired : 200 -&gt; 300 (Stage : 7)</t>
        </is>
      </c>
    </row>
    <row r="217">
      <c r="AR217" s="0" t="inlineStr">
        <is>
          <t>Clear Gem Acquired : 300 -&gt; 400 (Stage : 5)</t>
        </is>
      </c>
    </row>
    <row r="218">
      <c r="AR218" s="0" t="inlineStr">
        <is>
          <t>Clear Gem Acquired : 400 -&gt; 500 (Stage : 1)</t>
        </is>
      </c>
    </row>
    <row r="219">
      <c r="AR219" s="0" t="inlineStr">
        <is>
          <t>Clear Gem Acquired : 500 -&gt; 600 (Stage : 4)</t>
        </is>
      </c>
    </row>
    <row r="220">
      <c r="AR220" s="0" t="inlineStr">
        <is>
          <t>Clear Gem Acquired : 600 -&gt; 700 (Stage : 3)</t>
        </is>
      </c>
    </row>
    <row r="221">
      <c r="AR221" s="0" t="inlineStr">
        <is>
          <t>Clear Gem Acquired : 700 -&gt; 800 (Stage : 8)</t>
        </is>
      </c>
    </row>
    <row r="222">
      <c r="AR222" s="0" t="inlineStr">
        <is>
          <t>Clear Gem Acquired : 800 -&gt; 900 (Stage : 1)</t>
        </is>
      </c>
    </row>
  </sheetData>
  <mergeCells count="1">
    <mergeCell ref="A1:AU1"/>
  </mergeCell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228"/>
  <sheetViews>
    <sheetView workbookViewId="0">
      <selection activeCell="A1" sqref="A1"/>
    </sheetView>
  </sheetViews>
  <sheetFormatPr baseColWidth="8" defaultRowHeight="16.5"/>
  <cols>
    <col width="11.375" bestFit="1" customWidth="1" style="161" min="2" max="2"/>
    <col width="11.375" customWidth="1" style="161" min="3" max="3"/>
    <col width="13.25" bestFit="1" customWidth="1" style="161" min="4" max="4"/>
    <col width="14.5" bestFit="1" customWidth="1" style="161" min="5" max="5"/>
    <col width="13.25" bestFit="1" customWidth="1" style="161" min="6" max="6"/>
    <col width="17.875" bestFit="1" customWidth="1" style="161" min="7" max="7"/>
    <col width="10.375" bestFit="1" customWidth="1" style="161" min="8" max="9"/>
    <col width="14.5" bestFit="1" customWidth="1" style="161" min="10" max="10"/>
    <col width="4" customWidth="1" style="161" min="11" max="11"/>
    <col width="14.5" customWidth="1" style="161" min="12" max="12"/>
    <col width="4.125" customWidth="1" style="161" min="14" max="14"/>
    <col width="5.125" bestFit="1" customWidth="1" style="161" min="15" max="15"/>
    <col width="4.5" bestFit="1" customWidth="1" style="161" min="16" max="18"/>
    <col width="3.5" customWidth="1" style="161" min="19" max="19"/>
    <col width="3.75" customWidth="1" style="161" min="20" max="20"/>
    <col width="4" bestFit="1" customWidth="1" style="161" min="21" max="21"/>
    <col width="3.5" bestFit="1" customWidth="1" style="161" min="22" max="24"/>
    <col width="3.5" customWidth="1" style="161" min="25" max="25"/>
    <col width="3.875" customWidth="1" style="161" min="26" max="26"/>
    <col width="4" bestFit="1" customWidth="1" style="161" min="27" max="27"/>
    <col width="3.5" bestFit="1" customWidth="1" style="161" min="28" max="30"/>
    <col width="3.5" customWidth="1" style="161" min="31" max="31"/>
    <col width="3.75" customWidth="1" style="161" min="32" max="32"/>
    <col width="4" bestFit="1" customWidth="1" style="161" min="33" max="33"/>
    <col width="3.5" bestFit="1" customWidth="1" style="161" min="34" max="36"/>
    <col width="45.625" bestFit="1" customWidth="1" style="161" min="39" max="39"/>
    <col width="6.625" customWidth="1" style="161" min="40" max="40"/>
    <col width="13.125" bestFit="1" customWidth="1" style="161" min="41" max="41"/>
    <col width="9.25" bestFit="1" customWidth="1" style="161" min="42" max="42"/>
    <col width="45.625" bestFit="1" customWidth="1" style="161" min="44" max="44"/>
    <col width="6.25" customWidth="1" style="161" min="45" max="45"/>
    <col width="13.125" bestFit="1" customWidth="1" style="161" min="46" max="46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D2" s="0" t="inlineStr">
        <is>
          <t>C1</t>
        </is>
      </c>
      <c r="E2" s="0" t="inlineStr">
        <is>
          <t>C2</t>
        </is>
      </c>
      <c r="F2" s="0" t="inlineStr">
        <is>
          <t>C3</t>
        </is>
      </c>
      <c r="G2" s="0" t="inlineStr">
        <is>
          <t>C4</t>
        </is>
      </c>
      <c r="H2" s="0" t="inlineStr">
        <is>
          <t>C5</t>
        </is>
      </c>
      <c r="I2" s="0" t="inlineStr">
        <is>
          <t>C6</t>
        </is>
      </c>
      <c r="J2" s="0" t="inlineStr">
        <is>
          <t>C7</t>
        </is>
      </c>
      <c r="L2" s="31" t="inlineStr">
        <is>
          <t>Weight</t>
        </is>
      </c>
      <c r="N2" s="31" t="inlineStr">
        <is>
          <t>Level1</t>
        </is>
      </c>
      <c r="O2" s="31" t="n"/>
      <c r="P2" s="31" t="n"/>
      <c r="Q2" s="31" t="n"/>
      <c r="R2" s="31" t="n"/>
      <c r="T2" s="31" t="inlineStr">
        <is>
          <t>Level2</t>
        </is>
      </c>
      <c r="U2" s="31" t="n"/>
      <c r="V2" s="31" t="n"/>
      <c r="W2" s="31" t="n"/>
      <c r="X2" s="31" t="n"/>
      <c r="Z2" s="31" t="inlineStr">
        <is>
          <t>Level3</t>
        </is>
      </c>
      <c r="AA2" s="31" t="n"/>
      <c r="AB2" s="31" t="n"/>
      <c r="AC2" s="31" t="n"/>
      <c r="AD2" s="31" t="n"/>
      <c r="AF2" s="28" t="inlineStr">
        <is>
          <t>Level4</t>
        </is>
      </c>
      <c r="AG2" s="29" t="n"/>
      <c r="AH2" s="29" t="n"/>
      <c r="AI2" s="29" t="n"/>
      <c r="AJ2" s="30" t="n"/>
      <c r="AM2" s="0" t="inlineStr">
        <is>
          <t>Line Prize Won: 1.20M (Stage : 5) - 1200000</t>
        </is>
      </c>
      <c r="AO2" s="0" t="inlineStr">
        <is>
          <t>Bingo Win</t>
        </is>
      </c>
      <c r="AP2" s="0">
        <f>COUNTIF($AM$1:$AM$500,"*")</f>
        <v/>
      </c>
      <c r="AR2" s="0" t="inlineStr">
        <is>
          <t>Line Prize Won: 1.36M (Stage : 8) - 1360000</t>
        </is>
      </c>
      <c r="AT2" s="0" t="inlineStr">
        <is>
          <t>Bingo Win</t>
        </is>
      </c>
      <c r="AU2" s="0">
        <f>COUNTIF($AR$1:$AR$500,"*")</f>
        <v/>
      </c>
    </row>
    <row r="3" ht="20.25" customHeight="1" s="161">
      <c r="A3" s="0" t="inlineStr">
        <is>
          <t>Spins</t>
        </is>
      </c>
      <c r="B3" s="0" t="n">
        <v>3000</v>
      </c>
      <c r="C3" s="0" t="n">
        <v>1500</v>
      </c>
      <c r="D3" s="0" t="n">
        <v>799</v>
      </c>
      <c r="E3" s="0" t="n">
        <v>1039</v>
      </c>
      <c r="F3" s="0" t="n">
        <v>1373</v>
      </c>
      <c r="G3" s="0" t="n">
        <v>2816</v>
      </c>
      <c r="H3" s="0" t="n">
        <v>6044</v>
      </c>
      <c r="I3" s="0" t="n">
        <v>10829</v>
      </c>
      <c r="J3" s="0" t="n">
        <v>9913</v>
      </c>
      <c r="L3" s="32" t="n">
        <v>1</v>
      </c>
      <c r="N3" s="22" t="n">
        <v>7</v>
      </c>
      <c r="O3" s="23" t="n">
        <v>7</v>
      </c>
      <c r="P3" s="11" t="n">
        <v>7</v>
      </c>
      <c r="Q3" s="11" t="n">
        <v>7</v>
      </c>
      <c r="R3" s="12" t="n">
        <v>7</v>
      </c>
      <c r="T3" s="22" t="n">
        <v>14</v>
      </c>
      <c r="U3" s="23" t="n">
        <v>14</v>
      </c>
      <c r="V3" s="13" t="n">
        <v>14</v>
      </c>
      <c r="W3" s="13" t="n">
        <v>14</v>
      </c>
      <c r="X3" s="12" t="n">
        <v>14</v>
      </c>
      <c r="Z3" s="22" t="n">
        <v>14</v>
      </c>
      <c r="AA3" s="23" t="n">
        <v>14</v>
      </c>
      <c r="AB3" s="13" t="n">
        <v>14</v>
      </c>
      <c r="AC3" s="13" t="n">
        <v>14</v>
      </c>
      <c r="AD3" s="12" t="n">
        <v>14</v>
      </c>
      <c r="AF3" s="22" t="n">
        <v>21</v>
      </c>
      <c r="AG3" s="23" t="n">
        <v>21</v>
      </c>
      <c r="AH3" s="13" t="n">
        <v>21</v>
      </c>
      <c r="AI3" s="13" t="n">
        <v>21</v>
      </c>
      <c r="AJ3" s="12" t="n">
        <v>21</v>
      </c>
      <c r="AM3" s="0" t="inlineStr">
        <is>
          <t>Line Prize Won: 1.26M (Stage : 6) - 1260000</t>
        </is>
      </c>
      <c r="AO3" s="0" t="inlineStr">
        <is>
          <t>Made</t>
        </is>
      </c>
      <c r="AP3" s="0">
        <f>COUNTIF($AM$1:$AM$500,"Line*")</f>
        <v/>
      </c>
      <c r="AR3" s="0" t="inlineStr">
        <is>
          <t>Line Prize Won: 1.40M (Stage : 5) - 1400000</t>
        </is>
      </c>
      <c r="AT3" s="0" t="inlineStr">
        <is>
          <t>Made</t>
        </is>
      </c>
      <c r="AU3" s="0">
        <f>COUNTIF($AR$1:$AR$500,"Line*")</f>
        <v/>
      </c>
    </row>
    <row r="4">
      <c r="A4" s="0" t="inlineStr">
        <is>
          <t>Total Won</t>
        </is>
      </c>
      <c r="B4" s="34" t="n">
        <v>27632020000</v>
      </c>
      <c r="C4" s="34" t="n">
        <v>10158820000</v>
      </c>
      <c r="D4" s="34" t="n">
        <v>2114770000</v>
      </c>
      <c r="E4" s="34" t="n">
        <v>4591350000</v>
      </c>
      <c r="F4" s="34" t="n">
        <v>8792610000</v>
      </c>
      <c r="G4" s="34" t="n">
        <v>25436050000</v>
      </c>
      <c r="H4" s="34" t="n">
        <v>63918160000</v>
      </c>
      <c r="I4" s="34" t="n">
        <v>120701110000</v>
      </c>
      <c r="J4" s="34" t="n">
        <v>108974030000</v>
      </c>
      <c r="K4" s="7" t="n"/>
      <c r="L4" s="32" t="n">
        <v>2</v>
      </c>
      <c r="N4" s="11" t="n">
        <v>7</v>
      </c>
      <c r="O4" s="12" t="n">
        <v>7</v>
      </c>
      <c r="P4" s="11" t="n">
        <v>7</v>
      </c>
      <c r="Q4" s="12" t="n">
        <v>7</v>
      </c>
      <c r="R4" s="11" t="n">
        <v>7</v>
      </c>
      <c r="T4" s="13" t="n">
        <v>14</v>
      </c>
      <c r="U4" s="12" t="n">
        <v>14</v>
      </c>
      <c r="V4" s="13" t="n">
        <v>14</v>
      </c>
      <c r="W4" s="12" t="n">
        <v>14</v>
      </c>
      <c r="X4" s="13" t="n">
        <v>14</v>
      </c>
      <c r="Z4" s="13" t="n">
        <v>14</v>
      </c>
      <c r="AA4" s="12" t="n">
        <v>14</v>
      </c>
      <c r="AB4" s="13" t="n">
        <v>14</v>
      </c>
      <c r="AC4" s="12" t="n">
        <v>14</v>
      </c>
      <c r="AD4" s="13" t="n">
        <v>14</v>
      </c>
      <c r="AF4" s="13" t="n">
        <v>21</v>
      </c>
      <c r="AG4" s="12" t="n">
        <v>21</v>
      </c>
      <c r="AH4" s="13" t="n">
        <v>21</v>
      </c>
      <c r="AI4" s="12" t="n">
        <v>21</v>
      </c>
      <c r="AJ4" s="13" t="n">
        <v>21</v>
      </c>
      <c r="AM4" s="0" t="inlineStr">
        <is>
          <t>Line Prize Won: 1.36M (Stage : 8) - 1360000</t>
        </is>
      </c>
      <c r="AO4" s="0" t="inlineStr">
        <is>
          <t>Bingo/Made</t>
        </is>
      </c>
      <c r="AP4" s="0">
        <f>AP1/AP2</f>
        <v/>
      </c>
      <c r="AR4" s="0" t="inlineStr">
        <is>
          <t>Line Prize Won: 1.61M (Stage : 7) - 1610000</t>
        </is>
      </c>
      <c r="AT4" s="0" t="inlineStr">
        <is>
          <t>Bingo/Made</t>
        </is>
      </c>
      <c r="AU4" s="0">
        <f>AU1/AU2</f>
        <v/>
      </c>
    </row>
    <row r="5">
      <c r="A5" s="0" t="inlineStr">
        <is>
          <t>Players</t>
        </is>
      </c>
      <c r="B5" s="0" t="n">
        <v>1000</v>
      </c>
      <c r="C5" s="0" t="n">
        <v>1000</v>
      </c>
      <c r="D5" s="0" t="n">
        <v>1000</v>
      </c>
      <c r="E5" s="0" t="n">
        <v>1000</v>
      </c>
      <c r="F5" s="0" t="n">
        <v>1000</v>
      </c>
      <c r="G5" s="0" t="n">
        <v>1000</v>
      </c>
      <c r="H5" s="0" t="n">
        <v>1000</v>
      </c>
      <c r="I5" s="0" t="n">
        <v>1000</v>
      </c>
      <c r="J5" s="0" t="n">
        <v>1000</v>
      </c>
      <c r="L5" s="32" t="n">
        <v>2</v>
      </c>
      <c r="N5" s="11" t="n">
        <v>7</v>
      </c>
      <c r="O5" s="11" t="n">
        <v>7</v>
      </c>
      <c r="P5" s="10" t="n"/>
      <c r="Q5" s="11" t="n">
        <v>7</v>
      </c>
      <c r="R5" s="11" t="n">
        <v>7</v>
      </c>
      <c r="T5" s="13" t="n">
        <v>14</v>
      </c>
      <c r="U5" s="13" t="n">
        <v>14</v>
      </c>
      <c r="V5" s="14" t="n"/>
      <c r="W5" s="13" t="n">
        <v>14</v>
      </c>
      <c r="X5" s="13" t="n">
        <v>14</v>
      </c>
      <c r="Z5" s="13" t="n">
        <v>14</v>
      </c>
      <c r="AA5" s="13" t="n">
        <v>14</v>
      </c>
      <c r="AB5" s="14" t="n"/>
      <c r="AC5" s="13" t="n">
        <v>14</v>
      </c>
      <c r="AD5" s="13" t="n">
        <v>14</v>
      </c>
      <c r="AF5" s="13" t="n">
        <v>21</v>
      </c>
      <c r="AG5" s="13" t="n">
        <v>21</v>
      </c>
      <c r="AH5" s="14" t="n"/>
      <c r="AI5" s="13" t="n">
        <v>21</v>
      </c>
      <c r="AJ5" s="13" t="n">
        <v>21</v>
      </c>
      <c r="AM5" s="0" t="inlineStr">
        <is>
          <t>Line Prize Won: 1.38M (Stage : 6) - 1380000</t>
        </is>
      </c>
      <c r="AO5" s="0" t="inlineStr">
        <is>
          <t>(Stage : 1)</t>
        </is>
      </c>
      <c r="AP5" s="0">
        <f>ROUND(COUNTIF(AM:AM,"*(Stage : 1)*")/2,0)</f>
        <v/>
      </c>
      <c r="AR5" s="0" t="inlineStr">
        <is>
          <t>Line Prize Won: 2.16M (Stage : 6) - 2160000</t>
        </is>
      </c>
      <c r="AT5" s="0" t="inlineStr">
        <is>
          <t>(Stage : 1)</t>
        </is>
      </c>
      <c r="AU5" s="0">
        <f>ROUND(COUNTIF(AR:AR,"*(Stage : 1)*")/2,0)</f>
        <v/>
      </c>
    </row>
    <row r="6">
      <c r="A6" s="0" t="inlineStr">
        <is>
          <t>Days</t>
        </is>
      </c>
      <c r="B6" s="0">
        <f>B2/300</f>
        <v/>
      </c>
      <c r="C6" s="0">
        <f>C2/300</f>
        <v/>
      </c>
      <c r="D6" s="0">
        <f>D2/160</f>
        <v/>
      </c>
      <c r="E6" s="0">
        <f>E2/160</f>
        <v/>
      </c>
      <c r="F6" s="0">
        <f>F2/157</f>
        <v/>
      </c>
      <c r="G6" s="0">
        <f>G2/264</f>
        <v/>
      </c>
      <c r="H6" s="0">
        <f>H2/490</f>
        <v/>
      </c>
      <c r="I6" s="0">
        <f>I2/826</f>
        <v/>
      </c>
      <c r="J6" s="0">
        <f>J2/877</f>
        <v/>
      </c>
      <c r="L6" s="32" t="n">
        <v>3</v>
      </c>
      <c r="N6" s="11" t="n">
        <v>7</v>
      </c>
      <c r="O6" s="12" t="n">
        <v>7</v>
      </c>
      <c r="P6" s="11" t="n">
        <v>7</v>
      </c>
      <c r="Q6" s="12" t="n">
        <v>7</v>
      </c>
      <c r="R6" s="11" t="n">
        <v>7</v>
      </c>
      <c r="T6" s="13" t="n">
        <v>14</v>
      </c>
      <c r="U6" s="12" t="n">
        <v>14</v>
      </c>
      <c r="V6" s="13" t="n">
        <v>14</v>
      </c>
      <c r="W6" s="12" t="n">
        <v>14</v>
      </c>
      <c r="X6" s="13" t="n">
        <v>14</v>
      </c>
      <c r="Z6" s="13" t="n">
        <v>14</v>
      </c>
      <c r="AA6" s="12" t="n">
        <v>14</v>
      </c>
      <c r="AB6" s="13" t="n">
        <v>14</v>
      </c>
      <c r="AC6" s="12" t="n">
        <v>14</v>
      </c>
      <c r="AD6" s="13" t="n">
        <v>14</v>
      </c>
      <c r="AF6" s="13" t="n">
        <v>21</v>
      </c>
      <c r="AG6" s="12" t="n">
        <v>21</v>
      </c>
      <c r="AH6" s="13" t="n">
        <v>21</v>
      </c>
      <c r="AI6" s="12" t="n">
        <v>21</v>
      </c>
      <c r="AJ6" s="13" t="n">
        <v>21</v>
      </c>
      <c r="AM6" s="0" t="inlineStr">
        <is>
          <t>Line Prize Won: 1.60M (Stage : 5) - 1600000</t>
        </is>
      </c>
      <c r="AO6" s="0" t="inlineStr">
        <is>
          <t>(Stage : 2)</t>
        </is>
      </c>
      <c r="AP6" s="0">
        <f>ROUND(COUNTIF(AM:AM,"*(Stage : 2)*")/2,0)</f>
        <v/>
      </c>
      <c r="AR6" s="0" t="inlineStr">
        <is>
          <t>Line Prize Won: 2.25M (Stage : 5) - 2250000</t>
        </is>
      </c>
      <c r="AT6" s="0" t="inlineStr">
        <is>
          <t>(Stage : 2)</t>
        </is>
      </c>
      <c r="AU6" s="0">
        <f>ROUND(COUNTIF(AR:AR,"*(Stage : 2)*")/2,0)</f>
        <v/>
      </c>
    </row>
    <row r="7">
      <c r="B7" s="2">
        <f>B3/B5</f>
        <v/>
      </c>
      <c r="C7" s="2">
        <f>C3/C5</f>
        <v/>
      </c>
      <c r="D7" s="2">
        <f>D3/D5</f>
        <v/>
      </c>
      <c r="E7" s="2">
        <f>E3/E5</f>
        <v/>
      </c>
      <c r="F7" s="2">
        <f>F3/F5</f>
        <v/>
      </c>
      <c r="G7" s="2">
        <f>G3/G5</f>
        <v/>
      </c>
      <c r="H7" s="2">
        <f>H3/H5</f>
        <v/>
      </c>
      <c r="I7" s="2">
        <f>I3/I5</f>
        <v/>
      </c>
      <c r="J7" s="2">
        <f>J3/J5</f>
        <v/>
      </c>
      <c r="K7" s="2" t="n"/>
      <c r="L7" s="32" t="n">
        <v>15</v>
      </c>
      <c r="N7" s="12" t="n">
        <v>7</v>
      </c>
      <c r="O7" s="11" t="n">
        <v>7</v>
      </c>
      <c r="P7" s="11" t="n">
        <v>7</v>
      </c>
      <c r="Q7" s="11" t="n">
        <v>7</v>
      </c>
      <c r="R7" s="12" t="n">
        <v>7</v>
      </c>
      <c r="T7" s="12" t="n">
        <v>14</v>
      </c>
      <c r="U7" s="13" t="n">
        <v>14</v>
      </c>
      <c r="V7" s="13" t="n">
        <v>14</v>
      </c>
      <c r="W7" s="13" t="n">
        <v>14</v>
      </c>
      <c r="X7" s="12" t="n">
        <v>14</v>
      </c>
      <c r="Z7" s="12" t="n">
        <v>14</v>
      </c>
      <c r="AA7" s="13" t="n">
        <v>14</v>
      </c>
      <c r="AB7" s="13" t="n">
        <v>14</v>
      </c>
      <c r="AC7" s="13" t="n">
        <v>14</v>
      </c>
      <c r="AD7" s="12" t="n">
        <v>14</v>
      </c>
      <c r="AF7" s="12" t="n">
        <v>21</v>
      </c>
      <c r="AG7" s="13" t="n">
        <v>21</v>
      </c>
      <c r="AH7" s="13" t="n">
        <v>21</v>
      </c>
      <c r="AI7" s="13" t="n">
        <v>21</v>
      </c>
      <c r="AJ7" s="12" t="n">
        <v>21</v>
      </c>
      <c r="AM7" s="0" t="inlineStr">
        <is>
          <t>Line Prize Won: 1.90M (Stage : 5) - 1900000</t>
        </is>
      </c>
      <c r="AO7" s="0" t="inlineStr">
        <is>
          <t>(Stage : 3)</t>
        </is>
      </c>
      <c r="AP7" s="0">
        <f>ROUND(COUNTIF(AM:AM,"*(Stage : 3)*")/2,0)</f>
        <v/>
      </c>
      <c r="AR7" s="0" t="inlineStr">
        <is>
          <t>Line Prize Won: 2.30M (Stage : 5) - 2300000</t>
        </is>
      </c>
      <c r="AT7" s="0" t="inlineStr">
        <is>
          <t>(Stage : 3)</t>
        </is>
      </c>
      <c r="AU7" s="0">
        <f>ROUND(COUNTIF(AR:AR,"*(Stage : 3)*")/2,0)</f>
        <v/>
      </c>
    </row>
    <row r="8">
      <c r="A8" s="0" t="inlineStr">
        <is>
          <t>Daily Gain</t>
        </is>
      </c>
      <c r="B8" s="33">
        <f>B6/B4</f>
        <v/>
      </c>
      <c r="C8" s="33">
        <f>C6/C4</f>
        <v/>
      </c>
      <c r="D8" s="33">
        <f>D6/D4</f>
        <v/>
      </c>
      <c r="E8" s="33">
        <f>E6/E4</f>
        <v/>
      </c>
      <c r="F8" s="33">
        <f>F6/F4</f>
        <v/>
      </c>
      <c r="G8" s="33">
        <f>G6/G4</f>
        <v/>
      </c>
      <c r="H8" s="33">
        <f>H6/H4</f>
        <v/>
      </c>
      <c r="I8" s="33">
        <f>I6/I4</f>
        <v/>
      </c>
      <c r="J8" s="33">
        <f>J6/J4</f>
        <v/>
      </c>
      <c r="K8" s="2" t="n"/>
      <c r="L8" s="32" t="n">
        <v>15</v>
      </c>
      <c r="Q8" s="204" t="n">
        <v>2568</v>
      </c>
      <c r="R8" s="204" t="n"/>
      <c r="W8" s="205" t="n">
        <v>2568</v>
      </c>
      <c r="X8" s="205" t="n"/>
      <c r="AC8" s="205" t="n">
        <v>1704</v>
      </c>
      <c r="AD8" s="205" t="n"/>
      <c r="AI8" s="205" t="n">
        <v>1704</v>
      </c>
      <c r="AJ8" s="205" t="n"/>
      <c r="AM8" s="0" t="inlineStr">
        <is>
          <t>Line Prize Won: 1.90M (Stage : 5) - 1900000</t>
        </is>
      </c>
      <c r="AO8" s="0" t="inlineStr">
        <is>
          <t>(Stage : 4)</t>
        </is>
      </c>
      <c r="AP8" s="0">
        <f>ROUND(COUNTIF(AM:AM,"*(Stage : 4)*")/2,0)</f>
        <v/>
      </c>
      <c r="AR8" s="0" t="inlineStr">
        <is>
          <t>Line Prize Won: 2.90M (Stage : 5) - 2900000</t>
        </is>
      </c>
      <c r="AT8" s="0" t="inlineStr">
        <is>
          <t>(Stage : 4)</t>
        </is>
      </c>
      <c r="AU8" s="0">
        <f>ROUND(COUNTIF(AR:AR,"*(Stage : 4)*")/2,0)</f>
        <v/>
      </c>
    </row>
    <row r="9">
      <c r="A9" s="0" t="inlineStr">
        <is>
          <t>Min Bet</t>
        </is>
      </c>
      <c r="D9" s="0" t="n">
        <v>100000</v>
      </c>
      <c r="E9" s="0" t="n">
        <v>200000</v>
      </c>
      <c r="F9" s="0" t="n">
        <v>300000</v>
      </c>
      <c r="G9" s="0" t="n">
        <v>300000</v>
      </c>
      <c r="H9" s="0" t="n">
        <v>500000</v>
      </c>
      <c r="I9" s="0" t="n">
        <v>1000000</v>
      </c>
      <c r="J9" s="0" t="n">
        <v>5000000</v>
      </c>
      <c r="K9" s="2" t="n"/>
      <c r="L9" s="32" t="n">
        <v>10</v>
      </c>
      <c r="N9" s="31" t="inlineStr">
        <is>
          <t>Level5</t>
        </is>
      </c>
      <c r="O9" s="31" t="n"/>
      <c r="P9" s="31" t="n"/>
      <c r="Q9" s="31" t="n"/>
      <c r="R9" s="31" t="n"/>
      <c r="T9" s="31" t="inlineStr">
        <is>
          <t>Level6</t>
        </is>
      </c>
      <c r="U9" s="31" t="n"/>
      <c r="V9" s="31" t="n"/>
      <c r="W9" s="31" t="n"/>
      <c r="X9" s="31" t="n"/>
      <c r="Z9" s="31" t="inlineStr">
        <is>
          <t>Level7</t>
        </is>
      </c>
      <c r="AA9" s="31" t="n"/>
      <c r="AB9" s="31" t="n"/>
      <c r="AC9" s="31" t="n"/>
      <c r="AD9" s="31" t="n"/>
      <c r="AF9" s="31" t="inlineStr">
        <is>
          <t>Level8</t>
        </is>
      </c>
      <c r="AG9" s="31" t="n"/>
      <c r="AH9" s="31" t="n"/>
      <c r="AI9" s="31" t="n"/>
      <c r="AJ9" s="31" t="n"/>
      <c r="AM9" s="0" t="inlineStr">
        <is>
          <t>Line Prize Won: 2.28M (Stage : 6) - 2280000</t>
        </is>
      </c>
      <c r="AO9" s="0" t="inlineStr">
        <is>
          <t>(Stage : 5)</t>
        </is>
      </c>
      <c r="AP9" s="0">
        <f>ROUND(COUNTIF(AM:AM,"*(Stage : 5)*")/2,0)</f>
        <v/>
      </c>
      <c r="AR9" s="0" t="inlineStr">
        <is>
          <t>Line Prize Won: 3.04M (Stage : 8) - 3040000</t>
        </is>
      </c>
      <c r="AT9" s="0" t="inlineStr">
        <is>
          <t>(Stage : 5)</t>
        </is>
      </c>
      <c r="AU9" s="0">
        <f>ROUND(COUNTIF(AR:AR,"*(Stage : 5)*")/2,0)</f>
        <v/>
      </c>
    </row>
    <row r="10">
      <c r="A10" s="0" t="inlineStr">
        <is>
          <t>per RTP</t>
        </is>
      </c>
      <c r="D10" s="35">
        <f>D10/D8</f>
        <v/>
      </c>
      <c r="E10" s="35">
        <f>E10/E8</f>
        <v/>
      </c>
      <c r="F10" s="35">
        <f>F10/F8</f>
        <v/>
      </c>
      <c r="G10" s="35">
        <f>G10/G8</f>
        <v/>
      </c>
      <c r="H10" s="35">
        <f>H10/H8</f>
        <v/>
      </c>
      <c r="I10" s="35">
        <f>I10/I8</f>
        <v/>
      </c>
      <c r="J10" s="35">
        <f>J10/J8</f>
        <v/>
      </c>
      <c r="K10" s="2" t="n"/>
      <c r="L10" s="32" t="n">
        <v>10</v>
      </c>
      <c r="N10" s="22" t="n">
        <v>107</v>
      </c>
      <c r="O10" s="23" t="n">
        <v>107</v>
      </c>
      <c r="P10" s="13" t="n">
        <v>107</v>
      </c>
      <c r="Q10" s="13" t="n">
        <v>107</v>
      </c>
      <c r="R10" s="12" t="n">
        <v>107</v>
      </c>
      <c r="T10" s="22" t="n">
        <v>107</v>
      </c>
      <c r="U10" s="23" t="n">
        <v>107</v>
      </c>
      <c r="V10" s="13" t="n">
        <v>107</v>
      </c>
      <c r="W10" s="13" t="n">
        <v>107</v>
      </c>
      <c r="X10" s="12" t="n">
        <v>107</v>
      </c>
      <c r="Z10" s="22" t="n">
        <v>71</v>
      </c>
      <c r="AA10" s="13" t="n">
        <v>71</v>
      </c>
      <c r="AB10" s="13" t="n">
        <v>71</v>
      </c>
      <c r="AC10" s="13" t="n">
        <v>71</v>
      </c>
      <c r="AD10" s="12" t="n">
        <v>71</v>
      </c>
      <c r="AF10" s="22" t="n">
        <v>71</v>
      </c>
      <c r="AG10" s="13" t="n">
        <v>71</v>
      </c>
      <c r="AH10" s="13" t="n">
        <v>71</v>
      </c>
      <c r="AI10" s="13" t="n">
        <v>71</v>
      </c>
      <c r="AJ10" s="12" t="n">
        <v>71</v>
      </c>
      <c r="AM10" s="0" t="inlineStr">
        <is>
          <t>Line Prize Won: 2.58M (Stage : 6) - 2580000</t>
        </is>
      </c>
      <c r="AO10" s="0" t="inlineStr">
        <is>
          <t>(Stage : 6)</t>
        </is>
      </c>
      <c r="AP10" s="0">
        <f>ROUND(COUNTIF(AM:AM,"*(Stage : 6)*")/2,0)</f>
        <v/>
      </c>
      <c r="AR10" s="0" t="inlineStr">
        <is>
          <t>Line Prize Won: 3.78M (Stage : 6) - 3780000</t>
        </is>
      </c>
      <c r="AT10" s="0" t="inlineStr">
        <is>
          <t>(Stage : 6)</t>
        </is>
      </c>
      <c r="AU10" s="0">
        <f>ROUND(COUNTIF(AR:AR,"*(Stage : 6)*")/2,0)</f>
        <v/>
      </c>
    </row>
    <row r="11">
      <c r="A11" s="0" t="inlineStr">
        <is>
          <t>Per Spin</t>
        </is>
      </c>
      <c r="B11" s="2">
        <f>B3/(B2*B4)</f>
        <v/>
      </c>
      <c r="C11" s="2">
        <f>C3/(C2*C4)</f>
        <v/>
      </c>
      <c r="D11" s="2">
        <f>D3/(D2*D4)</f>
        <v/>
      </c>
      <c r="E11" s="2">
        <f>E3/(E2*E4)</f>
        <v/>
      </c>
      <c r="F11" s="2">
        <f>F3/(F2*F4)</f>
        <v/>
      </c>
      <c r="G11" s="2">
        <f>G3/(G2*G4)</f>
        <v/>
      </c>
      <c r="H11" s="2">
        <f>H3/(H2*H4)</f>
        <v/>
      </c>
      <c r="I11" s="2">
        <f>I3/(I2*I4)</f>
        <v/>
      </c>
      <c r="J11" s="2">
        <f>J3/(J2*J4)</f>
        <v/>
      </c>
      <c r="K11" s="8" t="n"/>
      <c r="L11" s="25">
        <f>SUM(L2:L9)</f>
        <v/>
      </c>
      <c r="N11" s="13" t="n">
        <v>107</v>
      </c>
      <c r="O11" s="12" t="n">
        <v>107</v>
      </c>
      <c r="P11" s="13" t="n">
        <v>107</v>
      </c>
      <c r="Q11" s="12" t="n">
        <v>107</v>
      </c>
      <c r="R11" s="13" t="n">
        <v>107</v>
      </c>
      <c r="T11" s="13" t="n">
        <v>107</v>
      </c>
      <c r="U11" s="12" t="n">
        <v>107</v>
      </c>
      <c r="V11" s="13" t="n">
        <v>107</v>
      </c>
      <c r="W11" s="12" t="n">
        <v>107</v>
      </c>
      <c r="X11" s="13" t="n">
        <v>107</v>
      </c>
      <c r="Z11" s="13" t="n">
        <v>71</v>
      </c>
      <c r="AA11" s="12" t="n">
        <v>71</v>
      </c>
      <c r="AB11" s="13" t="n">
        <v>71</v>
      </c>
      <c r="AC11" s="12" t="n">
        <v>71</v>
      </c>
      <c r="AD11" s="13" t="n">
        <v>71</v>
      </c>
      <c r="AF11" s="13" t="n">
        <v>71</v>
      </c>
      <c r="AG11" s="12" t="n">
        <v>71</v>
      </c>
      <c r="AH11" s="13" t="n">
        <v>71</v>
      </c>
      <c r="AI11" s="12" t="n">
        <v>71</v>
      </c>
      <c r="AJ11" s="13" t="n">
        <v>71</v>
      </c>
      <c r="AM11" s="0" t="inlineStr">
        <is>
          <t>Line Prize Won: 2.87M (Stage : 7) - 2870000</t>
        </is>
      </c>
      <c r="AO11" s="0" t="inlineStr">
        <is>
          <t>(Stage : 7)</t>
        </is>
      </c>
      <c r="AP11" s="0">
        <f>ROUND(COUNTIF(AM:AM,"*(Stage : 7)*")/2,0)</f>
        <v/>
      </c>
      <c r="AR11" s="0" t="inlineStr">
        <is>
          <t>Line Prize Won: 7.90M (Stage : 5) - 7900000</t>
        </is>
      </c>
      <c r="AT11" s="0" t="inlineStr">
        <is>
          <t>(Stage : 7)</t>
        </is>
      </c>
      <c r="AU11" s="0">
        <f>ROUND(COUNTIF(AR:AR,"*(Stage : 7)*")/2,0)</f>
        <v/>
      </c>
    </row>
    <row r="12" ht="20.25" customHeight="1" s="161">
      <c r="B12" s="2">
        <f>B3/B4</f>
        <v/>
      </c>
      <c r="C12" s="2">
        <f>C3/C4</f>
        <v/>
      </c>
      <c r="D12" s="2">
        <f>D3/D4</f>
        <v/>
      </c>
      <c r="E12" s="2">
        <f>E3/E4</f>
        <v/>
      </c>
      <c r="F12" s="2">
        <f>F3/F4</f>
        <v/>
      </c>
      <c r="G12" s="2">
        <f>G3/G4</f>
        <v/>
      </c>
      <c r="H12" s="2">
        <f>H3/H4</f>
        <v/>
      </c>
      <c r="I12" s="2">
        <f>I3/I4</f>
        <v/>
      </c>
      <c r="J12" s="2">
        <f>J3/J4</f>
        <v/>
      </c>
      <c r="N12" s="13" t="n">
        <v>107</v>
      </c>
      <c r="O12" s="13" t="n">
        <v>107</v>
      </c>
      <c r="P12" s="14" t="n"/>
      <c r="Q12" s="13" t="n">
        <v>107</v>
      </c>
      <c r="R12" s="13" t="n">
        <v>107</v>
      </c>
      <c r="T12" s="13" t="n">
        <v>107</v>
      </c>
      <c r="U12" s="13" t="n">
        <v>107</v>
      </c>
      <c r="V12" s="14" t="n"/>
      <c r="W12" s="13" t="n">
        <v>107</v>
      </c>
      <c r="X12" s="13" t="n">
        <v>107</v>
      </c>
      <c r="Z12" s="13" t="n">
        <v>71</v>
      </c>
      <c r="AA12" s="13" t="n">
        <v>71</v>
      </c>
      <c r="AB12" s="14" t="n"/>
      <c r="AC12" s="13" t="n">
        <v>71</v>
      </c>
      <c r="AD12" s="13" t="n">
        <v>71</v>
      </c>
      <c r="AF12" s="13" t="n">
        <v>71</v>
      </c>
      <c r="AG12" s="13" t="n">
        <v>71</v>
      </c>
      <c r="AH12" s="14" t="n"/>
      <c r="AI12" s="13" t="n">
        <v>71</v>
      </c>
      <c r="AJ12" s="13" t="n">
        <v>71</v>
      </c>
      <c r="AM12" s="0" t="inlineStr">
        <is>
          <t>Line Prize Won: 3.15M (Stage : 5) - 3150000</t>
        </is>
      </c>
      <c r="AO12" s="0" t="inlineStr">
        <is>
          <t>(Stage : 8)</t>
        </is>
      </c>
      <c r="AP12" s="0">
        <f>ROUND(COUNTIF(AM:AM,"*(Stage : 8)*")/2,0)</f>
        <v/>
      </c>
      <c r="AR12" s="0" t="inlineStr">
        <is>
          <t>Line Prize Won: 960.00K (Stage : 3) - 960000</t>
        </is>
      </c>
      <c r="AT12" s="0" t="inlineStr">
        <is>
          <t>(Stage : 8)</t>
        </is>
      </c>
      <c r="AU12" s="0">
        <f>ROUND(COUNTIF(AR:AR,"*(Stage : 8)*")/2,0)</f>
        <v/>
      </c>
    </row>
    <row r="13" ht="18.75" customHeight="1" s="161">
      <c r="D13" s="8">
        <f>'Control Panel'!C8</f>
        <v/>
      </c>
      <c r="E13" s="8">
        <f>'Control Panel'!D8</f>
        <v/>
      </c>
      <c r="F13" s="8">
        <f>'Control Panel'!E8</f>
        <v/>
      </c>
      <c r="G13" s="8">
        <f>'Control Panel'!F8</f>
        <v/>
      </c>
      <c r="H13" s="8">
        <f>'Control Panel'!G8</f>
        <v/>
      </c>
      <c r="I13" s="8">
        <f>'Control Panel'!H8</f>
        <v/>
      </c>
      <c r="J13" s="8">
        <f>'Control Panel'!I8</f>
        <v/>
      </c>
      <c r="N13" s="13" t="n">
        <v>107</v>
      </c>
      <c r="O13" s="12" t="n">
        <v>107</v>
      </c>
      <c r="P13" s="13" t="n">
        <v>107</v>
      </c>
      <c r="Q13" s="12" t="n">
        <v>107</v>
      </c>
      <c r="R13" s="13" t="n">
        <v>107</v>
      </c>
      <c r="T13" s="13" t="n">
        <v>107</v>
      </c>
      <c r="U13" s="12" t="n">
        <v>107</v>
      </c>
      <c r="V13" s="13" t="n">
        <v>107</v>
      </c>
      <c r="W13" s="12" t="n">
        <v>107</v>
      </c>
      <c r="X13" s="13" t="n">
        <v>107</v>
      </c>
      <c r="Z13" s="13" t="n">
        <v>71</v>
      </c>
      <c r="AA13" s="12" t="n">
        <v>71</v>
      </c>
      <c r="AB13" s="13" t="n">
        <v>71</v>
      </c>
      <c r="AC13" s="12" t="n">
        <v>71</v>
      </c>
      <c r="AD13" s="13" t="n">
        <v>71</v>
      </c>
      <c r="AF13" s="13" t="n">
        <v>71</v>
      </c>
      <c r="AG13" s="12" t="n">
        <v>71</v>
      </c>
      <c r="AH13" s="13" t="n">
        <v>71</v>
      </c>
      <c r="AI13" s="12" t="n">
        <v>71</v>
      </c>
      <c r="AJ13" s="13" t="n">
        <v>71</v>
      </c>
      <c r="AM13" s="0" t="inlineStr">
        <is>
          <t>Line Prize Won: 4.27M (Stage : 7) - 4270000</t>
        </is>
      </c>
      <c r="AO13" s="34" t="n">
        <v>31590000</v>
      </c>
      <c r="AP13" s="0" t="n">
        <v>10</v>
      </c>
      <c r="AR13" s="0" t="inlineStr">
        <is>
          <t>New Item Acquired: 100.00K (2, 16)</t>
        </is>
      </c>
      <c r="AT13" s="34" t="n">
        <v>29660000</v>
      </c>
      <c r="AU13" s="0" t="n">
        <v>10</v>
      </c>
    </row>
    <row r="14">
      <c r="D14" s="2" t="n"/>
      <c r="E14" s="0">
        <f>E2/D2</f>
        <v/>
      </c>
      <c r="F14" s="0">
        <f>F2/D2</f>
        <v/>
      </c>
      <c r="G14" s="2">
        <f>G2/D2</f>
        <v/>
      </c>
      <c r="H14" s="7">
        <f>H2/D2</f>
        <v/>
      </c>
      <c r="I14" s="0">
        <f>I2/D2</f>
        <v/>
      </c>
      <c r="J14" s="0">
        <f>J2/D2</f>
        <v/>
      </c>
      <c r="K14" s="25" t="n"/>
      <c r="L14" s="25" t="n"/>
      <c r="N14" s="12" t="n">
        <v>107</v>
      </c>
      <c r="O14" s="13" t="n">
        <v>107</v>
      </c>
      <c r="P14" s="13" t="n">
        <v>107</v>
      </c>
      <c r="Q14" s="13" t="n">
        <v>107</v>
      </c>
      <c r="R14" s="12" t="n">
        <v>107</v>
      </c>
      <c r="T14" s="12" t="n">
        <v>107</v>
      </c>
      <c r="U14" s="13" t="n">
        <v>107</v>
      </c>
      <c r="V14" s="13" t="n">
        <v>107</v>
      </c>
      <c r="W14" s="13" t="n">
        <v>107</v>
      </c>
      <c r="X14" s="12" t="n">
        <v>107</v>
      </c>
      <c r="Z14" s="12" t="n">
        <v>71</v>
      </c>
      <c r="AA14" s="13" t="n">
        <v>71</v>
      </c>
      <c r="AB14" s="13" t="n">
        <v>71</v>
      </c>
      <c r="AC14" s="13" t="n">
        <v>71</v>
      </c>
      <c r="AD14" s="12" t="n">
        <v>71</v>
      </c>
      <c r="AF14" s="12" t="n">
        <v>71</v>
      </c>
      <c r="AG14" s="13" t="n">
        <v>71</v>
      </c>
      <c r="AH14" s="13" t="n">
        <v>71</v>
      </c>
      <c r="AI14" s="13" t="n">
        <v>71</v>
      </c>
      <c r="AJ14" s="12" t="n">
        <v>71</v>
      </c>
      <c r="AM14" s="0" t="inlineStr">
        <is>
          <t>Line Prize Won: 5.84M (Stage : 8) - 5840000</t>
        </is>
      </c>
      <c r="AO14" s="0" t="n">
        <v>3000</v>
      </c>
      <c r="AP14" s="2">
        <f>AO12/AP12</f>
        <v/>
      </c>
      <c r="AR14" s="0" t="inlineStr">
        <is>
          <t>New Item Acquired: 100.00K (2, 19)</t>
        </is>
      </c>
      <c r="AT14" s="0" t="n">
        <v>3000</v>
      </c>
      <c r="AU14" s="2">
        <f>AT12/AU12</f>
        <v/>
      </c>
    </row>
    <row r="15">
      <c r="E15" s="0">
        <f>E7/D7</f>
        <v/>
      </c>
      <c r="F15" s="0">
        <f>F7/D7</f>
        <v/>
      </c>
      <c r="G15" s="0">
        <f>G7/D7</f>
        <v/>
      </c>
      <c r="H15" s="0">
        <f>H7/D7</f>
        <v/>
      </c>
      <c r="I15" s="0">
        <f>I7/D7</f>
        <v/>
      </c>
      <c r="J15" s="0">
        <f>J7/D7</f>
        <v/>
      </c>
      <c r="AM15" s="0" t="inlineStr">
        <is>
          <t>New Item Acquired: 100.00K (1, 23)</t>
        </is>
      </c>
      <c r="AR15" s="0" t="inlineStr">
        <is>
          <t>New Item Acquired: 100.00K (2, 7)</t>
        </is>
      </c>
    </row>
    <row r="16">
      <c r="E16" s="25">
        <f>E14/E13</f>
        <v/>
      </c>
      <c r="F16" s="25">
        <f>F14/F13</f>
        <v/>
      </c>
      <c r="G16" s="25">
        <f>G14/G13</f>
        <v/>
      </c>
      <c r="H16" s="25">
        <f>H14/H13</f>
        <v/>
      </c>
      <c r="I16" s="25">
        <f>I14/I13</f>
        <v/>
      </c>
      <c r="J16" s="25">
        <f>J14/J13</f>
        <v/>
      </c>
      <c r="AM16" s="0" t="inlineStr">
        <is>
          <t>New Item Acquired: 100.00K (1, 7)</t>
        </is>
      </c>
      <c r="AO16" s="2">
        <f>AO12/AO13</f>
        <v/>
      </c>
      <c r="AR16" s="0" t="inlineStr">
        <is>
          <t>New Item Acquired: 120.00K (4, 16)</t>
        </is>
      </c>
      <c r="AT16" s="2">
        <f>AT12/AT13</f>
        <v/>
      </c>
    </row>
    <row r="17">
      <c r="G17" s="2" t="n"/>
      <c r="AM17" s="0" t="inlineStr">
        <is>
          <t>New Item Acquired: 100.00K (2, 18)</t>
        </is>
      </c>
      <c r="AR17" s="0" t="inlineStr">
        <is>
          <t>New Item Acquired: 120.00K (4, 3)</t>
        </is>
      </c>
    </row>
    <row r="18">
      <c r="F18" s="0" t="n">
        <v>16</v>
      </c>
      <c r="G18" s="2" t="n"/>
      <c r="AM18" s="0" t="inlineStr">
        <is>
          <t>New Item Acquired: 120.00K (4, 11)</t>
        </is>
      </c>
      <c r="AR18" s="0" t="inlineStr">
        <is>
          <t>New Item Acquired: 150.00K (3, 14)</t>
        </is>
      </c>
    </row>
    <row r="19">
      <c r="F19" s="2">
        <f>D11*D12+E11*E12+F11*F12+G11*G12+H11*H12+I11*I12+J11*J12</f>
        <v/>
      </c>
      <c r="G19" s="2" t="n"/>
      <c r="AM19" s="0" t="inlineStr">
        <is>
          <t>New Item Acquired: 120.00K (4, 17)</t>
        </is>
      </c>
      <c r="AR19" s="0" t="inlineStr">
        <is>
          <t>New Item Acquired: 150.00K (3, 4)</t>
        </is>
      </c>
    </row>
    <row r="20">
      <c r="F20" s="2">
        <f>F18/F17</f>
        <v/>
      </c>
      <c r="AM20" s="0" t="inlineStr">
        <is>
          <t>New Item Acquired: 150.00K (3, 1)</t>
        </is>
      </c>
      <c r="AR20" s="0" t="inlineStr">
        <is>
          <t>New Item Acquired: 150.00K (3, 7)</t>
        </is>
      </c>
    </row>
    <row r="21" ht="18.75" customHeight="1" s="161">
      <c r="AM21" s="0" t="inlineStr">
        <is>
          <t>New Item Acquired: 150.00K (3, 15)</t>
        </is>
      </c>
      <c r="AR21" s="0" t="inlineStr">
        <is>
          <t>New Item Acquired: 150.00K (4, 10)</t>
        </is>
      </c>
    </row>
    <row r="22">
      <c r="D22" s="9" t="n"/>
      <c r="AM22" s="0" t="inlineStr">
        <is>
          <t>New Item Acquired: 150.00K (3, 18)</t>
        </is>
      </c>
      <c r="AR22" s="0" t="inlineStr">
        <is>
          <t>New Item Acquired: 150.00K (4, 20)</t>
        </is>
      </c>
    </row>
    <row r="23" ht="18.75" customHeight="1" s="161">
      <c r="M23" s="2" t="n"/>
      <c r="AM23" s="0" t="inlineStr">
        <is>
          <t>New Item Acquired: 150.00K (3, 25)</t>
        </is>
      </c>
      <c r="AR23" s="0" t="inlineStr">
        <is>
          <t>New Item Acquired: 150.00K (5, 11)</t>
        </is>
      </c>
    </row>
    <row r="24">
      <c r="D24" s="2" t="n"/>
      <c r="E24" s="7" t="n"/>
      <c r="AM24" s="0" t="inlineStr">
        <is>
          <t>New Item Acquired: 150.00K (3, 3)</t>
        </is>
      </c>
      <c r="AR24" s="0" t="inlineStr">
        <is>
          <t>New Item Acquired: 150.00K (5, 11)</t>
        </is>
      </c>
    </row>
    <row r="25">
      <c r="AM25" s="0" t="inlineStr">
        <is>
          <t>New Item Acquired: 150.00K (3, 9)</t>
        </is>
      </c>
      <c r="AR25" s="0" t="inlineStr">
        <is>
          <t>New Item Acquired: 150.00K (5, 12)</t>
        </is>
      </c>
    </row>
    <row r="26">
      <c r="AM26" s="0" t="inlineStr">
        <is>
          <t>New Item Acquired: 150.00K (4, 20)</t>
        </is>
      </c>
      <c r="AR26" s="0" t="inlineStr">
        <is>
          <t>New Item Acquired: 150.00K (5, 16)</t>
        </is>
      </c>
    </row>
    <row r="27">
      <c r="H27" s="24" t="n"/>
      <c r="I27" s="24" t="n"/>
      <c r="AM27" s="0" t="inlineStr">
        <is>
          <t>New Item Acquired: 150.00K (4, 22)</t>
        </is>
      </c>
      <c r="AR27" s="0" t="inlineStr">
        <is>
          <t>New Item Acquired: 150.00K (5, 16)</t>
        </is>
      </c>
    </row>
    <row r="28">
      <c r="H28" s="2" t="n"/>
      <c r="I28" s="2" t="n"/>
      <c r="AM28" s="0" t="inlineStr">
        <is>
          <t>New Item Acquired: 150.00K (4, 23)</t>
        </is>
      </c>
      <c r="AR28" s="0" t="inlineStr">
        <is>
          <t>New Item Acquired: 150.00K (5, 17)</t>
        </is>
      </c>
    </row>
    <row r="29">
      <c r="AM29" s="0" t="inlineStr">
        <is>
          <t>New Item Acquired: 150.00K (4, 4)</t>
        </is>
      </c>
      <c r="AR29" s="0" t="inlineStr">
        <is>
          <t>New Item Acquired: 150.00K (5, 18)</t>
        </is>
      </c>
    </row>
    <row r="30">
      <c r="AM30" s="0" t="inlineStr">
        <is>
          <t>New Item Acquired: 150.00K (5, 1)</t>
        </is>
      </c>
      <c r="AR30" s="0" t="inlineStr">
        <is>
          <t>New Item Acquired: 150.00K (5, 19)</t>
        </is>
      </c>
    </row>
    <row r="31">
      <c r="AM31" s="0" t="inlineStr">
        <is>
          <t>New Item Acquired: 150.00K (5, 1)</t>
        </is>
      </c>
      <c r="AR31" s="0" t="inlineStr">
        <is>
          <t>New Item Acquired: 150.00K (5, 22)</t>
        </is>
      </c>
    </row>
    <row r="32">
      <c r="AM32" s="0" t="inlineStr">
        <is>
          <t>New Item Acquired: 150.00K (5, 10)</t>
        </is>
      </c>
      <c r="AR32" s="0" t="inlineStr">
        <is>
          <t>New Item Acquired: 150.00K (5, 23)</t>
        </is>
      </c>
    </row>
    <row r="33">
      <c r="AM33" s="0" t="inlineStr">
        <is>
          <t>New Item Acquired: 150.00K (5, 11)</t>
        </is>
      </c>
      <c r="AR33" s="0" t="inlineStr">
        <is>
          <t>New Item Acquired: 150.00K (5, 24)</t>
        </is>
      </c>
    </row>
    <row r="34">
      <c r="AM34" s="0" t="inlineStr">
        <is>
          <t>New Item Acquired: 150.00K (5, 12)</t>
        </is>
      </c>
      <c r="AR34" s="0" t="inlineStr">
        <is>
          <t>New Item Acquired: 150.00K (5, 25)</t>
        </is>
      </c>
    </row>
    <row r="35">
      <c r="AM35" s="0" t="inlineStr">
        <is>
          <t>New Item Acquired: 150.00K (5, 14)</t>
        </is>
      </c>
      <c r="AR35" s="0" t="inlineStr">
        <is>
          <t>New Item Acquired: 150.00K (5, 25)</t>
        </is>
      </c>
    </row>
    <row r="36">
      <c r="AM36" s="0" t="inlineStr">
        <is>
          <t>New Item Acquired: 150.00K (5, 15)</t>
        </is>
      </c>
      <c r="AR36" s="0" t="inlineStr">
        <is>
          <t>New Item Acquired: 150.00K (5, 4)</t>
        </is>
      </c>
    </row>
    <row r="37">
      <c r="AM37" s="0" t="inlineStr">
        <is>
          <t>New Item Acquired: 150.00K (5, 15)</t>
        </is>
      </c>
      <c r="AR37" s="0" t="inlineStr">
        <is>
          <t>New Item Acquired: 150.00K (5, 4)</t>
        </is>
      </c>
    </row>
    <row r="38">
      <c r="AM38" s="0" t="inlineStr">
        <is>
          <t>New Item Acquired: 150.00K (5, 15)</t>
        </is>
      </c>
      <c r="AR38" s="0" t="inlineStr">
        <is>
          <t>New Item Acquired: 150.00K (5, 5)</t>
        </is>
      </c>
    </row>
    <row r="39">
      <c r="AM39" s="0" t="inlineStr">
        <is>
          <t>New Item Acquired: 150.00K (5, 16)</t>
        </is>
      </c>
      <c r="AR39" s="0" t="inlineStr">
        <is>
          <t>New Item Acquired: 150.00K (5, 6)</t>
        </is>
      </c>
    </row>
    <row r="40">
      <c r="AM40" s="0" t="inlineStr">
        <is>
          <t>New Item Acquired: 150.00K (5, 16)</t>
        </is>
      </c>
      <c r="AR40" s="0" t="inlineStr">
        <is>
          <t>New Item Acquired: 180.00K (6, 1)</t>
        </is>
      </c>
    </row>
    <row r="41">
      <c r="AM41" s="0" t="inlineStr">
        <is>
          <t>New Item Acquired: 150.00K (5, 16)</t>
        </is>
      </c>
      <c r="AR41" s="0" t="inlineStr">
        <is>
          <t>New Item Acquired: 180.00K (6, 10)</t>
        </is>
      </c>
    </row>
    <row r="42">
      <c r="AM42" s="0" t="inlineStr">
        <is>
          <t>New Item Acquired: 150.00K (5, 16)</t>
        </is>
      </c>
      <c r="AR42" s="0" t="inlineStr">
        <is>
          <t>New Item Acquired: 180.00K (6, 11)</t>
        </is>
      </c>
    </row>
    <row r="43">
      <c r="AM43" s="0" t="inlineStr">
        <is>
          <t>New Item Acquired: 150.00K (5, 17)</t>
        </is>
      </c>
      <c r="AR43" s="0" t="inlineStr">
        <is>
          <t>New Item Acquired: 180.00K (6, 11)</t>
        </is>
      </c>
    </row>
    <row r="44">
      <c r="AM44" s="0" t="inlineStr">
        <is>
          <t>New Item Acquired: 150.00K (5, 18)</t>
        </is>
      </c>
      <c r="AR44" s="0" t="inlineStr">
        <is>
          <t>New Item Acquired: 180.00K (6, 15)</t>
        </is>
      </c>
    </row>
    <row r="45">
      <c r="AM45" s="0" t="inlineStr">
        <is>
          <t>New Item Acquired: 150.00K (5, 19)</t>
        </is>
      </c>
      <c r="AR45" s="0" t="inlineStr">
        <is>
          <t>New Item Acquired: 180.00K (6, 15)</t>
        </is>
      </c>
    </row>
    <row r="46">
      <c r="AM46" s="0" t="inlineStr">
        <is>
          <t>New Item Acquired: 150.00K (5, 19)</t>
        </is>
      </c>
      <c r="AR46" s="0" t="inlineStr">
        <is>
          <t>New Item Acquired: 180.00K (6, 16)</t>
        </is>
      </c>
    </row>
    <row r="47">
      <c r="AM47" s="0" t="inlineStr">
        <is>
          <t>New Item Acquired: 150.00K (5, 2)</t>
        </is>
      </c>
      <c r="AR47" s="0" t="inlineStr">
        <is>
          <t>New Item Acquired: 180.00K (6, 17)</t>
        </is>
      </c>
    </row>
    <row r="48">
      <c r="AM48" s="0" t="inlineStr">
        <is>
          <t>New Item Acquired: 150.00K (5, 20)</t>
        </is>
      </c>
      <c r="AR48" s="0" t="inlineStr">
        <is>
          <t>New Item Acquired: 180.00K (6, 18)</t>
        </is>
      </c>
    </row>
    <row r="49">
      <c r="AM49" s="0" t="inlineStr">
        <is>
          <t>New Item Acquired: 150.00K (5, 21)</t>
        </is>
      </c>
      <c r="AR49" s="0" t="inlineStr">
        <is>
          <t>New Item Acquired: 180.00K (6, 2)</t>
        </is>
      </c>
    </row>
    <row r="50">
      <c r="AM50" s="0" t="inlineStr">
        <is>
          <t>New Item Acquired: 150.00K (5, 22)</t>
        </is>
      </c>
      <c r="AR50" s="0" t="inlineStr">
        <is>
          <t>New Item Acquired: 180.00K (6, 22)</t>
        </is>
      </c>
    </row>
    <row r="51">
      <c r="AM51" s="0" t="inlineStr">
        <is>
          <t>New Item Acquired: 150.00K (5, 24)</t>
        </is>
      </c>
      <c r="AR51" s="0" t="inlineStr">
        <is>
          <t>New Item Acquired: 180.00K (6, 23)</t>
        </is>
      </c>
    </row>
    <row r="52">
      <c r="AM52" s="0" t="inlineStr">
        <is>
          <t>New Item Acquired: 150.00K (5, 25)</t>
        </is>
      </c>
      <c r="AR52" s="0" t="inlineStr">
        <is>
          <t>New Item Acquired: 180.00K (6, 23)</t>
        </is>
      </c>
    </row>
    <row r="53">
      <c r="AM53" s="0" t="inlineStr">
        <is>
          <t>New Item Acquired: 150.00K (5, 25)</t>
        </is>
      </c>
      <c r="AR53" s="0" t="inlineStr">
        <is>
          <t>New Item Acquired: 180.00K (6, 24)</t>
        </is>
      </c>
    </row>
    <row r="54">
      <c r="AM54" s="0" t="inlineStr">
        <is>
          <t>New Item Acquired: 150.00K (5, 3)</t>
        </is>
      </c>
      <c r="AR54" s="0" t="inlineStr">
        <is>
          <t>New Item Acquired: 180.00K (6, 4)</t>
        </is>
      </c>
    </row>
    <row r="55">
      <c r="AM55" s="0" t="inlineStr">
        <is>
          <t>New Item Acquired: 150.00K (5, 3)</t>
        </is>
      </c>
      <c r="AR55" s="0" t="inlineStr">
        <is>
          <t>New Item Acquired: 180.00K (6, 7)</t>
        </is>
      </c>
    </row>
    <row r="56">
      <c r="AM56" s="0" t="inlineStr">
        <is>
          <t>New Item Acquired: 150.00K (5, 5)</t>
        </is>
      </c>
      <c r="AR56" s="0" t="inlineStr">
        <is>
          <t>New Item Acquired: 180.00K (6, 9)</t>
        </is>
      </c>
    </row>
    <row r="57">
      <c r="AM57" s="0" t="inlineStr">
        <is>
          <t>New Item Acquired: 150.00K (5, 6)</t>
        </is>
      </c>
      <c r="AR57" s="0" t="inlineStr">
        <is>
          <t>New Item Acquired: 200.00K (2, 17)</t>
        </is>
      </c>
    </row>
    <row r="58">
      <c r="AM58" s="0" t="inlineStr">
        <is>
          <t>New Item Acquired: 150.00K (5, 7)</t>
        </is>
      </c>
      <c r="AR58" s="0" t="inlineStr">
        <is>
          <t>New Item Acquired: 200.00K (2, 8)</t>
        </is>
      </c>
    </row>
    <row r="59">
      <c r="AM59" s="0" t="inlineStr">
        <is>
          <t>New Item Acquired: 180.00K (6, 1)</t>
        </is>
      </c>
      <c r="AR59" s="0" t="inlineStr">
        <is>
          <t>New Item Acquired: 210.00K (7, 16)</t>
        </is>
      </c>
    </row>
    <row r="60">
      <c r="AM60" s="0" t="inlineStr">
        <is>
          <t>New Item Acquired: 180.00K (6, 1)</t>
        </is>
      </c>
      <c r="AR60" s="0" t="inlineStr">
        <is>
          <t>New Item Acquired: 210.00K (7, 18)</t>
        </is>
      </c>
    </row>
    <row r="61">
      <c r="AM61" s="0" t="inlineStr">
        <is>
          <t>New Item Acquired: 180.00K (6, 10)</t>
        </is>
      </c>
      <c r="AR61" s="0" t="inlineStr">
        <is>
          <t>New Item Acquired: 210.00K (7, 20)</t>
        </is>
      </c>
    </row>
    <row r="62">
      <c r="AM62" s="0" t="inlineStr">
        <is>
          <t>New Item Acquired: 180.00K (6, 10)</t>
        </is>
      </c>
      <c r="AR62" s="0" t="inlineStr">
        <is>
          <t>New Item Acquired: 210.00K (7, 23)</t>
        </is>
      </c>
    </row>
    <row r="63">
      <c r="AM63" s="0" t="inlineStr">
        <is>
          <t>New Item Acquired: 180.00K (6, 10)</t>
        </is>
      </c>
      <c r="AR63" s="0" t="inlineStr">
        <is>
          <t>New Item Acquired: 210.00K (7, 7)</t>
        </is>
      </c>
    </row>
    <row r="64">
      <c r="AM64" s="0" t="inlineStr">
        <is>
          <t>New Item Acquired: 180.00K (6, 11)</t>
        </is>
      </c>
      <c r="AR64" s="0" t="inlineStr">
        <is>
          <t>New Item Acquired: 240.00K (8, 10)</t>
        </is>
      </c>
    </row>
    <row r="65">
      <c r="AM65" s="0" t="inlineStr">
        <is>
          <t>New Item Acquired: 180.00K (6, 12)</t>
        </is>
      </c>
      <c r="AR65" s="0" t="inlineStr">
        <is>
          <t>New Item Acquired: 240.00K (8, 11)</t>
        </is>
      </c>
    </row>
    <row r="66">
      <c r="AM66" s="0" t="inlineStr">
        <is>
          <t>New Item Acquired: 180.00K (6, 12)</t>
        </is>
      </c>
      <c r="AR66" s="0" t="inlineStr">
        <is>
          <t>New Item Acquired: 240.00K (8, 17)</t>
        </is>
      </c>
    </row>
    <row r="67">
      <c r="AM67" s="0" t="inlineStr">
        <is>
          <t>New Item Acquired: 180.00K (6, 17)</t>
        </is>
      </c>
      <c r="AR67" s="0" t="inlineStr">
        <is>
          <t>New Item Acquired: 240.00K (8, 18)</t>
        </is>
      </c>
    </row>
    <row r="68">
      <c r="AM68" s="0" t="inlineStr">
        <is>
          <t>New Item Acquired: 180.00K (6, 18)</t>
        </is>
      </c>
      <c r="AR68" s="0" t="inlineStr">
        <is>
          <t>New Item Acquired: 240.00K (8, 18)</t>
        </is>
      </c>
    </row>
    <row r="69">
      <c r="AM69" s="0" t="inlineStr">
        <is>
          <t>New Item Acquired: 180.00K (6, 2)</t>
        </is>
      </c>
      <c r="AR69" s="0" t="inlineStr">
        <is>
          <t>New Item Acquired: 240.00K (8, 19)</t>
        </is>
      </c>
    </row>
    <row r="70">
      <c r="AM70" s="0" t="inlineStr">
        <is>
          <t>New Item Acquired: 180.00K (6, 20)</t>
        </is>
      </c>
      <c r="AR70" s="0" t="inlineStr">
        <is>
          <t>New Item Acquired: 240.00K (8, 20)</t>
        </is>
      </c>
    </row>
    <row r="71">
      <c r="AM71" s="0" t="inlineStr">
        <is>
          <t>New Item Acquired: 180.00K (6, 21)</t>
        </is>
      </c>
      <c r="AR71" s="0" t="inlineStr">
        <is>
          <t>New Item Acquired: 240.00K (8, 23)</t>
        </is>
      </c>
    </row>
    <row r="72">
      <c r="AM72" s="0" t="inlineStr">
        <is>
          <t>New Item Acquired: 180.00K (6, 25)</t>
        </is>
      </c>
      <c r="AR72" s="0" t="inlineStr">
        <is>
          <t>New Item Acquired: 240.00K (8, 25)</t>
        </is>
      </c>
    </row>
    <row r="73">
      <c r="AM73" s="0" t="inlineStr">
        <is>
          <t>New Item Acquired: 180.00K (6, 25)</t>
        </is>
      </c>
      <c r="AR73" s="0" t="inlineStr">
        <is>
          <t>New Item Acquired: 240.00K (8, 5)</t>
        </is>
      </c>
    </row>
    <row r="74">
      <c r="AM74" s="0" t="inlineStr">
        <is>
          <t>New Item Acquired: 180.00K (6, 4)</t>
        </is>
      </c>
      <c r="AR74" s="0" t="inlineStr">
        <is>
          <t>New Item Acquired: 240.00K (8, 7)</t>
        </is>
      </c>
    </row>
    <row r="75">
      <c r="AM75" s="0" t="inlineStr">
        <is>
          <t>New Item Acquired: 180.00K (6, 5)</t>
        </is>
      </c>
      <c r="AR75" s="0" t="inlineStr">
        <is>
          <t>New Item Acquired: 250.00K (5, 1)</t>
        </is>
      </c>
    </row>
    <row r="76">
      <c r="AM76" s="0" t="inlineStr">
        <is>
          <t>New Item Acquired: 180.00K (6, 8)</t>
        </is>
      </c>
      <c r="AR76" s="0" t="inlineStr">
        <is>
          <t>New Item Acquired: 250.00K (5, 10)</t>
        </is>
      </c>
    </row>
    <row r="77">
      <c r="AM77" s="0" t="inlineStr">
        <is>
          <t>New Item Acquired: 180.00K (6, 8)</t>
        </is>
      </c>
      <c r="AR77" s="0" t="inlineStr">
        <is>
          <t>New Item Acquired: 250.00K (5, 10)</t>
        </is>
      </c>
    </row>
    <row r="78">
      <c r="AM78" s="0" t="inlineStr">
        <is>
          <t>New Item Acquired: 180.00K (6, 9)</t>
        </is>
      </c>
      <c r="AR78" s="0" t="inlineStr">
        <is>
          <t>New Item Acquired: 250.00K (5, 14)</t>
        </is>
      </c>
    </row>
    <row r="79">
      <c r="AM79" s="0" t="inlineStr">
        <is>
          <t>New Item Acquired: 200.00K (2, 11)</t>
        </is>
      </c>
      <c r="AR79" s="0" t="inlineStr">
        <is>
          <t>New Item Acquired: 250.00K (5, 15)</t>
        </is>
      </c>
    </row>
    <row r="80">
      <c r="AM80" s="0" t="inlineStr">
        <is>
          <t>New Item Acquired: 200.00K (2, 15)</t>
        </is>
      </c>
      <c r="AR80" s="0" t="inlineStr">
        <is>
          <t>New Item Acquired: 250.00K (5, 15)</t>
        </is>
      </c>
    </row>
    <row r="81">
      <c r="AM81" s="0" t="inlineStr">
        <is>
          <t>New Item Acquired: 210.00K (7, 11)</t>
        </is>
      </c>
      <c r="AR81" s="0" t="inlineStr">
        <is>
          <t>New Item Acquired: 250.00K (5, 17)</t>
        </is>
      </c>
    </row>
    <row r="82">
      <c r="AM82" s="0" t="inlineStr">
        <is>
          <t>New Item Acquired: 210.00K (7, 11)</t>
        </is>
      </c>
      <c r="AR82" s="0" t="inlineStr">
        <is>
          <t>New Item Acquired: 250.00K (5, 18)</t>
        </is>
      </c>
    </row>
    <row r="83">
      <c r="AM83" s="0" t="inlineStr">
        <is>
          <t>New Item Acquired: 210.00K (7, 12)</t>
        </is>
      </c>
      <c r="AR83" s="0" t="inlineStr">
        <is>
          <t>New Item Acquired: 250.00K (5, 2)</t>
        </is>
      </c>
    </row>
    <row r="84">
      <c r="AM84" s="0" t="inlineStr">
        <is>
          <t>New Item Acquired: 210.00K (7, 14)</t>
        </is>
      </c>
      <c r="AR84" s="0" t="inlineStr">
        <is>
          <t>New Item Acquired: 250.00K (5, 20)</t>
        </is>
      </c>
    </row>
    <row r="85">
      <c r="AM85" s="0" t="inlineStr">
        <is>
          <t>New Item Acquired: 210.00K (7, 16)</t>
        </is>
      </c>
      <c r="AR85" s="0" t="inlineStr">
        <is>
          <t>New Item Acquired: 250.00K (5, 20)</t>
        </is>
      </c>
    </row>
    <row r="86">
      <c r="AM86" s="0" t="inlineStr">
        <is>
          <t>New Item Acquired: 210.00K (7, 17)</t>
        </is>
      </c>
      <c r="AR86" s="0" t="inlineStr">
        <is>
          <t>New Item Acquired: 250.00K (5, 22)</t>
        </is>
      </c>
    </row>
    <row r="87">
      <c r="AM87" s="0" t="inlineStr">
        <is>
          <t>New Item Acquired: 210.00K (7, 18)</t>
        </is>
      </c>
      <c r="AR87" s="0" t="inlineStr">
        <is>
          <t>New Item Acquired: 250.00K (5, 25)</t>
        </is>
      </c>
    </row>
    <row r="88">
      <c r="AM88" s="0" t="inlineStr">
        <is>
          <t>New Item Acquired: 210.00K (7, 19)</t>
        </is>
      </c>
      <c r="AR88" s="0" t="inlineStr">
        <is>
          <t>New Item Acquired: 250.00K (5, 3)</t>
        </is>
      </c>
    </row>
    <row r="89">
      <c r="AM89" s="0" t="inlineStr">
        <is>
          <t>New Item Acquired: 210.00K (7, 2)</t>
        </is>
      </c>
      <c r="AR89" s="0" t="inlineStr">
        <is>
          <t>New Item Acquired: 250.00K (5, 3)</t>
        </is>
      </c>
    </row>
    <row r="90">
      <c r="AM90" s="0" t="inlineStr">
        <is>
          <t>New Item Acquired: 210.00K (7, 21)</t>
        </is>
      </c>
      <c r="AR90" s="0" t="inlineStr">
        <is>
          <t>New Item Acquired: 250.00K (5, 5)</t>
        </is>
      </c>
    </row>
    <row r="91">
      <c r="AM91" s="0" t="inlineStr">
        <is>
          <t>New Item Acquired: 210.00K (7, 23)</t>
        </is>
      </c>
      <c r="AR91" s="0" t="inlineStr">
        <is>
          <t>New Item Acquired: 250.00K (5, 5)</t>
        </is>
      </c>
    </row>
    <row r="92">
      <c r="AM92" s="0" t="inlineStr">
        <is>
          <t>New Item Acquired: 210.00K (7, 3)</t>
        </is>
      </c>
      <c r="AR92" s="0" t="inlineStr">
        <is>
          <t>New Item Acquired: 250.00K (5, 7)</t>
        </is>
      </c>
    </row>
    <row r="93">
      <c r="AM93" s="0" t="inlineStr">
        <is>
          <t>New Item Acquired: 240.00K (8, 14)</t>
        </is>
      </c>
      <c r="AR93" s="0" t="inlineStr">
        <is>
          <t>New Item Acquired: 250.00K (5, 7)</t>
        </is>
      </c>
    </row>
    <row r="94">
      <c r="AM94" s="0" t="inlineStr">
        <is>
          <t>New Item Acquired: 240.00K (8, 15)</t>
        </is>
      </c>
      <c r="AR94" s="0" t="inlineStr">
        <is>
          <t>New Item Acquired: 250.00K (5, 8)</t>
        </is>
      </c>
    </row>
    <row r="95">
      <c r="AM95" s="0" t="inlineStr">
        <is>
          <t>New Item Acquired: 240.00K (8, 19)</t>
        </is>
      </c>
      <c r="AR95" s="0" t="inlineStr">
        <is>
          <t>New Item Acquired: 250.00K (5, 9)</t>
        </is>
      </c>
    </row>
    <row r="96">
      <c r="AM96" s="0" t="inlineStr">
        <is>
          <t>New Item Acquired: 240.00K (8, 2)</t>
        </is>
      </c>
      <c r="AR96" s="0" t="inlineStr">
        <is>
          <t>New Item Acquired: 30.00K (1, 11)</t>
        </is>
      </c>
    </row>
    <row r="97">
      <c r="AM97" s="0" t="inlineStr">
        <is>
          <t>New Item Acquired: 240.00K (8, 21)</t>
        </is>
      </c>
      <c r="AR97" s="0" t="inlineStr">
        <is>
          <t>New Item Acquired: 300.00K (4, 14)</t>
        </is>
      </c>
    </row>
    <row r="98">
      <c r="AM98" s="0" t="inlineStr">
        <is>
          <t>New Item Acquired: 240.00K (8, 24)</t>
        </is>
      </c>
      <c r="AR98" s="0" t="inlineStr">
        <is>
          <t>New Item Acquired: 300.00K (4, 8)</t>
        </is>
      </c>
    </row>
    <row r="99">
      <c r="AM99" s="0" t="inlineStr">
        <is>
          <t>New Item Acquired: 240.00K (8, 3)</t>
        </is>
      </c>
      <c r="AR99" s="0" t="inlineStr">
        <is>
          <t>New Item Acquired: 300.00K (6, 1)</t>
        </is>
      </c>
    </row>
    <row r="100">
      <c r="AM100" s="0" t="inlineStr">
        <is>
          <t>New Item Acquired: 240.00K (8, 9)</t>
        </is>
      </c>
      <c r="AR100" s="0" t="inlineStr">
        <is>
          <t>New Item Acquired: 300.00K (6, 1)</t>
        </is>
      </c>
    </row>
    <row r="101">
      <c r="AM101" s="0" t="inlineStr">
        <is>
          <t>New Item Acquired: 250.00K (5, 1)</t>
        </is>
      </c>
      <c r="AR101" s="0" t="inlineStr">
        <is>
          <t>New Item Acquired: 300.00K (6, 12)</t>
        </is>
      </c>
    </row>
    <row r="102">
      <c r="AM102" s="0" t="inlineStr">
        <is>
          <t>New Item Acquired: 250.00K (5, 1)</t>
        </is>
      </c>
      <c r="AR102" s="0" t="inlineStr">
        <is>
          <t>New Item Acquired: 300.00K (6, 12)</t>
        </is>
      </c>
    </row>
    <row r="103">
      <c r="AM103" s="0" t="inlineStr">
        <is>
          <t>New Item Acquired: 250.00K (5, 12)</t>
        </is>
      </c>
      <c r="AR103" s="0" t="inlineStr">
        <is>
          <t>New Item Acquired: 300.00K (6, 12)</t>
        </is>
      </c>
    </row>
    <row r="104">
      <c r="AM104" s="0" t="inlineStr">
        <is>
          <t>New Item Acquired: 250.00K (5, 17)</t>
        </is>
      </c>
      <c r="AR104" s="0" t="inlineStr">
        <is>
          <t>New Item Acquired: 300.00K (6, 14)</t>
        </is>
      </c>
    </row>
    <row r="105">
      <c r="AM105" s="0" t="inlineStr">
        <is>
          <t>New Item Acquired: 250.00K (5, 18)</t>
        </is>
      </c>
      <c r="AR105" s="0" t="inlineStr">
        <is>
          <t>New Item Acquired: 300.00K (6, 14)</t>
        </is>
      </c>
    </row>
    <row r="106">
      <c r="AM106" s="0" t="inlineStr">
        <is>
          <t>New Item Acquired: 250.00K (5, 19)</t>
        </is>
      </c>
      <c r="AR106" s="0" t="inlineStr">
        <is>
          <t>New Item Acquired: 300.00K (6, 16)</t>
        </is>
      </c>
    </row>
    <row r="107">
      <c r="AM107" s="0" t="inlineStr">
        <is>
          <t>New Item Acquired: 250.00K (5, 19)</t>
        </is>
      </c>
      <c r="AR107" s="0" t="inlineStr">
        <is>
          <t>New Item Acquired: 300.00K (6, 17)</t>
        </is>
      </c>
    </row>
    <row r="108">
      <c r="AM108" s="0" t="inlineStr">
        <is>
          <t>New Item Acquired: 250.00K (5, 2)</t>
        </is>
      </c>
      <c r="AR108" s="0" t="inlineStr">
        <is>
          <t>New Item Acquired: 300.00K (6, 18)</t>
        </is>
      </c>
    </row>
    <row r="109">
      <c r="AM109" s="0" t="inlineStr">
        <is>
          <t>New Item Acquired: 250.00K (5, 21)</t>
        </is>
      </c>
      <c r="AR109" s="0" t="inlineStr">
        <is>
          <t>New Item Acquired: 300.00K (6, 18)</t>
        </is>
      </c>
    </row>
    <row r="110">
      <c r="AM110" s="0" t="inlineStr">
        <is>
          <t>New Item Acquired: 250.00K (5, 23)</t>
        </is>
      </c>
      <c r="AR110" s="0" t="inlineStr">
        <is>
          <t>New Item Acquired: 300.00K (6, 23)</t>
        </is>
      </c>
    </row>
    <row r="111">
      <c r="AM111" s="0" t="inlineStr">
        <is>
          <t>New Item Acquired: 250.00K (5, 23)</t>
        </is>
      </c>
      <c r="AR111" s="0" t="inlineStr">
        <is>
          <t>New Item Acquired: 300.00K (6, 24)</t>
        </is>
      </c>
    </row>
    <row r="112">
      <c r="AM112" s="0" t="inlineStr">
        <is>
          <t>New Item Acquired: 250.00K (5, 25)</t>
        </is>
      </c>
      <c r="AR112" s="0" t="inlineStr">
        <is>
          <t>New Item Acquired: 300.00K (6, 3)</t>
        </is>
      </c>
    </row>
    <row r="113">
      <c r="AM113" s="0" t="inlineStr">
        <is>
          <t>New Item Acquired: 250.00K (5, 3)</t>
        </is>
      </c>
      <c r="AR113" s="0" t="inlineStr">
        <is>
          <t>New Item Acquired: 300.00K (6, 5)</t>
        </is>
      </c>
    </row>
    <row r="114">
      <c r="AM114" s="0" t="inlineStr">
        <is>
          <t>New Item Acquired: 250.00K (5, 5)</t>
        </is>
      </c>
      <c r="AR114" s="0" t="inlineStr">
        <is>
          <t>New Item Acquired: 300.00K (6, 8)</t>
        </is>
      </c>
    </row>
    <row r="115">
      <c r="AM115" s="0" t="inlineStr">
        <is>
          <t>New Item Acquired: 250.00K (5, 6)</t>
        </is>
      </c>
      <c r="AR115" s="0" t="inlineStr">
        <is>
          <t>New Item Acquired: 300.00K (6, 9)</t>
        </is>
      </c>
    </row>
    <row r="116">
      <c r="AM116" s="0" t="inlineStr">
        <is>
          <t>New Item Acquired: 250.00K (5, 7)</t>
        </is>
      </c>
      <c r="AR116" s="0" t="inlineStr">
        <is>
          <t>New Item Acquired: 350.00K (7, 10)</t>
        </is>
      </c>
    </row>
    <row r="117">
      <c r="AM117" s="0" t="inlineStr">
        <is>
          <t>New Item Acquired: 250.00K (5, 7)</t>
        </is>
      </c>
      <c r="AR117" s="0" t="inlineStr">
        <is>
          <t>New Item Acquired: 350.00K (7, 16)</t>
        </is>
      </c>
    </row>
    <row r="118">
      <c r="AM118" s="0" t="inlineStr">
        <is>
          <t>New Item Acquired: 250.00K (5, 8)</t>
        </is>
      </c>
      <c r="AR118" s="0" t="inlineStr">
        <is>
          <t>New Item Acquired: 350.00K (7, 17)</t>
        </is>
      </c>
    </row>
    <row r="119">
      <c r="AM119" s="0" t="inlineStr">
        <is>
          <t>New Item Acquired: 250.00K (5, 8)</t>
        </is>
      </c>
      <c r="AR119" s="0" t="inlineStr">
        <is>
          <t>New Item Acquired: 350.00K (7, 2)</t>
        </is>
      </c>
    </row>
    <row r="120">
      <c r="AM120" s="0" t="inlineStr">
        <is>
          <t>New Item Acquired: 250.00K (5, 9)</t>
        </is>
      </c>
      <c r="AR120" s="0" t="inlineStr">
        <is>
          <t>New Item Acquired: 350.00K (7, 21)</t>
        </is>
      </c>
    </row>
    <row r="121">
      <c r="AM121" s="0" t="inlineStr">
        <is>
          <t>New Item Acquired: 300.00K (3, 19)</t>
        </is>
      </c>
      <c r="AR121" s="0" t="inlineStr">
        <is>
          <t>New Item Acquired: 350.00K (7, 22)</t>
        </is>
      </c>
    </row>
    <row r="122">
      <c r="AM122" s="0" t="inlineStr">
        <is>
          <t>New Item Acquired: 300.00K (3, 6)</t>
        </is>
      </c>
      <c r="AR122" s="0" t="inlineStr">
        <is>
          <t>New Item Acquired: 350.00K (7, 24)</t>
        </is>
      </c>
    </row>
    <row r="123">
      <c r="AM123" s="0" t="inlineStr">
        <is>
          <t>New Item Acquired: 300.00K (4, 14)</t>
        </is>
      </c>
      <c r="AR123" s="0" t="inlineStr">
        <is>
          <t>New Item Acquired: 350.00K (7, 24)</t>
        </is>
      </c>
    </row>
    <row r="124">
      <c r="AM124" s="0" t="inlineStr">
        <is>
          <t>New Item Acquired: 300.00K (4, 24)</t>
        </is>
      </c>
      <c r="AR124" s="0" t="inlineStr">
        <is>
          <t>New Item Acquired: 350.00K (7, 25)</t>
        </is>
      </c>
    </row>
    <row r="125">
      <c r="AM125" s="0" t="inlineStr">
        <is>
          <t>New Item Acquired: 300.00K (6, 1)</t>
        </is>
      </c>
      <c r="AR125" s="0" t="inlineStr">
        <is>
          <t>New Item Acquired: 350.00K (7, 6)</t>
        </is>
      </c>
    </row>
    <row r="126">
      <c r="AM126" s="0" t="inlineStr">
        <is>
          <t>New Item Acquired: 300.00K (6, 11)</t>
        </is>
      </c>
      <c r="AR126" s="0" t="inlineStr">
        <is>
          <t>New Item Acquired: 350.00K (7, 8)</t>
        </is>
      </c>
    </row>
    <row r="127">
      <c r="AM127" s="0" t="inlineStr">
        <is>
          <t>New Item Acquired: 300.00K (6, 11)</t>
        </is>
      </c>
      <c r="AR127" s="0" t="inlineStr">
        <is>
          <t>New Item Acquired: 350.00K (7, 8)</t>
        </is>
      </c>
    </row>
    <row r="128">
      <c r="AM128" s="0" t="inlineStr">
        <is>
          <t>New Item Acquired: 300.00K (6, 14)</t>
        </is>
      </c>
      <c r="AR128" s="0" t="inlineStr">
        <is>
          <t>New Item Acquired: 350.00K (7, 9)</t>
        </is>
      </c>
    </row>
    <row r="129">
      <c r="AM129" s="0" t="inlineStr">
        <is>
          <t>New Item Acquired: 300.00K (6, 14)</t>
        </is>
      </c>
      <c r="AR129" s="0" t="inlineStr">
        <is>
          <t>New Item Acquired: 400.00K (8, 1)</t>
        </is>
      </c>
    </row>
    <row r="130">
      <c r="AM130" s="0" t="inlineStr">
        <is>
          <t>New Item Acquired: 300.00K (6, 14)</t>
        </is>
      </c>
      <c r="AR130" s="0" t="inlineStr">
        <is>
          <t>New Item Acquired: 400.00K (8, 10)</t>
        </is>
      </c>
    </row>
    <row r="131">
      <c r="AM131" s="0" t="inlineStr">
        <is>
          <t>New Item Acquired: 300.00K (6, 16)</t>
        </is>
      </c>
      <c r="AR131" s="0" t="inlineStr">
        <is>
          <t>New Item Acquired: 400.00K (8, 15)</t>
        </is>
      </c>
    </row>
    <row r="132">
      <c r="AM132" s="0" t="inlineStr">
        <is>
          <t>New Item Acquired: 300.00K (6, 16)</t>
        </is>
      </c>
      <c r="AR132" s="0" t="inlineStr">
        <is>
          <t>New Item Acquired: 400.00K (8, 16)</t>
        </is>
      </c>
    </row>
    <row r="133">
      <c r="AM133" s="0" t="inlineStr">
        <is>
          <t>New Item Acquired: 300.00K (6, 16)</t>
        </is>
      </c>
      <c r="AR133" s="0" t="inlineStr">
        <is>
          <t>New Item Acquired: 400.00K (8, 17)</t>
        </is>
      </c>
    </row>
    <row r="134">
      <c r="AM134" s="0" t="inlineStr">
        <is>
          <t>New Item Acquired: 300.00K (6, 17)</t>
        </is>
      </c>
      <c r="AR134" s="0" t="inlineStr">
        <is>
          <t>New Item Acquired: 400.00K (8, 2)</t>
        </is>
      </c>
    </row>
    <row r="135">
      <c r="AM135" s="0" t="inlineStr">
        <is>
          <t>New Item Acquired: 300.00K (6, 2)</t>
        </is>
      </c>
      <c r="AR135" s="0" t="inlineStr">
        <is>
          <t>New Item Acquired: 400.00K (8, 21)</t>
        </is>
      </c>
    </row>
    <row r="136">
      <c r="AM136" s="0" t="inlineStr">
        <is>
          <t>New Item Acquired: 300.00K (6, 21)</t>
        </is>
      </c>
      <c r="AR136" s="0" t="inlineStr">
        <is>
          <t>New Item Acquired: 400.00K (8, 22)</t>
        </is>
      </c>
    </row>
    <row r="137">
      <c r="AM137" s="0" t="inlineStr">
        <is>
          <t>New Item Acquired: 300.00K (6, 22)</t>
        </is>
      </c>
      <c r="AR137" s="0" t="inlineStr">
        <is>
          <t>New Item Acquired: 400.00K (8, 24)</t>
        </is>
      </c>
    </row>
    <row r="138">
      <c r="AM138" s="0" t="inlineStr">
        <is>
          <t>New Item Acquired: 300.00K (6, 23)</t>
        </is>
      </c>
      <c r="AR138" s="0" t="inlineStr">
        <is>
          <t>New Item Acquired: 400.00K (8, 24)</t>
        </is>
      </c>
    </row>
    <row r="139">
      <c r="AM139" s="0" t="inlineStr">
        <is>
          <t>New Item Acquired: 300.00K (6, 3)</t>
        </is>
      </c>
      <c r="AR139" s="0" t="inlineStr">
        <is>
          <t>New Item Acquired: 400.00K (8, 25)</t>
        </is>
      </c>
    </row>
    <row r="140">
      <c r="AM140" s="0" t="inlineStr">
        <is>
          <t>New Item Acquired: 300.00K (6, 3)</t>
        </is>
      </c>
      <c r="AR140" s="0" t="inlineStr">
        <is>
          <t>New Item Acquired: 400.00K (8, 6)</t>
        </is>
      </c>
    </row>
    <row r="141">
      <c r="AM141" s="0" t="inlineStr">
        <is>
          <t>New Item Acquired: 300.00K (6, 3)</t>
        </is>
      </c>
      <c r="AR141" s="0" t="inlineStr">
        <is>
          <t>New Item Acquired: 400.00K (8, 7)</t>
        </is>
      </c>
    </row>
    <row r="142">
      <c r="AM142" s="0" t="inlineStr">
        <is>
          <t>New Item Acquired: 300.00K (6, 4)</t>
        </is>
      </c>
      <c r="AR142" s="0" t="inlineStr">
        <is>
          <t>New Item Acquired: 400.00K (8, 8)</t>
        </is>
      </c>
    </row>
    <row r="143">
      <c r="AM143" s="0" t="inlineStr">
        <is>
          <t>New Item Acquired: 300.00K (6, 4)</t>
        </is>
      </c>
      <c r="AR143" s="0" t="inlineStr">
        <is>
          <t>New Item Acquired: 400.00K (8, 9)</t>
        </is>
      </c>
    </row>
    <row r="144">
      <c r="AM144" s="0" t="inlineStr">
        <is>
          <t>New Item Acquired: 300.00K (6, 5)</t>
        </is>
      </c>
      <c r="AR144" s="0" t="inlineStr">
        <is>
          <t>New Item Acquired: 50.00K (1, 4)</t>
        </is>
      </c>
    </row>
    <row r="145">
      <c r="AM145" s="0" t="inlineStr">
        <is>
          <t>New Item Acquired: 300.00K (6, 6)</t>
        </is>
      </c>
      <c r="AR145" s="0" t="inlineStr">
        <is>
          <t>New Item Acquired: 500.00K (5, 12)</t>
        </is>
      </c>
    </row>
    <row r="146">
      <c r="AM146" s="0" t="inlineStr">
        <is>
          <t>New Item Acquired: 300.00K (6, 6)</t>
        </is>
      </c>
      <c r="AR146" s="0" t="inlineStr">
        <is>
          <t>New Item Acquired: 500.00K (5, 20)</t>
        </is>
      </c>
    </row>
    <row r="147">
      <c r="AM147" s="0" t="inlineStr">
        <is>
          <t>New Item Acquired: 300.00K (6, 7)</t>
        </is>
      </c>
      <c r="AR147" s="0" t="inlineStr">
        <is>
          <t>New Item Acquired: 500.00K (5, 22)</t>
        </is>
      </c>
    </row>
    <row r="148">
      <c r="AM148" s="0" t="inlineStr">
        <is>
          <t>New Item Acquired: 300.00K (6, 7)</t>
        </is>
      </c>
      <c r="AR148" s="0" t="inlineStr">
        <is>
          <t>New Item Acquired: 500.00K (5, 23)</t>
        </is>
      </c>
    </row>
    <row r="149">
      <c r="AM149" s="0" t="inlineStr">
        <is>
          <t>New Item Acquired: 300.00K (6, 7)</t>
        </is>
      </c>
      <c r="AR149" s="0" t="inlineStr">
        <is>
          <t>New Item Acquired: 500.00K (5, 3)</t>
        </is>
      </c>
    </row>
    <row r="150">
      <c r="AM150" s="0" t="inlineStr">
        <is>
          <t>New Item Acquired: 300.00K (6, 9)</t>
        </is>
      </c>
      <c r="AR150" s="0" t="inlineStr">
        <is>
          <t>New Item Acquired: 500.00K (5, 4)</t>
        </is>
      </c>
    </row>
    <row r="151">
      <c r="AM151" s="0" t="inlineStr">
        <is>
          <t>New Item Acquired: 350.00K (7, 12)</t>
        </is>
      </c>
      <c r="AR151" s="0" t="inlineStr">
        <is>
          <t>New Item Acquired: 500.00K (5, 7)</t>
        </is>
      </c>
    </row>
    <row r="152">
      <c r="AM152" s="0" t="inlineStr">
        <is>
          <t>New Item Acquired: 350.00K (7, 14)</t>
        </is>
      </c>
      <c r="AR152" s="0" t="inlineStr">
        <is>
          <t>New Item Acquired: 500.00K (5, 8)</t>
        </is>
      </c>
    </row>
    <row r="153">
      <c r="AM153" s="0" t="inlineStr">
        <is>
          <t>New Item Acquired: 350.00K (7, 17)</t>
        </is>
      </c>
      <c r="AR153" s="0" t="inlineStr">
        <is>
          <t>New Item Acquired: 60.00K (2, 11)</t>
        </is>
      </c>
    </row>
    <row r="154">
      <c r="AM154" s="0" t="inlineStr">
        <is>
          <t>New Item Acquired: 350.00K (7, 2)</t>
        </is>
      </c>
      <c r="AR154" s="0" t="inlineStr">
        <is>
          <t>New Item Acquired: 60.00K (2, 20)</t>
        </is>
      </c>
    </row>
    <row r="155">
      <c r="AM155" s="0" t="inlineStr">
        <is>
          <t>New Item Acquired: 350.00K (7, 2)</t>
        </is>
      </c>
      <c r="AR155" s="0" t="inlineStr">
        <is>
          <t>New Item Acquired: 60.00K (2, 23)</t>
        </is>
      </c>
    </row>
    <row r="156">
      <c r="AM156" s="0" t="inlineStr">
        <is>
          <t>New Item Acquired: 350.00K (7, 20)</t>
        </is>
      </c>
      <c r="AR156" s="0" t="inlineStr">
        <is>
          <t>New Item Acquired: 60.00K (2, 3)</t>
        </is>
      </c>
    </row>
    <row r="157">
      <c r="AM157" s="0" t="inlineStr">
        <is>
          <t>New Item Acquired: 350.00K (7, 22)</t>
        </is>
      </c>
      <c r="AR157" s="0" t="inlineStr">
        <is>
          <t>New Item Acquired: 60.00K (2, 5)</t>
        </is>
      </c>
    </row>
    <row r="158">
      <c r="AM158" s="0" t="inlineStr">
        <is>
          <t>New Item Acquired: 350.00K (7, 22)</t>
        </is>
      </c>
      <c r="AR158" s="0" t="inlineStr">
        <is>
          <t>New Item Acquired: 600.00K (6, 14)</t>
        </is>
      </c>
    </row>
    <row r="159">
      <c r="AM159" s="0" t="inlineStr">
        <is>
          <t>New Item Acquired: 350.00K (7, 23)</t>
        </is>
      </c>
      <c r="AR159" s="0" t="inlineStr">
        <is>
          <t>New Item Acquired: 600.00K (6, 20)</t>
        </is>
      </c>
    </row>
    <row r="160">
      <c r="AM160" s="0" t="inlineStr">
        <is>
          <t>New Item Acquired: 350.00K (7, 24)</t>
        </is>
      </c>
      <c r="AR160" s="0" t="inlineStr">
        <is>
          <t>New Item Acquired: 600.00K (6, 21)</t>
        </is>
      </c>
    </row>
    <row r="161">
      <c r="AM161" s="0" t="inlineStr">
        <is>
          <t>New Item Acquired: 350.00K (7, 24)</t>
        </is>
      </c>
      <c r="AR161" s="0" t="inlineStr">
        <is>
          <t>New Item Acquired: 600.00K (6, 22)</t>
        </is>
      </c>
    </row>
    <row r="162">
      <c r="AM162" s="0" t="inlineStr">
        <is>
          <t>New Item Acquired: 350.00K (7, 25)</t>
        </is>
      </c>
      <c r="AR162" s="0" t="inlineStr">
        <is>
          <t>New Item Acquired: 600.00K (6, 7)</t>
        </is>
      </c>
    </row>
    <row r="163">
      <c r="AM163" s="0" t="inlineStr">
        <is>
          <t>New Item Acquired: 350.00K (7, 4)</t>
        </is>
      </c>
      <c r="AR163" s="0" t="inlineStr">
        <is>
          <t>New Item Acquired: 600.00K (6, 8)</t>
        </is>
      </c>
    </row>
    <row r="164">
      <c r="AM164" s="0" t="inlineStr">
        <is>
          <t>New Item Acquired: 350.00K (7, 4)</t>
        </is>
      </c>
      <c r="AR164" s="0" t="inlineStr">
        <is>
          <t>New Item Acquired: 700.00K (7, 12)</t>
        </is>
      </c>
    </row>
    <row r="165">
      <c r="AM165" s="0" t="inlineStr">
        <is>
          <t>New Item Acquired: 350.00K (7, 5)</t>
        </is>
      </c>
      <c r="AR165" s="0" t="inlineStr">
        <is>
          <t>New Item Acquired: 800.00K (8, 11)</t>
        </is>
      </c>
    </row>
    <row r="166">
      <c r="AM166" s="0" t="inlineStr">
        <is>
          <t>New Item Acquired: 350.00K (7, 7)</t>
        </is>
      </c>
      <c r="AR166" s="0" t="inlineStr">
        <is>
          <t>New Item Acquired: 800.00K (8, 12)</t>
        </is>
      </c>
    </row>
    <row r="167">
      <c r="AM167" s="0" t="inlineStr">
        <is>
          <t>New Item Acquired: 400.00K (8, 14)</t>
        </is>
      </c>
      <c r="AR167" s="0" t="inlineStr">
        <is>
          <t>New Item Acquired: 800.00K (8, 15)</t>
        </is>
      </c>
    </row>
    <row r="168">
      <c r="AM168" s="0" t="inlineStr">
        <is>
          <t>New Item Acquired: 400.00K (8, 15)</t>
        </is>
      </c>
      <c r="AR168" s="0" t="inlineStr">
        <is>
          <t>New Item Acquired: 800.00K (8, 23)</t>
        </is>
      </c>
    </row>
    <row r="169">
      <c r="AM169" s="0" t="inlineStr">
        <is>
          <t>New Item Acquired: 400.00K (8, 16)</t>
        </is>
      </c>
      <c r="AR169" s="0" t="inlineStr">
        <is>
          <t>New Item Acquired: 800.00K (8, 4)</t>
        </is>
      </c>
    </row>
    <row r="170">
      <c r="AM170" s="0" t="inlineStr">
        <is>
          <t>New Item Acquired: 400.00K (8, 17)</t>
        </is>
      </c>
      <c r="AR170" s="0" t="inlineStr">
        <is>
          <t>New Item Acquired: 90.00K (3, 10)</t>
        </is>
      </c>
    </row>
    <row r="171">
      <c r="AM171" s="0" t="inlineStr">
        <is>
          <t>New Item Acquired: 400.00K (8, 18)</t>
        </is>
      </c>
      <c r="AR171" s="0" t="inlineStr">
        <is>
          <t>New Item Acquired: 90.00K (3, 16)</t>
        </is>
      </c>
    </row>
    <row r="172">
      <c r="AM172" s="0" t="inlineStr">
        <is>
          <t>New Item Acquired: 400.00K (8, 4)</t>
        </is>
      </c>
      <c r="AR172" s="0" t="inlineStr">
        <is>
          <t>New Item Acquired: 90.00K (3, 17)</t>
        </is>
      </c>
    </row>
    <row r="173">
      <c r="AM173" s="0" t="inlineStr">
        <is>
          <t>New Item Acquired: 400.00K (8, 6)</t>
        </is>
      </c>
      <c r="AR173" s="0" t="inlineStr">
        <is>
          <t>New Item Acquired: 90.00K (3, 18)</t>
        </is>
      </c>
    </row>
    <row r="174">
      <c r="AM174" s="0" t="inlineStr">
        <is>
          <t>New Item Acquired: 50.00K (1, 11)</t>
        </is>
      </c>
      <c r="AR174" s="0" t="inlineStr">
        <is>
          <t>New Item Acquired: 90.00K (3, 20)</t>
        </is>
      </c>
    </row>
    <row r="175">
      <c r="AM175" s="0" t="inlineStr">
        <is>
          <t>New Item Acquired: 50.00K (1, 18)</t>
        </is>
      </c>
      <c r="AR175" s="0" t="inlineStr">
        <is>
          <t>New Item Acquired: 90.00K (3, 9)</t>
        </is>
      </c>
    </row>
    <row r="176">
      <c r="AM176" s="0" t="inlineStr">
        <is>
          <t>New Item Acquired: 500.00K (5, 10)</t>
        </is>
      </c>
      <c r="AR176" s="0" t="inlineStr">
        <is>
          <t>New Item Acquired: Major (5, 5)</t>
        </is>
      </c>
    </row>
    <row r="177">
      <c r="AM177" s="0" t="inlineStr">
        <is>
          <t>New Item Acquired: 500.00K (5, 10)</t>
        </is>
      </c>
      <c r="AR177" s="0" t="inlineStr">
        <is>
          <t>New Item Acquired: Mega (5, 19)</t>
        </is>
      </c>
    </row>
    <row r="178">
      <c r="AM178" s="0" t="inlineStr">
        <is>
          <t>New Item Acquired: 500.00K (5, 4)</t>
        </is>
      </c>
      <c r="AR178" s="0" t="inlineStr">
        <is>
          <t>New Item Acquired: Mega (7, 17)</t>
        </is>
      </c>
    </row>
    <row r="179">
      <c r="AM179" s="0" t="inlineStr">
        <is>
          <t>New Item Acquired: 500.00K (5, 9)</t>
        </is>
      </c>
      <c r="AR179" s="0" t="inlineStr">
        <is>
          <t>New Item Acquired: Mega (7, 4)</t>
        </is>
      </c>
    </row>
    <row r="180">
      <c r="AM180" s="0" t="inlineStr">
        <is>
          <t>New Item Acquired: 60.00K (2, 19)</t>
        </is>
      </c>
      <c r="AR180" s="0" t="inlineStr">
        <is>
          <t>New Item Acquired: Mini (2, 12)</t>
        </is>
      </c>
    </row>
    <row r="181">
      <c r="AM181" s="0" t="inlineStr">
        <is>
          <t>New Item Acquired: 600.00K (6, 17)</t>
        </is>
      </c>
      <c r="AR181" s="0" t="inlineStr">
        <is>
          <t>New Item Acquired: Mini (3, 19)</t>
        </is>
      </c>
    </row>
    <row r="182">
      <c r="AM182" s="0" t="inlineStr">
        <is>
          <t>New Item Acquired: 600.00K (6, 2)</t>
        </is>
      </c>
      <c r="AR182" s="0" t="inlineStr">
        <is>
          <t>New Item Acquired: Mini (5, 11)</t>
        </is>
      </c>
    </row>
    <row r="183">
      <c r="AM183" s="0" t="inlineStr">
        <is>
          <t>New Item Acquired: 600.00K (6, 21)</t>
        </is>
      </c>
      <c r="AR183" s="0" t="inlineStr">
        <is>
          <t>New Item Acquired: Mini (5, 14)</t>
        </is>
      </c>
    </row>
    <row r="184">
      <c r="AM184" s="0" t="inlineStr">
        <is>
          <t>New Item Acquired: 600.00K (6, 23)</t>
        </is>
      </c>
      <c r="AR184" s="0" t="inlineStr">
        <is>
          <t>New Item Acquired: Mini (5, 23)</t>
        </is>
      </c>
    </row>
    <row r="185">
      <c r="AM185" s="0" t="inlineStr">
        <is>
          <t>New Item Acquired: 700.00K (7, 10)</t>
        </is>
      </c>
      <c r="AR185" s="0" t="inlineStr">
        <is>
          <t>New Item Acquired: Mini (6, 25)</t>
        </is>
      </c>
    </row>
    <row r="186">
      <c r="AM186" s="0" t="inlineStr">
        <is>
          <t>New Item Acquired: 700.00K (7, 15)</t>
        </is>
      </c>
      <c r="AR186" s="0" t="inlineStr">
        <is>
          <t>New Item Acquired: Mini (8, 23)</t>
        </is>
      </c>
    </row>
    <row r="187">
      <c r="AM187" s="0" t="inlineStr">
        <is>
          <t>New Item Acquired: 700.00K (7, 15)</t>
        </is>
      </c>
      <c r="AR187" s="0" t="inlineStr">
        <is>
          <t>New Item Acquired: Minor (3, 21)</t>
        </is>
      </c>
    </row>
    <row r="188">
      <c r="AM188" s="0" t="inlineStr">
        <is>
          <t>New Item Acquired: 700.00K (7, 20)</t>
        </is>
      </c>
      <c r="AR188" s="0" t="inlineStr">
        <is>
          <t>New Item Acquired: Minor (3, 22)</t>
        </is>
      </c>
    </row>
    <row r="189">
      <c r="AM189" s="0" t="inlineStr">
        <is>
          <t>New Item Acquired: 700.00K (7, 4)</t>
        </is>
      </c>
      <c r="AR189" s="0" t="inlineStr">
        <is>
          <t>New Item Acquired: Minor (5, 1)</t>
        </is>
      </c>
    </row>
    <row r="190">
      <c r="AM190" s="0" t="inlineStr">
        <is>
          <t>New Item Acquired: 700.00K (7, 7)</t>
        </is>
      </c>
      <c r="AR190" s="0" t="inlineStr">
        <is>
          <t>New Item Acquired: Minor (6, 3)</t>
        </is>
      </c>
    </row>
    <row r="191">
      <c r="AM191" s="0" t="inlineStr">
        <is>
          <t>New Item Acquired: 800.00K (8, 11)</t>
        </is>
      </c>
      <c r="AR191" s="0" t="inlineStr">
        <is>
          <t>New Item Acquired: Minor (8, 1)</t>
        </is>
      </c>
    </row>
    <row r="192">
      <c r="AM192" s="0" t="inlineStr">
        <is>
          <t>New Item Acquired: 800.00K (8, 22)</t>
        </is>
      </c>
      <c r="AR192" s="0" t="inlineStr">
        <is>
          <t>New Item Acquired: Minor (8, 19)</t>
        </is>
      </c>
    </row>
    <row r="193">
      <c r="AM193" s="0" t="inlineStr">
        <is>
          <t>New Item Acquired: 800.00K (8, 7)</t>
        </is>
      </c>
      <c r="AR193" s="0" t="inlineStr">
        <is>
          <t>Item ReSelect Failed : Attempts - 3</t>
        </is>
      </c>
    </row>
    <row r="194">
      <c r="AM194" s="0" t="inlineStr">
        <is>
          <t>New Item Acquired: 800.00K (8, 8)</t>
        </is>
      </c>
      <c r="AR194" s="0" t="inlineStr">
        <is>
          <t>Item ReSelect Failed : Attempts - 3</t>
        </is>
      </c>
    </row>
    <row r="195">
      <c r="AM195" s="0" t="inlineStr">
        <is>
          <t>New Item Acquired: 90.00K (3, 17)</t>
        </is>
      </c>
      <c r="AR195" s="0" t="inlineStr">
        <is>
          <t>Item ReSelect Failed : Attempts - 3</t>
        </is>
      </c>
    </row>
    <row r="196">
      <c r="AM196" s="0" t="inlineStr">
        <is>
          <t>New Item Acquired: 90.00K (3, 5)</t>
        </is>
      </c>
      <c r="AR196" s="0" t="inlineStr">
        <is>
          <t>Item ReSelect Failed : Attempts - 3</t>
        </is>
      </c>
    </row>
    <row r="197">
      <c r="AM197" s="0" t="inlineStr">
        <is>
          <t>New Item Acquired: Major (7, 18)</t>
        </is>
      </c>
      <c r="AR197" s="0" t="inlineStr">
        <is>
          <t>Clear Gem Acquired : 0 -&gt; 100 (Stage : 5)</t>
        </is>
      </c>
    </row>
    <row r="198">
      <c r="AM198" s="0" t="inlineStr">
        <is>
          <t>New Item Acquired: Mega (6, 23)</t>
        </is>
      </c>
      <c r="AR198" s="0" t="inlineStr">
        <is>
          <t>Clear Gem Acquired : 100 -&gt; 200 (Stage : 8)</t>
        </is>
      </c>
    </row>
    <row r="199">
      <c r="AM199" s="0" t="inlineStr">
        <is>
          <t>New Item Acquired: Mini (2, 14)</t>
        </is>
      </c>
      <c r="AR199" s="0" t="inlineStr">
        <is>
          <t>Clear Gem Acquired : 200 -&gt; 300 (Stage : 6)</t>
        </is>
      </c>
    </row>
    <row r="200">
      <c r="AM200" s="0" t="inlineStr">
        <is>
          <t>New Item Acquired: Mini (2, 2)</t>
        </is>
      </c>
      <c r="AR200" s="0" t="inlineStr">
        <is>
          <t>Clear Gem Acquired : 300 -&gt; 400 (Stage : 7)</t>
        </is>
      </c>
    </row>
    <row r="201">
      <c r="AM201" s="0" t="inlineStr">
        <is>
          <t>New Item Acquired: Mini (5, 8)</t>
        </is>
      </c>
      <c r="AR201" s="0" t="inlineStr">
        <is>
          <t>Clear Gem Acquired : 400 -&gt; 500 (Stage : 5)</t>
        </is>
      </c>
    </row>
    <row r="202">
      <c r="AM202" s="0" t="inlineStr">
        <is>
          <t>New Item Acquired: Mini (6, 14)</t>
        </is>
      </c>
      <c r="AR202" s="0" t="inlineStr">
        <is>
          <t>Clear Gem Acquired : 500 -&gt; 600 (Stage : 3)</t>
        </is>
      </c>
    </row>
    <row r="203">
      <c r="AM203" s="0" t="inlineStr">
        <is>
          <t>New Item Acquired: Mini (6, 15)</t>
        </is>
      </c>
      <c r="AR203" s="0" t="inlineStr">
        <is>
          <t>Clear Gem Acquired : 600 -&gt; 700 (Stage : 5)</t>
        </is>
      </c>
    </row>
    <row r="204">
      <c r="AM204" s="0" t="inlineStr">
        <is>
          <t>New Item Acquired: Mini (6, 24)</t>
        </is>
      </c>
      <c r="AR204" s="0" t="inlineStr">
        <is>
          <t>Clear Gem Acquired : 700 -&gt; 800 (Stage : 6)</t>
        </is>
      </c>
    </row>
    <row r="205">
      <c r="AM205" s="0" t="inlineStr">
        <is>
          <t>New Item Acquired: Mini (6, 24)</t>
        </is>
      </c>
      <c r="AR205" s="0" t="inlineStr">
        <is>
          <t>Clear Gem Acquired : 800 -&gt; 900 (Stage : 8)</t>
        </is>
      </c>
    </row>
    <row r="206">
      <c r="AM206" s="0" t="inlineStr">
        <is>
          <t>New Item Acquired: Mini (6, 6)</t>
        </is>
      </c>
      <c r="AR206" s="0" t="inlineStr">
        <is>
          <t>Clear Gem Acquired : 900 -&gt; 1000 (Stage : 5)</t>
        </is>
      </c>
    </row>
    <row r="207">
      <c r="AM207" s="0" t="inlineStr">
        <is>
          <t>New Item Acquired: Mini (8, 1)</t>
        </is>
      </c>
    </row>
    <row r="208">
      <c r="AM208" s="0" t="inlineStr">
        <is>
          <t>New Item Acquired: Mini (8, 25)</t>
        </is>
      </c>
    </row>
    <row r="209">
      <c r="AM209" s="0" t="inlineStr">
        <is>
          <t>New Item Acquired: Mini (8, 6)</t>
        </is>
      </c>
    </row>
    <row r="210">
      <c r="AM210" s="0" t="inlineStr">
        <is>
          <t>New Item Acquired: Minor (3, 12)</t>
        </is>
      </c>
    </row>
    <row r="211">
      <c r="AM211" s="0" t="inlineStr">
        <is>
          <t>New Item Acquired: Minor (5, 21)</t>
        </is>
      </c>
    </row>
    <row r="212">
      <c r="AM212" s="0" t="inlineStr">
        <is>
          <t>New Item Acquired: Minor (7, 8)</t>
        </is>
      </c>
    </row>
    <row r="213">
      <c r="AM213" s="0" t="inlineStr">
        <is>
          <t>Item ReSelect Failed : Attempts - 3</t>
        </is>
      </c>
    </row>
    <row r="214">
      <c r="AM214" s="0" t="inlineStr">
        <is>
          <t>Item ReSelect Failed : Attempts - 3</t>
        </is>
      </c>
    </row>
    <row r="215">
      <c r="AM215" s="0" t="inlineStr">
        <is>
          <t>Item ReSelect Failed : Attempts - 3</t>
        </is>
      </c>
    </row>
    <row r="216">
      <c r="AM216" s="0" t="inlineStr">
        <is>
          <t>Item ReSelect Failed : Attempts - 3</t>
        </is>
      </c>
    </row>
    <row r="217">
      <c r="AM217" s="0" t="inlineStr">
        <is>
          <t>Clear Gem Acquired : 0 -&gt; 100 (Stage : 5)</t>
        </is>
      </c>
    </row>
    <row r="218">
      <c r="AM218" s="0" t="inlineStr">
        <is>
          <t>Clear Gem Acquired : 100 -&gt; 200 (Stage : 6)</t>
        </is>
      </c>
    </row>
    <row r="219">
      <c r="AM219" s="0" t="inlineStr">
        <is>
          <t>Clear Gem Acquired : 1000 -&gt; 1100 (Stage : 5)</t>
        </is>
      </c>
    </row>
    <row r="220">
      <c r="AM220" s="0" t="inlineStr">
        <is>
          <t>Clear Gem Acquired : 1100 -&gt; 1200 (Stage : 6)</t>
        </is>
      </c>
    </row>
    <row r="221">
      <c r="AM221" s="0" t="inlineStr">
        <is>
          <t>Clear Gem Acquired : 200 -&gt; 300 (Stage : 5)</t>
        </is>
      </c>
    </row>
    <row r="222">
      <c r="AM222" s="0" t="inlineStr">
        <is>
          <t>Clear Gem Acquired : 300 -&gt; 400 (Stage : 7)</t>
        </is>
      </c>
    </row>
    <row r="223">
      <c r="AM223" s="0" t="inlineStr">
        <is>
          <t>Clear Gem Acquired : 400 -&gt; 500 (Stage : 6)</t>
        </is>
      </c>
    </row>
    <row r="224">
      <c r="AM224" s="0" t="inlineStr">
        <is>
          <t>Clear Gem Acquired : 500 -&gt; 600 (Stage : 7)</t>
        </is>
      </c>
    </row>
    <row r="225">
      <c r="AM225" s="0" t="inlineStr">
        <is>
          <t>Clear Gem Acquired : 600 -&gt; 700 (Stage : 5)</t>
        </is>
      </c>
    </row>
    <row r="226">
      <c r="AM226" s="0" t="inlineStr">
        <is>
          <t>Clear Gem Acquired : 700 -&gt; 800 (Stage : 5)</t>
        </is>
      </c>
    </row>
    <row r="227">
      <c r="AM227" s="0" t="inlineStr">
        <is>
          <t>Clear Gem Acquired : 800 -&gt; 900 (Stage : 6)</t>
        </is>
      </c>
    </row>
    <row r="228">
      <c r="AM228" s="0" t="inlineStr">
        <is>
          <t>Clear Gem Acquired : 900 -&gt; 1000 (Stage : 8)</t>
        </is>
      </c>
    </row>
  </sheetData>
  <mergeCells count="1">
    <mergeCell ref="A1:AU1"/>
  </mergeCells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203"/>
  <sheetViews>
    <sheetView workbookViewId="0">
      <selection activeCell="A1" sqref="A1"/>
    </sheetView>
  </sheetViews>
  <sheetFormatPr baseColWidth="8" defaultRowHeight="16.5"/>
  <cols>
    <col width="11.375" bestFit="1" customWidth="1" style="161" min="2" max="2"/>
    <col width="11.375" customWidth="1" style="161" min="3" max="3"/>
    <col width="13.25" bestFit="1" customWidth="1" style="161" min="4" max="4"/>
    <col width="14.5" bestFit="1" customWidth="1" style="161" min="5" max="5"/>
    <col width="13.25" bestFit="1" customWidth="1" style="161" min="6" max="6"/>
    <col width="17.875" bestFit="1" customWidth="1" style="161" min="7" max="7"/>
    <col width="10.375" bestFit="1" customWidth="1" style="161" min="8" max="9"/>
    <col width="14.5" bestFit="1" customWidth="1" style="161" min="10" max="10"/>
    <col width="4" customWidth="1" style="161" min="11" max="11"/>
    <col width="14.5" customWidth="1" style="161" min="12" max="12"/>
    <col width="4.125" customWidth="1" style="161" min="14" max="14"/>
    <col width="5.125" bestFit="1" customWidth="1" style="161" min="15" max="15"/>
    <col width="4.5" bestFit="1" customWidth="1" style="161" min="16" max="18"/>
    <col width="3.5" customWidth="1" style="161" min="19" max="19"/>
    <col width="3.75" customWidth="1" style="161" min="20" max="20"/>
    <col width="4" bestFit="1" customWidth="1" style="161" min="21" max="21"/>
    <col width="3.5" bestFit="1" customWidth="1" style="161" min="22" max="24"/>
    <col width="3.5" customWidth="1" style="161" min="25" max="25"/>
    <col width="3.875" customWidth="1" style="161" min="26" max="26"/>
    <col width="4" bestFit="1" customWidth="1" style="161" min="27" max="27"/>
    <col width="3.5" bestFit="1" customWidth="1" style="161" min="28" max="30"/>
    <col width="3.5" customWidth="1" style="161" min="31" max="31"/>
    <col width="3.75" customWidth="1" style="161" min="32" max="32"/>
    <col width="4" bestFit="1" customWidth="1" style="161" min="33" max="33"/>
    <col width="3.5" bestFit="1" customWidth="1" style="161" min="34" max="36"/>
    <col width="45.625" bestFit="1" customWidth="1" style="161" min="39" max="39"/>
    <col width="7.25" customWidth="1" style="161" min="40" max="40"/>
    <col width="13.125" bestFit="1" customWidth="1" style="161" min="41" max="41"/>
    <col width="5.5" bestFit="1" customWidth="1" style="161" min="42" max="42"/>
    <col width="45.625" bestFit="1" customWidth="1" style="161" min="44" max="44"/>
    <col width="4.75" customWidth="1" style="161" min="45" max="45"/>
    <col width="13.125" bestFit="1" customWidth="1" style="161" min="46" max="46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D2" s="0" t="inlineStr">
        <is>
          <t>C1</t>
        </is>
      </c>
      <c r="E2" s="0" t="inlineStr">
        <is>
          <t>C2</t>
        </is>
      </c>
      <c r="F2" s="0" t="inlineStr">
        <is>
          <t>C3</t>
        </is>
      </c>
      <c r="G2" s="0" t="inlineStr">
        <is>
          <t>C4</t>
        </is>
      </c>
      <c r="H2" s="0" t="inlineStr">
        <is>
          <t>C5</t>
        </is>
      </c>
      <c r="I2" s="0" t="inlineStr">
        <is>
          <t>C6</t>
        </is>
      </c>
      <c r="J2" s="0" t="inlineStr">
        <is>
          <t>C7</t>
        </is>
      </c>
      <c r="L2" s="31" t="inlineStr">
        <is>
          <t>Weight</t>
        </is>
      </c>
      <c r="N2" s="31" t="inlineStr">
        <is>
          <t>Level1</t>
        </is>
      </c>
      <c r="O2" s="31" t="n"/>
      <c r="P2" s="31" t="n"/>
      <c r="Q2" s="31" t="n"/>
      <c r="R2" s="31" t="n"/>
      <c r="T2" s="31" t="inlineStr">
        <is>
          <t>Level2</t>
        </is>
      </c>
      <c r="U2" s="31" t="n"/>
      <c r="V2" s="31" t="n"/>
      <c r="W2" s="31" t="n"/>
      <c r="X2" s="31" t="n"/>
      <c r="Z2" s="31" t="inlineStr">
        <is>
          <t>Level3</t>
        </is>
      </c>
      <c r="AA2" s="31" t="n"/>
      <c r="AB2" s="31" t="n"/>
      <c r="AC2" s="31" t="n"/>
      <c r="AD2" s="31" t="n"/>
      <c r="AF2" s="28" t="inlineStr">
        <is>
          <t>Level4</t>
        </is>
      </c>
      <c r="AG2" s="29" t="n"/>
      <c r="AH2" s="29" t="n"/>
      <c r="AI2" s="29" t="n"/>
      <c r="AJ2" s="30" t="n"/>
      <c r="AM2" s="0" t="inlineStr">
        <is>
          <t>Line Prize Won: 1.14M (Stage : 6) - 1140000</t>
        </is>
      </c>
      <c r="AO2" s="0" t="inlineStr">
        <is>
          <t>Bingo Win</t>
        </is>
      </c>
      <c r="AP2" s="0">
        <f>COUNTIF($AM$1:$AM$500,"*")</f>
        <v/>
      </c>
      <c r="AR2" s="0" t="inlineStr">
        <is>
          <t>Line Prize Won: 1.36M (Stage : 8) - 1360000</t>
        </is>
      </c>
      <c r="AT2" s="0" t="inlineStr">
        <is>
          <t>Bingo Win</t>
        </is>
      </c>
      <c r="AU2" s="0">
        <f>COUNTIF($AR$1:$AR$500,"*")</f>
        <v/>
      </c>
    </row>
    <row r="3" ht="20.25" customHeight="1" s="161">
      <c r="A3" s="0" t="inlineStr">
        <is>
          <t>Spins</t>
        </is>
      </c>
      <c r="B3" s="0" t="n">
        <v>3000</v>
      </c>
      <c r="C3" s="0" t="n">
        <v>1500</v>
      </c>
      <c r="D3" s="0" t="n">
        <v>799</v>
      </c>
      <c r="E3" s="0" t="n">
        <v>1039</v>
      </c>
      <c r="F3" s="0" t="n">
        <v>1373</v>
      </c>
      <c r="G3" s="0" t="n">
        <v>2816</v>
      </c>
      <c r="H3" s="0" t="n">
        <v>6044</v>
      </c>
      <c r="I3" s="0" t="n">
        <v>10829</v>
      </c>
      <c r="J3" s="0" t="n">
        <v>9913</v>
      </c>
      <c r="L3" s="32" t="n">
        <v>1</v>
      </c>
      <c r="N3" s="22" t="n">
        <v>1</v>
      </c>
      <c r="O3" s="23" t="n">
        <v>1</v>
      </c>
      <c r="P3" s="11" t="n">
        <v>1</v>
      </c>
      <c r="Q3" s="11" t="n">
        <v>1</v>
      </c>
      <c r="R3" s="12" t="n">
        <v>1</v>
      </c>
      <c r="T3" s="22" t="n">
        <v>4</v>
      </c>
      <c r="U3" s="23" t="n">
        <v>4</v>
      </c>
      <c r="V3" s="13" t="n">
        <v>4</v>
      </c>
      <c r="W3" s="13" t="n">
        <v>4</v>
      </c>
      <c r="X3" s="12" t="n">
        <v>4</v>
      </c>
      <c r="Z3" s="22" t="n">
        <v>6</v>
      </c>
      <c r="AA3" s="23" t="n">
        <v>6</v>
      </c>
      <c r="AB3" s="13" t="n">
        <v>6</v>
      </c>
      <c r="AC3" s="13" t="n">
        <v>6</v>
      </c>
      <c r="AD3" s="12" t="n">
        <v>6</v>
      </c>
      <c r="AF3" s="22" t="n">
        <v>13</v>
      </c>
      <c r="AG3" s="23" t="n">
        <v>13</v>
      </c>
      <c r="AH3" s="13" t="n">
        <v>13</v>
      </c>
      <c r="AI3" s="13" t="n">
        <v>13</v>
      </c>
      <c r="AJ3" s="12" t="n">
        <v>13</v>
      </c>
      <c r="AM3" s="0" t="inlineStr">
        <is>
          <t>Line Prize Won: 1.52M (Stage : 8) - 1520000</t>
        </is>
      </c>
      <c r="AO3" s="0" t="inlineStr">
        <is>
          <t>Made</t>
        </is>
      </c>
      <c r="AP3" s="0">
        <f>COUNTIF($AM$1:$AM$500,"Line*")</f>
        <v/>
      </c>
      <c r="AR3" s="0" t="inlineStr">
        <is>
          <t>Line Prize Won: 1.56M (Stage : 6) - 1560000</t>
        </is>
      </c>
      <c r="AT3" s="0" t="inlineStr">
        <is>
          <t>Made</t>
        </is>
      </c>
      <c r="AU3" s="0">
        <f>COUNTIF($AR$1:$AR$500,"Line*")</f>
        <v/>
      </c>
    </row>
    <row r="4">
      <c r="A4" s="0" t="inlineStr">
        <is>
          <t>Total Won</t>
        </is>
      </c>
      <c r="B4" s="34" t="n">
        <v>35435370000</v>
      </c>
      <c r="C4" s="34" t="n">
        <v>14762860000</v>
      </c>
      <c r="D4" s="34" t="n">
        <v>2289280000</v>
      </c>
      <c r="E4" s="34" t="n">
        <v>8506160000</v>
      </c>
      <c r="F4" s="34" t="n">
        <v>12553850000</v>
      </c>
      <c r="G4" s="34" t="n">
        <v>32566390000</v>
      </c>
      <c r="H4" s="34" t="n">
        <v>78464620000</v>
      </c>
      <c r="I4" s="34" t="n">
        <v>145865740000</v>
      </c>
      <c r="J4" s="34" t="n">
        <v>133525750000</v>
      </c>
      <c r="K4" s="7" t="n"/>
      <c r="L4" s="32" t="n">
        <v>3</v>
      </c>
      <c r="N4" s="11" t="n">
        <v>1</v>
      </c>
      <c r="O4" s="12" t="n">
        <v>1</v>
      </c>
      <c r="P4" s="11" t="n">
        <v>1</v>
      </c>
      <c r="Q4" s="12" t="n">
        <v>1</v>
      </c>
      <c r="R4" s="11" t="n">
        <v>1</v>
      </c>
      <c r="T4" s="13" t="n">
        <v>4</v>
      </c>
      <c r="U4" s="12" t="n">
        <v>4</v>
      </c>
      <c r="V4" s="13" t="n">
        <v>4</v>
      </c>
      <c r="W4" s="12" t="n">
        <v>4</v>
      </c>
      <c r="X4" s="13" t="n">
        <v>4</v>
      </c>
      <c r="Z4" s="13" t="n">
        <v>6</v>
      </c>
      <c r="AA4" s="12" t="n">
        <v>6</v>
      </c>
      <c r="AB4" s="13" t="n">
        <v>6</v>
      </c>
      <c r="AC4" s="12" t="n">
        <v>6</v>
      </c>
      <c r="AD4" s="13" t="n">
        <v>6</v>
      </c>
      <c r="AF4" s="13" t="n">
        <v>13</v>
      </c>
      <c r="AG4" s="12" t="n">
        <v>13</v>
      </c>
      <c r="AH4" s="13" t="n">
        <v>13</v>
      </c>
      <c r="AI4" s="12" t="n">
        <v>13</v>
      </c>
      <c r="AJ4" s="13" t="n">
        <v>13</v>
      </c>
      <c r="AM4" s="0" t="inlineStr">
        <is>
          <t>Line Prize Won: 1.68M (Stage : 7) - 1680000</t>
        </is>
      </c>
      <c r="AO4" s="0" t="inlineStr">
        <is>
          <t>Bingo/Made</t>
        </is>
      </c>
      <c r="AP4" s="0">
        <f>AP1/AP2</f>
        <v/>
      </c>
      <c r="AR4" s="0" t="inlineStr">
        <is>
          <t>Line Prize Won: 2.16M (Stage : 6) - 2160000</t>
        </is>
      </c>
      <c r="AT4" s="0" t="inlineStr">
        <is>
          <t>Bingo/Made</t>
        </is>
      </c>
      <c r="AU4" s="0">
        <f>AU1/AU2</f>
        <v/>
      </c>
    </row>
    <row r="5">
      <c r="A5" s="0" t="inlineStr">
        <is>
          <t>Players</t>
        </is>
      </c>
      <c r="B5" s="0" t="n">
        <v>1000</v>
      </c>
      <c r="C5" s="0" t="n">
        <v>1000</v>
      </c>
      <c r="D5" s="0" t="n">
        <v>1000</v>
      </c>
      <c r="E5" s="0" t="n">
        <v>1000</v>
      </c>
      <c r="F5" s="0" t="n">
        <v>1000</v>
      </c>
      <c r="G5" s="0" t="n">
        <v>1000</v>
      </c>
      <c r="H5" s="0" t="n">
        <v>1000</v>
      </c>
      <c r="I5" s="0" t="n">
        <v>1000</v>
      </c>
      <c r="J5" s="0" t="n">
        <v>1000</v>
      </c>
      <c r="L5" s="32" t="n">
        <v>5</v>
      </c>
      <c r="N5" s="11" t="n">
        <v>1</v>
      </c>
      <c r="O5" s="11" t="n">
        <v>1</v>
      </c>
      <c r="P5" s="10" t="n"/>
      <c r="Q5" s="11" t="n">
        <v>1</v>
      </c>
      <c r="R5" s="11" t="n">
        <v>1</v>
      </c>
      <c r="T5" s="13" t="n">
        <v>4</v>
      </c>
      <c r="U5" s="13" t="n">
        <v>4</v>
      </c>
      <c r="V5" s="14" t="n"/>
      <c r="W5" s="13" t="n">
        <v>4</v>
      </c>
      <c r="X5" s="13" t="n">
        <v>4</v>
      </c>
      <c r="Z5" s="13" t="n">
        <v>6</v>
      </c>
      <c r="AA5" s="13" t="n">
        <v>6</v>
      </c>
      <c r="AB5" s="14" t="n"/>
      <c r="AC5" s="13" t="n">
        <v>6</v>
      </c>
      <c r="AD5" s="13" t="n">
        <v>6</v>
      </c>
      <c r="AF5" s="13" t="n">
        <v>13</v>
      </c>
      <c r="AG5" s="13" t="n">
        <v>13</v>
      </c>
      <c r="AH5" s="14" t="n"/>
      <c r="AI5" s="13" t="n">
        <v>13</v>
      </c>
      <c r="AJ5" s="13" t="n">
        <v>13</v>
      </c>
      <c r="AM5" s="0" t="inlineStr">
        <is>
          <t>Line Prize Won: 2.08M (Stage : 8) - 2080000</t>
        </is>
      </c>
      <c r="AO5" s="0" t="inlineStr">
        <is>
          <t>(Stage : 1)</t>
        </is>
      </c>
      <c r="AP5" s="0">
        <f>ROUND(COUNTIF(AM:AM,"*(Stage : 1)*")/2,0)</f>
        <v/>
      </c>
      <c r="AR5" s="0" t="inlineStr">
        <is>
          <t>Line Prize Won: 2.24M (Stage : 7) - 2240000</t>
        </is>
      </c>
      <c r="AT5" s="0" t="inlineStr">
        <is>
          <t>(Stage : 1)</t>
        </is>
      </c>
      <c r="AU5" s="0">
        <f>ROUND(COUNTIF(AR:AR,"*(Stage : 1)*")/2,0)</f>
        <v/>
      </c>
    </row>
    <row r="6">
      <c r="A6" s="0" t="inlineStr">
        <is>
          <t>Days</t>
        </is>
      </c>
      <c r="B6" s="0">
        <f>B2/300</f>
        <v/>
      </c>
      <c r="C6" s="0">
        <f>C2/300</f>
        <v/>
      </c>
      <c r="D6" s="0">
        <f>D2/160</f>
        <v/>
      </c>
      <c r="E6" s="0">
        <f>E2/160</f>
        <v/>
      </c>
      <c r="F6" s="0">
        <f>F2/157</f>
        <v/>
      </c>
      <c r="G6" s="0">
        <f>G2/264</f>
        <v/>
      </c>
      <c r="H6" s="0">
        <f>H2/490</f>
        <v/>
      </c>
      <c r="I6" s="0">
        <f>I2/826</f>
        <v/>
      </c>
      <c r="J6" s="0">
        <f>J2/877</f>
        <v/>
      </c>
      <c r="L6" s="32" t="n">
        <v>10</v>
      </c>
      <c r="N6" s="11" t="n">
        <v>1</v>
      </c>
      <c r="O6" s="12" t="n">
        <v>1</v>
      </c>
      <c r="P6" s="11" t="n">
        <v>1</v>
      </c>
      <c r="Q6" s="12" t="n">
        <v>1</v>
      </c>
      <c r="R6" s="11" t="n">
        <v>1</v>
      </c>
      <c r="T6" s="13" t="n">
        <v>4</v>
      </c>
      <c r="U6" s="12" t="n">
        <v>4</v>
      </c>
      <c r="V6" s="13" t="n">
        <v>4</v>
      </c>
      <c r="W6" s="12" t="n">
        <v>4</v>
      </c>
      <c r="X6" s="13" t="n">
        <v>4</v>
      </c>
      <c r="Z6" s="13" t="n">
        <v>6</v>
      </c>
      <c r="AA6" s="12" t="n">
        <v>6</v>
      </c>
      <c r="AB6" s="13" t="n">
        <v>6</v>
      </c>
      <c r="AC6" s="12" t="n">
        <v>6</v>
      </c>
      <c r="AD6" s="13" t="n">
        <v>6</v>
      </c>
      <c r="AF6" s="13" t="n">
        <v>13</v>
      </c>
      <c r="AG6" s="12" t="n">
        <v>13</v>
      </c>
      <c r="AH6" s="13" t="n">
        <v>13</v>
      </c>
      <c r="AI6" s="12" t="n">
        <v>13</v>
      </c>
      <c r="AJ6" s="13" t="n">
        <v>13</v>
      </c>
      <c r="AM6" s="0" t="inlineStr">
        <is>
          <t>Line Prize Won: 3.28M (Stage : 8) - 3280000</t>
        </is>
      </c>
      <c r="AO6" s="0" t="inlineStr">
        <is>
          <t>(Stage : 2)</t>
        </is>
      </c>
      <c r="AP6" s="0">
        <f>ROUND(COUNTIF(AM:AM,"*(Stage : 2)*")/2,0)</f>
        <v/>
      </c>
      <c r="AR6" s="0" t="inlineStr">
        <is>
          <t>Line Prize Won: 2.52M (Stage : 7) - 2520000</t>
        </is>
      </c>
      <c r="AT6" s="0" t="inlineStr">
        <is>
          <t>(Stage : 2)</t>
        </is>
      </c>
      <c r="AU6" s="0">
        <f>ROUND(COUNTIF(AR:AR,"*(Stage : 2)*")/2,0)</f>
        <v/>
      </c>
    </row>
    <row r="7">
      <c r="B7" s="2">
        <f>B3/B5</f>
        <v/>
      </c>
      <c r="C7" s="2">
        <f>C3/C5</f>
        <v/>
      </c>
      <c r="D7" s="2">
        <f>D3/D5</f>
        <v/>
      </c>
      <c r="E7" s="2">
        <f>E3/E5</f>
        <v/>
      </c>
      <c r="F7" s="2">
        <f>F3/F5</f>
        <v/>
      </c>
      <c r="G7" s="2">
        <f>G3/G5</f>
        <v/>
      </c>
      <c r="H7" s="2">
        <f>H3/H5</f>
        <v/>
      </c>
      <c r="I7" s="2">
        <f>I3/I5</f>
        <v/>
      </c>
      <c r="J7" s="2">
        <f>J3/J5</f>
        <v/>
      </c>
      <c r="K7" s="2" t="n"/>
      <c r="L7" s="32" t="n">
        <v>20</v>
      </c>
      <c r="N7" s="12" t="n">
        <v>1</v>
      </c>
      <c r="O7" s="11" t="n">
        <v>1</v>
      </c>
      <c r="P7" s="11" t="n">
        <v>1</v>
      </c>
      <c r="Q7" s="11" t="n">
        <v>1</v>
      </c>
      <c r="R7" s="12" t="n">
        <v>1</v>
      </c>
      <c r="T7" s="12" t="n">
        <v>4</v>
      </c>
      <c r="U7" s="13" t="n">
        <v>4</v>
      </c>
      <c r="V7" s="13" t="n">
        <v>4</v>
      </c>
      <c r="W7" s="13" t="n">
        <v>4</v>
      </c>
      <c r="X7" s="12" t="n">
        <v>4</v>
      </c>
      <c r="Z7" s="12" t="n">
        <v>6</v>
      </c>
      <c r="AA7" s="13" t="n">
        <v>6</v>
      </c>
      <c r="AB7" s="13" t="n">
        <v>6</v>
      </c>
      <c r="AC7" s="13" t="n">
        <v>6</v>
      </c>
      <c r="AD7" s="12" t="n">
        <v>6</v>
      </c>
      <c r="AF7" s="12" t="n">
        <v>13</v>
      </c>
      <c r="AG7" s="13" t="n">
        <v>13</v>
      </c>
      <c r="AH7" s="13" t="n">
        <v>13</v>
      </c>
      <c r="AI7" s="13" t="n">
        <v>13</v>
      </c>
      <c r="AJ7" s="12" t="n">
        <v>13</v>
      </c>
      <c r="AM7" s="0" t="inlineStr">
        <is>
          <t>Line Prize Won: 3.44M (Stage : 8) - 3440000</t>
        </is>
      </c>
      <c r="AO7" s="0" t="inlineStr">
        <is>
          <t>(Stage : 3)</t>
        </is>
      </c>
      <c r="AP7" s="0">
        <f>ROUND(COUNTIF(AM:AM,"*(Stage : 3)*")/2,0)</f>
        <v/>
      </c>
      <c r="AR7" s="0" t="inlineStr">
        <is>
          <t>Line Prize Won: 2.58M (Stage : 6) - 2580000</t>
        </is>
      </c>
      <c r="AT7" s="0" t="inlineStr">
        <is>
          <t>(Stage : 3)</t>
        </is>
      </c>
      <c r="AU7" s="0">
        <f>ROUND(COUNTIF(AR:AR,"*(Stage : 3)*")/2,0)</f>
        <v/>
      </c>
    </row>
    <row r="8">
      <c r="A8" s="0" t="inlineStr">
        <is>
          <t>Daily Gain</t>
        </is>
      </c>
      <c r="B8" s="33">
        <f>B6/B4</f>
        <v/>
      </c>
      <c r="C8" s="33">
        <f>C6/C4</f>
        <v/>
      </c>
      <c r="D8" s="33">
        <f>D6/D4</f>
        <v/>
      </c>
      <c r="E8" s="33">
        <f>E6/E4</f>
        <v/>
      </c>
      <c r="F8" s="33">
        <f>F6/F4</f>
        <v/>
      </c>
      <c r="G8" s="33">
        <f>G6/G4</f>
        <v/>
      </c>
      <c r="H8" s="33">
        <f>H6/H4</f>
        <v/>
      </c>
      <c r="I8" s="33">
        <f>I6/I4</f>
        <v/>
      </c>
      <c r="J8" s="33">
        <f>J6/J4</f>
        <v/>
      </c>
      <c r="K8" s="2" t="n"/>
      <c r="L8" s="32" t="n">
        <v>40</v>
      </c>
      <c r="Q8" s="204" t="n"/>
      <c r="R8" s="204" t="n"/>
      <c r="W8" s="205" t="n"/>
      <c r="X8" s="205" t="n"/>
      <c r="AC8" s="205" t="n"/>
      <c r="AD8" s="205" t="n"/>
      <c r="AI8" s="205" t="n"/>
      <c r="AJ8" s="205" t="n"/>
      <c r="AM8" s="0" t="inlineStr">
        <is>
          <t>Line Prize Won: 3.84M (Stage : 8) - 3840000</t>
        </is>
      </c>
      <c r="AO8" s="0" t="inlineStr">
        <is>
          <t>(Stage : 4)</t>
        </is>
      </c>
      <c r="AP8" s="0">
        <f>ROUND(COUNTIF(AM:AM,"*(Stage : 4)*")/2,0)</f>
        <v/>
      </c>
      <c r="AR8" s="0" t="inlineStr">
        <is>
          <t>Line Prize Won: 2.87M (Stage : 7) - 2870000</t>
        </is>
      </c>
      <c r="AT8" s="0" t="inlineStr">
        <is>
          <t>(Stage : 4)</t>
        </is>
      </c>
      <c r="AU8" s="0">
        <f>ROUND(COUNTIF(AR:AR,"*(Stage : 4)*")/2,0)</f>
        <v/>
      </c>
    </row>
    <row r="9">
      <c r="A9" s="0" t="inlineStr">
        <is>
          <t>Min Bet</t>
        </is>
      </c>
      <c r="D9" s="0" t="n">
        <v>1000000</v>
      </c>
      <c r="E9" s="0" t="n">
        <v>5000000</v>
      </c>
      <c r="F9" s="0" t="n">
        <v>10000000</v>
      </c>
      <c r="G9" s="0" t="n">
        <v>10000000</v>
      </c>
      <c r="H9" s="0" t="n">
        <v>50000000</v>
      </c>
      <c r="I9" s="0" t="n">
        <v>100000000</v>
      </c>
      <c r="J9" s="0" t="n">
        <v>100000000</v>
      </c>
      <c r="K9" s="2" t="n"/>
      <c r="L9" s="32" t="n">
        <v>80</v>
      </c>
      <c r="N9" s="31" t="inlineStr">
        <is>
          <t>Level5</t>
        </is>
      </c>
      <c r="O9" s="31" t="n"/>
      <c r="P9" s="31" t="n"/>
      <c r="Q9" s="31" t="n"/>
      <c r="R9" s="31" t="n"/>
      <c r="T9" s="31" t="inlineStr">
        <is>
          <t>Level6</t>
        </is>
      </c>
      <c r="U9" s="31" t="n"/>
      <c r="V9" s="31" t="n"/>
      <c r="W9" s="31" t="n"/>
      <c r="X9" s="31" t="n"/>
      <c r="Z9" s="31" t="inlineStr">
        <is>
          <t>Level7</t>
        </is>
      </c>
      <c r="AA9" s="31" t="n"/>
      <c r="AB9" s="31" t="n"/>
      <c r="AC9" s="31" t="n"/>
      <c r="AD9" s="31" t="n"/>
      <c r="AF9" s="31" t="inlineStr">
        <is>
          <t>Level8</t>
        </is>
      </c>
      <c r="AG9" s="31" t="n"/>
      <c r="AH9" s="31" t="n"/>
      <c r="AI9" s="31" t="n"/>
      <c r="AJ9" s="31" t="n"/>
      <c r="AM9" s="0" t="inlineStr">
        <is>
          <t>Line Prize Won: 3.92M (Stage : 7) - 3920000</t>
        </is>
      </c>
      <c r="AO9" s="0" t="inlineStr">
        <is>
          <t>(Stage : 5)</t>
        </is>
      </c>
      <c r="AP9" s="0">
        <f>ROUND(COUNTIF(AM:AM,"*(Stage : 5)*")/2,0)</f>
        <v/>
      </c>
      <c r="AR9" s="0" t="inlineStr">
        <is>
          <t>Line Prize Won: 3.68M (Stage : 8) - 3680000</t>
        </is>
      </c>
      <c r="AT9" s="0" t="inlineStr">
        <is>
          <t>(Stage : 5)</t>
        </is>
      </c>
      <c r="AU9" s="0">
        <f>ROUND(COUNTIF(AR:AR,"*(Stage : 5)*")/2,0)</f>
        <v/>
      </c>
    </row>
    <row r="10">
      <c r="A10" s="0" t="inlineStr">
        <is>
          <t>per RTP</t>
        </is>
      </c>
      <c r="D10" s="35">
        <f>D10/D8</f>
        <v/>
      </c>
      <c r="E10" s="35">
        <f>E10/E8</f>
        <v/>
      </c>
      <c r="F10" s="35">
        <f>F10/F8</f>
        <v/>
      </c>
      <c r="G10" s="35">
        <f>G10/G8</f>
        <v/>
      </c>
      <c r="H10" s="35">
        <f>H10/H8</f>
        <v/>
      </c>
      <c r="I10" s="35">
        <f>I10/I8</f>
        <v/>
      </c>
      <c r="J10" s="35">
        <f>J10/J8</f>
        <v/>
      </c>
      <c r="K10" s="2" t="n"/>
      <c r="L10" s="32" t="n">
        <v>150</v>
      </c>
      <c r="N10" s="22" t="n">
        <v>26</v>
      </c>
      <c r="O10" s="23" t="n">
        <v>26</v>
      </c>
      <c r="P10" s="13" t="n">
        <v>26</v>
      </c>
      <c r="Q10" s="13" t="n">
        <v>26</v>
      </c>
      <c r="R10" s="12" t="n">
        <v>26</v>
      </c>
      <c r="T10" s="22" t="n">
        <v>53</v>
      </c>
      <c r="U10" s="23" t="n">
        <v>53</v>
      </c>
      <c r="V10" s="13" t="n">
        <v>53</v>
      </c>
      <c r="W10" s="13" t="n">
        <v>53</v>
      </c>
      <c r="X10" s="12" t="n">
        <v>53</v>
      </c>
      <c r="Z10" s="22" t="n">
        <v>107</v>
      </c>
      <c r="AA10" s="13" t="n">
        <v>107</v>
      </c>
      <c r="AB10" s="13" t="n">
        <v>107</v>
      </c>
      <c r="AC10" s="13" t="n">
        <v>107</v>
      </c>
      <c r="AD10" s="12" t="n">
        <v>107</v>
      </c>
      <c r="AF10" s="22" t="n">
        <v>202</v>
      </c>
      <c r="AG10" s="13" t="n">
        <v>202</v>
      </c>
      <c r="AH10" s="13" t="n">
        <v>202</v>
      </c>
      <c r="AI10" s="13" t="n">
        <v>202</v>
      </c>
      <c r="AJ10" s="12" t="n">
        <v>202</v>
      </c>
      <c r="AM10" s="0" t="inlineStr">
        <is>
          <t>Line Prize Won: 5.46M (Stage : 7) - 5460000</t>
        </is>
      </c>
      <c r="AO10" s="0" t="inlineStr">
        <is>
          <t>(Stage : 6)</t>
        </is>
      </c>
      <c r="AP10" s="0">
        <f>ROUND(COUNTIF(AM:AM,"*(Stage : 6)*")/2,0)</f>
        <v/>
      </c>
      <c r="AR10" s="0" t="inlineStr">
        <is>
          <t>Line Prize Won: 4.80M (Stage : 8) - 4800000</t>
        </is>
      </c>
      <c r="AT10" s="0" t="inlineStr">
        <is>
          <t>(Stage : 6)</t>
        </is>
      </c>
      <c r="AU10" s="0">
        <f>ROUND(COUNTIF(AR:AR,"*(Stage : 6)*")/2,0)</f>
        <v/>
      </c>
    </row>
    <row r="11">
      <c r="A11" s="0" t="inlineStr">
        <is>
          <t>Per Spin</t>
        </is>
      </c>
      <c r="B11" s="2">
        <f>B3/(B2*B4)</f>
        <v/>
      </c>
      <c r="C11" s="2">
        <f>C3/(C2*C4)</f>
        <v/>
      </c>
      <c r="D11" s="2">
        <f>D3/(D2*D4)</f>
        <v/>
      </c>
      <c r="E11" s="2">
        <f>E3/(E2*E4)</f>
        <v/>
      </c>
      <c r="F11" s="2">
        <f>F3/(F2*F4)</f>
        <v/>
      </c>
      <c r="G11" s="2">
        <f>G3/(G2*G4)</f>
        <v/>
      </c>
      <c r="H11" s="2">
        <f>H3/(H2*H4)</f>
        <v/>
      </c>
      <c r="I11" s="2">
        <f>I3/(I2*I4)</f>
        <v/>
      </c>
      <c r="J11" s="2">
        <f>J3/(J2*J4)</f>
        <v/>
      </c>
      <c r="K11" s="8" t="n"/>
      <c r="L11" s="25" t="n"/>
      <c r="N11" s="13" t="n">
        <v>26</v>
      </c>
      <c r="O11" s="12" t="n">
        <v>26</v>
      </c>
      <c r="P11" s="13" t="n">
        <v>26</v>
      </c>
      <c r="Q11" s="12" t="n">
        <v>26</v>
      </c>
      <c r="R11" s="13" t="n">
        <v>26</v>
      </c>
      <c r="T11" s="13" t="n">
        <v>53</v>
      </c>
      <c r="U11" s="12" t="n">
        <v>53</v>
      </c>
      <c r="V11" s="13" t="n">
        <v>53</v>
      </c>
      <c r="W11" s="12" t="n">
        <v>53</v>
      </c>
      <c r="X11" s="13" t="n">
        <v>53</v>
      </c>
      <c r="Z11" s="13" t="n">
        <v>107</v>
      </c>
      <c r="AA11" s="12" t="n">
        <v>107</v>
      </c>
      <c r="AB11" s="13" t="n">
        <v>107</v>
      </c>
      <c r="AC11" s="12" t="n">
        <v>107</v>
      </c>
      <c r="AD11" s="13" t="n">
        <v>107</v>
      </c>
      <c r="AF11" s="13" t="n">
        <v>202</v>
      </c>
      <c r="AG11" s="12" t="n">
        <v>202</v>
      </c>
      <c r="AH11" s="13" t="n">
        <v>202</v>
      </c>
      <c r="AI11" s="12" t="n">
        <v>202</v>
      </c>
      <c r="AJ11" s="13" t="n">
        <v>202</v>
      </c>
      <c r="AM11" s="0" t="inlineStr">
        <is>
          <t>Line Prize Won: 6.88M (Stage : 8) - 6880000</t>
        </is>
      </c>
      <c r="AO11" s="0" t="inlineStr">
        <is>
          <t>(Stage : 7)</t>
        </is>
      </c>
      <c r="AP11" s="0">
        <f>ROUND(COUNTIF(AM:AM,"*(Stage : 7)*")/2,0)</f>
        <v/>
      </c>
      <c r="AR11" s="0" t="inlineStr">
        <is>
          <t>Line Prize Won: 6.88M (Stage : 8) - 6880000</t>
        </is>
      </c>
      <c r="AT11" s="0" t="inlineStr">
        <is>
          <t>(Stage : 7)</t>
        </is>
      </c>
      <c r="AU11" s="0">
        <f>ROUND(COUNTIF(AR:AR,"*(Stage : 7)*")/2,0)</f>
        <v/>
      </c>
    </row>
    <row r="12">
      <c r="B12" s="2">
        <f>B3/B4</f>
        <v/>
      </c>
      <c r="C12" s="2">
        <f>C3/C4</f>
        <v/>
      </c>
      <c r="D12" s="2">
        <f>D3/D4</f>
        <v/>
      </c>
      <c r="E12" s="2">
        <f>E3/E4</f>
        <v/>
      </c>
      <c r="F12" s="2">
        <f>F3/F4</f>
        <v/>
      </c>
      <c r="G12" s="2">
        <f>G3/G4</f>
        <v/>
      </c>
      <c r="H12" s="2">
        <f>H3/H4</f>
        <v/>
      </c>
      <c r="I12" s="2">
        <f>I3/I4</f>
        <v/>
      </c>
      <c r="J12" s="2">
        <f>J3/J4</f>
        <v/>
      </c>
      <c r="N12" s="13" t="n">
        <v>26</v>
      </c>
      <c r="O12" s="13" t="n">
        <v>26</v>
      </c>
      <c r="P12" s="14" t="n"/>
      <c r="Q12" s="13" t="n">
        <v>26</v>
      </c>
      <c r="R12" s="13" t="n">
        <v>26</v>
      </c>
      <c r="T12" s="13" t="n">
        <v>53</v>
      </c>
      <c r="U12" s="13" t="n">
        <v>53</v>
      </c>
      <c r="V12" s="14" t="n"/>
      <c r="W12" s="13" t="n">
        <v>53</v>
      </c>
      <c r="X12" s="13" t="n">
        <v>53</v>
      </c>
      <c r="Z12" s="13" t="n">
        <v>107</v>
      </c>
      <c r="AA12" s="13" t="n">
        <v>107</v>
      </c>
      <c r="AB12" s="14" t="n"/>
      <c r="AC12" s="13" t="n">
        <v>107</v>
      </c>
      <c r="AD12" s="13" t="n">
        <v>107</v>
      </c>
      <c r="AF12" s="13" t="n">
        <v>202</v>
      </c>
      <c r="AG12" s="13" t="n">
        <v>202</v>
      </c>
      <c r="AH12" s="14" t="n"/>
      <c r="AI12" s="13" t="n">
        <v>202</v>
      </c>
      <c r="AJ12" s="13" t="n">
        <v>202</v>
      </c>
      <c r="AM12" s="0" t="inlineStr">
        <is>
          <t>New Item Acquired: 100.00K (2, 2)</t>
        </is>
      </c>
      <c r="AO12" s="0" t="inlineStr">
        <is>
          <t>(Stage : 8)</t>
        </is>
      </c>
      <c r="AP12" s="0">
        <f>ROUND(COUNTIF(AM:AM,"*(Stage : 8)*")/2,0)</f>
        <v/>
      </c>
      <c r="AR12" s="0" t="inlineStr">
        <is>
          <t>Line Prize Won: 6.88M (Stage : 8) - 6880000</t>
        </is>
      </c>
      <c r="AT12" s="0" t="inlineStr">
        <is>
          <t>(Stage : 8)</t>
        </is>
      </c>
      <c r="AU12" s="0">
        <f>ROUND(COUNTIF(AR:AR,"*(Stage : 8)*")/2,0)</f>
        <v/>
      </c>
    </row>
    <row r="13" ht="18.75" customHeight="1" s="161">
      <c r="D13" s="8">
        <f>'Control Panel'!C8</f>
        <v/>
      </c>
      <c r="E13" s="8">
        <f>'Control Panel'!D8</f>
        <v/>
      </c>
      <c r="F13" s="8">
        <f>'Control Panel'!E8</f>
        <v/>
      </c>
      <c r="G13" s="8">
        <f>'Control Panel'!F8</f>
        <v/>
      </c>
      <c r="H13" s="8">
        <f>'Control Panel'!G8</f>
        <v/>
      </c>
      <c r="I13" s="8">
        <f>'Control Panel'!H8</f>
        <v/>
      </c>
      <c r="J13" s="8">
        <f>'Control Panel'!I8</f>
        <v/>
      </c>
      <c r="N13" s="13" t="n">
        <v>26</v>
      </c>
      <c r="O13" s="12" t="n">
        <v>26</v>
      </c>
      <c r="P13" s="13" t="n">
        <v>26</v>
      </c>
      <c r="Q13" s="12" t="n">
        <v>26</v>
      </c>
      <c r="R13" s="13" t="n">
        <v>26</v>
      </c>
      <c r="T13" s="13" t="n">
        <v>53</v>
      </c>
      <c r="U13" s="12" t="n">
        <v>53</v>
      </c>
      <c r="V13" s="13" t="n">
        <v>53</v>
      </c>
      <c r="W13" s="12" t="n">
        <v>53</v>
      </c>
      <c r="X13" s="13" t="n">
        <v>53</v>
      </c>
      <c r="Z13" s="13" t="n">
        <v>107</v>
      </c>
      <c r="AA13" s="12" t="n">
        <v>107</v>
      </c>
      <c r="AB13" s="13" t="n">
        <v>107</v>
      </c>
      <c r="AC13" s="12" t="n">
        <v>107</v>
      </c>
      <c r="AD13" s="13" t="n">
        <v>107</v>
      </c>
      <c r="AF13" s="13" t="n">
        <v>202</v>
      </c>
      <c r="AG13" s="12" t="n">
        <v>202</v>
      </c>
      <c r="AH13" s="13" t="n">
        <v>202</v>
      </c>
      <c r="AI13" s="12" t="n">
        <v>202</v>
      </c>
      <c r="AJ13" s="13" t="n">
        <v>202</v>
      </c>
      <c r="AM13" s="0" t="inlineStr">
        <is>
          <t>New Item Acquired: 150.00K (3, 12)</t>
        </is>
      </c>
      <c r="AR13" s="0" t="inlineStr">
        <is>
          <t>New Item Acquired: 100.00K (2, 18)</t>
        </is>
      </c>
    </row>
    <row r="14">
      <c r="D14" s="2" t="n"/>
      <c r="E14" s="0">
        <f>E2/D2</f>
        <v/>
      </c>
      <c r="F14" s="0">
        <f>F2/D2</f>
        <v/>
      </c>
      <c r="G14" s="2">
        <f>G2/D2</f>
        <v/>
      </c>
      <c r="H14" s="7">
        <f>H2/D2</f>
        <v/>
      </c>
      <c r="I14" s="0">
        <f>I2/D2</f>
        <v/>
      </c>
      <c r="J14" s="0">
        <f>J2/D2</f>
        <v/>
      </c>
      <c r="K14" s="25" t="n"/>
      <c r="L14" s="25" t="n"/>
      <c r="N14" s="12" t="n">
        <v>26</v>
      </c>
      <c r="O14" s="13" t="n">
        <v>26</v>
      </c>
      <c r="P14" s="13" t="n">
        <v>26</v>
      </c>
      <c r="Q14" s="13" t="n">
        <v>26</v>
      </c>
      <c r="R14" s="12" t="n">
        <v>26</v>
      </c>
      <c r="T14" s="12" t="n">
        <v>53</v>
      </c>
      <c r="U14" s="13" t="n">
        <v>53</v>
      </c>
      <c r="V14" s="13" t="n">
        <v>53</v>
      </c>
      <c r="W14" s="13" t="n">
        <v>53</v>
      </c>
      <c r="X14" s="12" t="n">
        <v>53</v>
      </c>
      <c r="Z14" s="12" t="n">
        <v>107</v>
      </c>
      <c r="AA14" s="13" t="n">
        <v>107</v>
      </c>
      <c r="AB14" s="13" t="n">
        <v>107</v>
      </c>
      <c r="AC14" s="13" t="n">
        <v>107</v>
      </c>
      <c r="AD14" s="12" t="n">
        <v>107</v>
      </c>
      <c r="AF14" s="12" t="n">
        <v>202</v>
      </c>
      <c r="AG14" s="13" t="n">
        <v>202</v>
      </c>
      <c r="AH14" s="13" t="n">
        <v>202</v>
      </c>
      <c r="AI14" s="13" t="n">
        <v>202</v>
      </c>
      <c r="AJ14" s="12" t="n">
        <v>202</v>
      </c>
      <c r="AM14" s="0" t="inlineStr">
        <is>
          <t>New Item Acquired: 150.00K (3, 21)</t>
        </is>
      </c>
      <c r="AR14" s="0" t="inlineStr">
        <is>
          <t>New Item Acquired: 150.00K (4, 20)</t>
        </is>
      </c>
    </row>
    <row r="15">
      <c r="E15" s="0">
        <f>E7/D7</f>
        <v/>
      </c>
      <c r="F15" s="0">
        <f>F7/D7</f>
        <v/>
      </c>
      <c r="G15" s="0">
        <f>G7/D7</f>
        <v/>
      </c>
      <c r="H15" s="0">
        <f>H7/D7</f>
        <v/>
      </c>
      <c r="I15" s="0">
        <f>I7/D7</f>
        <v/>
      </c>
      <c r="J15" s="0">
        <f>J7/D7</f>
        <v/>
      </c>
      <c r="AM15" s="0" t="inlineStr">
        <is>
          <t>New Item Acquired: 150.00K (4, 11)</t>
        </is>
      </c>
      <c r="AR15" s="0" t="inlineStr">
        <is>
          <t>New Item Acquired: 150.00K (4, 5)</t>
        </is>
      </c>
    </row>
    <row r="16">
      <c r="E16" s="25">
        <f>E14/E13</f>
        <v/>
      </c>
      <c r="F16" s="25">
        <f>F14/F13</f>
        <v/>
      </c>
      <c r="G16" s="25">
        <f>G14/G13</f>
        <v/>
      </c>
      <c r="H16" s="25">
        <f>H14/H13</f>
        <v/>
      </c>
      <c r="I16" s="25">
        <f>I14/I13</f>
        <v/>
      </c>
      <c r="J16" s="25">
        <f>J14/J13</f>
        <v/>
      </c>
      <c r="AM16" s="0" t="inlineStr">
        <is>
          <t>New Item Acquired: 150.00K (4, 25)</t>
        </is>
      </c>
      <c r="AR16" s="0" t="inlineStr">
        <is>
          <t>New Item Acquired: 150.00K (5, 15)</t>
        </is>
      </c>
    </row>
    <row r="17">
      <c r="G17" s="2" t="n"/>
      <c r="AM17" s="0" t="inlineStr">
        <is>
          <t>New Item Acquired: 150.00K (5, 15)</t>
        </is>
      </c>
      <c r="AR17" s="0" t="inlineStr">
        <is>
          <t>New Item Acquired: 150.00K (5, 21)</t>
        </is>
      </c>
    </row>
    <row r="18">
      <c r="F18" s="0" t="n">
        <v>16</v>
      </c>
      <c r="G18" s="2" t="n"/>
      <c r="AM18" s="0" t="inlineStr">
        <is>
          <t>New Item Acquired: 150.00K (5, 16)</t>
        </is>
      </c>
      <c r="AR18" s="0" t="inlineStr">
        <is>
          <t>New Item Acquired: 180.00K (6, 12)</t>
        </is>
      </c>
    </row>
    <row r="19">
      <c r="F19" s="2">
        <f>D11*D12+E11*E12+F11*F12+G11*G12+H11*H12+I11*I12+J11*J12</f>
        <v/>
      </c>
      <c r="G19" s="2" t="n"/>
      <c r="AM19" s="0" t="inlineStr">
        <is>
          <t>New Item Acquired: 150.00K (5, 23)</t>
        </is>
      </c>
      <c r="AR19" s="0" t="inlineStr">
        <is>
          <t>New Item Acquired: 180.00K (6, 14)</t>
        </is>
      </c>
    </row>
    <row r="20">
      <c r="F20" s="2">
        <f>F18/F17</f>
        <v/>
      </c>
      <c r="AM20" s="0" t="inlineStr">
        <is>
          <t>New Item Acquired: 150.00K (5, 25)</t>
        </is>
      </c>
      <c r="AR20" s="0" t="inlineStr">
        <is>
          <t>New Item Acquired: 180.00K (6, 15)</t>
        </is>
      </c>
    </row>
    <row r="21" ht="18.75" customHeight="1" s="161">
      <c r="AM21" s="0" t="inlineStr">
        <is>
          <t>New Item Acquired: 150.00K (5, 4)</t>
        </is>
      </c>
      <c r="AR21" s="0" t="inlineStr">
        <is>
          <t>New Item Acquired: 180.00K (6, 17)</t>
        </is>
      </c>
    </row>
    <row r="22">
      <c r="D22" s="9" t="n"/>
      <c r="AM22" s="0" t="inlineStr">
        <is>
          <t>New Item Acquired: 150.00K (5, 6)</t>
        </is>
      </c>
      <c r="AR22" s="0" t="inlineStr">
        <is>
          <t>New Item Acquired: 180.00K (6, 21)</t>
        </is>
      </c>
    </row>
    <row r="23" ht="18.75" customHeight="1" s="161">
      <c r="M23" s="2" t="n"/>
      <c r="AM23" s="0" t="inlineStr">
        <is>
          <t>New Item Acquired: 180.00K (6, 10)</t>
        </is>
      </c>
      <c r="AR23" s="0" t="inlineStr">
        <is>
          <t>New Item Acquired: 180.00K (6, 23)</t>
        </is>
      </c>
    </row>
    <row r="24">
      <c r="D24" s="2" t="n"/>
      <c r="E24" s="7" t="n"/>
      <c r="AM24" s="0" t="inlineStr">
        <is>
          <t>New Item Acquired: 180.00K (6, 10)</t>
        </is>
      </c>
      <c r="AR24" s="0" t="inlineStr">
        <is>
          <t>New Item Acquired: 180.00K (6, 4)</t>
        </is>
      </c>
    </row>
    <row r="25">
      <c r="AM25" s="0" t="inlineStr">
        <is>
          <t>New Item Acquired: 180.00K (6, 16)</t>
        </is>
      </c>
      <c r="AR25" s="0" t="inlineStr">
        <is>
          <t>New Item Acquired: 180.00K (6, 8)</t>
        </is>
      </c>
    </row>
    <row r="26">
      <c r="AM26" s="0" t="inlineStr">
        <is>
          <t>New Item Acquired: 180.00K (6, 18)</t>
        </is>
      </c>
      <c r="AR26" s="0" t="inlineStr">
        <is>
          <t>New Item Acquired: 200.00K (2, 16)</t>
        </is>
      </c>
    </row>
    <row r="27">
      <c r="H27" s="24" t="n"/>
      <c r="I27" s="24" t="n"/>
      <c r="AM27" s="0" t="inlineStr">
        <is>
          <t>New Item Acquired: 180.00K (6, 19)</t>
        </is>
      </c>
      <c r="AR27" s="0" t="inlineStr">
        <is>
          <t>New Item Acquired: 200.00K (2, 22)</t>
        </is>
      </c>
    </row>
    <row r="28">
      <c r="H28" s="2" t="n"/>
      <c r="I28" s="2" t="n"/>
      <c r="AM28" s="0" t="inlineStr">
        <is>
          <t>New Item Acquired: 180.00K (6, 19)</t>
        </is>
      </c>
      <c r="AR28" s="0" t="inlineStr">
        <is>
          <t>New Item Acquired: 210.00K (7, 1)</t>
        </is>
      </c>
    </row>
    <row r="29">
      <c r="AM29" s="0" t="inlineStr">
        <is>
          <t>New Item Acquired: 180.00K (6, 20)</t>
        </is>
      </c>
      <c r="AR29" s="0" t="inlineStr">
        <is>
          <t>New Item Acquired: 210.00K (7, 1)</t>
        </is>
      </c>
    </row>
    <row r="30">
      <c r="AM30" s="0" t="inlineStr">
        <is>
          <t>New Item Acquired: 180.00K (6, 24)</t>
        </is>
      </c>
      <c r="AR30" s="0" t="inlineStr">
        <is>
          <t>New Item Acquired: 210.00K (7, 10)</t>
        </is>
      </c>
    </row>
    <row r="31">
      <c r="AM31" s="0" t="inlineStr">
        <is>
          <t>New Item Acquired: 180.00K (6, 3)</t>
        </is>
      </c>
      <c r="AR31" s="0" t="inlineStr">
        <is>
          <t>New Item Acquired: 210.00K (7, 12)</t>
        </is>
      </c>
    </row>
    <row r="32">
      <c r="AM32" s="0" t="inlineStr">
        <is>
          <t>New Item Acquired: 180.00K (6, 6)</t>
        </is>
      </c>
      <c r="AR32" s="0" t="inlineStr">
        <is>
          <t>New Item Acquired: 210.00K (7, 14)</t>
        </is>
      </c>
    </row>
    <row r="33">
      <c r="AM33" s="0" t="inlineStr">
        <is>
          <t>New Item Acquired: 180.00K (6, 9)</t>
        </is>
      </c>
      <c r="AR33" s="0" t="inlineStr">
        <is>
          <t>New Item Acquired: 210.00K (7, 16)</t>
        </is>
      </c>
    </row>
    <row r="34">
      <c r="AM34" s="0" t="inlineStr">
        <is>
          <t>New Item Acquired: 210.00K (7, 11)</t>
        </is>
      </c>
      <c r="AR34" s="0" t="inlineStr">
        <is>
          <t>New Item Acquired: 210.00K (7, 18)</t>
        </is>
      </c>
    </row>
    <row r="35">
      <c r="AM35" s="0" t="inlineStr">
        <is>
          <t>New Item Acquired: 210.00K (7, 12)</t>
        </is>
      </c>
      <c r="AR35" s="0" t="inlineStr">
        <is>
          <t>New Item Acquired: 210.00K (7, 19)</t>
        </is>
      </c>
    </row>
    <row r="36">
      <c r="AM36" s="0" t="inlineStr">
        <is>
          <t>New Item Acquired: 210.00K (7, 12)</t>
        </is>
      </c>
      <c r="AR36" s="0" t="inlineStr">
        <is>
          <t>New Item Acquired: 210.00K (7, 19)</t>
        </is>
      </c>
    </row>
    <row r="37">
      <c r="AM37" s="0" t="inlineStr">
        <is>
          <t>New Item Acquired: 210.00K (7, 15)</t>
        </is>
      </c>
      <c r="AR37" s="0" t="inlineStr">
        <is>
          <t>New Item Acquired: 210.00K (7, 21)</t>
        </is>
      </c>
    </row>
    <row r="38">
      <c r="AM38" s="0" t="inlineStr">
        <is>
          <t>New Item Acquired: 210.00K (7, 17)</t>
        </is>
      </c>
      <c r="AR38" s="0" t="inlineStr">
        <is>
          <t>New Item Acquired: 210.00K (7, 21)</t>
        </is>
      </c>
    </row>
    <row r="39">
      <c r="AM39" s="0" t="inlineStr">
        <is>
          <t>New Item Acquired: 210.00K (7, 18)</t>
        </is>
      </c>
      <c r="AR39" s="0" t="inlineStr">
        <is>
          <t>New Item Acquired: 210.00K (7, 22)</t>
        </is>
      </c>
    </row>
    <row r="40">
      <c r="AM40" s="0" t="inlineStr">
        <is>
          <t>New Item Acquired: 210.00K (7, 19)</t>
        </is>
      </c>
      <c r="AR40" s="0" t="inlineStr">
        <is>
          <t>New Item Acquired: 210.00K (7, 22)</t>
        </is>
      </c>
    </row>
    <row r="41">
      <c r="AM41" s="0" t="inlineStr">
        <is>
          <t>New Item Acquired: 210.00K (7, 22)</t>
        </is>
      </c>
      <c r="AR41" s="0" t="inlineStr">
        <is>
          <t>New Item Acquired: 210.00K (7, 25)</t>
        </is>
      </c>
    </row>
    <row r="42">
      <c r="AM42" s="0" t="inlineStr">
        <is>
          <t>New Item Acquired: 210.00K (7, 22)</t>
        </is>
      </c>
      <c r="AR42" s="0" t="inlineStr">
        <is>
          <t>New Item Acquired: 210.00K (7, 25)</t>
        </is>
      </c>
    </row>
    <row r="43">
      <c r="AM43" s="0" t="inlineStr">
        <is>
          <t>New Item Acquired: 210.00K (7, 22)</t>
        </is>
      </c>
      <c r="AR43" s="0" t="inlineStr">
        <is>
          <t>New Item Acquired: 210.00K (7, 7)</t>
        </is>
      </c>
    </row>
    <row r="44">
      <c r="AM44" s="0" t="inlineStr">
        <is>
          <t>New Item Acquired: 210.00K (7, 25)</t>
        </is>
      </c>
      <c r="AR44" s="0" t="inlineStr">
        <is>
          <t>New Item Acquired: 210.00K (7, 7)</t>
        </is>
      </c>
    </row>
    <row r="45">
      <c r="AM45" s="0" t="inlineStr">
        <is>
          <t>New Item Acquired: 210.00K (7, 4)</t>
        </is>
      </c>
      <c r="AR45" s="0" t="inlineStr">
        <is>
          <t>New Item Acquired: 210.00K (7, 8)</t>
        </is>
      </c>
    </row>
    <row r="46">
      <c r="AM46" s="0" t="inlineStr">
        <is>
          <t>New Item Acquired: 210.00K (7, 5)</t>
        </is>
      </c>
      <c r="AR46" s="0" t="inlineStr">
        <is>
          <t>New Item Acquired: 240.00K (8, 1)</t>
        </is>
      </c>
    </row>
    <row r="47">
      <c r="AM47" s="0" t="inlineStr">
        <is>
          <t>New Item Acquired: 210.00K (7, 5)</t>
        </is>
      </c>
      <c r="AR47" s="0" t="inlineStr">
        <is>
          <t>New Item Acquired: 240.00K (8, 1)</t>
        </is>
      </c>
    </row>
    <row r="48">
      <c r="AM48" s="0" t="inlineStr">
        <is>
          <t>New Item Acquired: 210.00K (7, 6)</t>
        </is>
      </c>
      <c r="AR48" s="0" t="inlineStr">
        <is>
          <t>New Item Acquired: 240.00K (8, 10)</t>
        </is>
      </c>
    </row>
    <row r="49">
      <c r="AM49" s="0" t="inlineStr">
        <is>
          <t>New Item Acquired: 210.00K (7, 6)</t>
        </is>
      </c>
      <c r="AR49" s="0" t="inlineStr">
        <is>
          <t>New Item Acquired: 240.00K (8, 10)</t>
        </is>
      </c>
    </row>
    <row r="50">
      <c r="AM50" s="0" t="inlineStr">
        <is>
          <t>New Item Acquired: 210.00K (7, 6)</t>
        </is>
      </c>
      <c r="AR50" s="0" t="inlineStr">
        <is>
          <t>New Item Acquired: 240.00K (8, 11)</t>
        </is>
      </c>
    </row>
    <row r="51">
      <c r="AM51" s="0" t="inlineStr">
        <is>
          <t>New Item Acquired: 210.00K (7, 7)</t>
        </is>
      </c>
      <c r="AR51" s="0" t="inlineStr">
        <is>
          <t>New Item Acquired: 240.00K (8, 12)</t>
        </is>
      </c>
    </row>
    <row r="52">
      <c r="AM52" s="0" t="inlineStr">
        <is>
          <t>New Item Acquired: 210.00K (7, 7)</t>
        </is>
      </c>
      <c r="AR52" s="0" t="inlineStr">
        <is>
          <t>New Item Acquired: 240.00K (8, 15)</t>
        </is>
      </c>
    </row>
    <row r="53">
      <c r="AM53" s="0" t="inlineStr">
        <is>
          <t>New Item Acquired: 210.00K (7, 8)</t>
        </is>
      </c>
      <c r="AR53" s="0" t="inlineStr">
        <is>
          <t>New Item Acquired: 240.00K (8, 15)</t>
        </is>
      </c>
    </row>
    <row r="54">
      <c r="AM54" s="0" t="inlineStr">
        <is>
          <t>New Item Acquired: 210.00K (7, 8)</t>
        </is>
      </c>
      <c r="AR54" s="0" t="inlineStr">
        <is>
          <t>New Item Acquired: 240.00K (8, 16)</t>
        </is>
      </c>
    </row>
    <row r="55">
      <c r="AM55" s="0" t="inlineStr">
        <is>
          <t>New Item Acquired: 210.00K (7, 8)</t>
        </is>
      </c>
      <c r="AR55" s="0" t="inlineStr">
        <is>
          <t>New Item Acquired: 240.00K (8, 17)</t>
        </is>
      </c>
    </row>
    <row r="56">
      <c r="AM56" s="0" t="inlineStr">
        <is>
          <t>New Item Acquired: 210.00K (7, 9)</t>
        </is>
      </c>
      <c r="AR56" s="0" t="inlineStr">
        <is>
          <t>New Item Acquired: 240.00K (8, 19)</t>
        </is>
      </c>
    </row>
    <row r="57">
      <c r="AM57" s="0" t="inlineStr">
        <is>
          <t>New Item Acquired: 240.00K (8, 11)</t>
        </is>
      </c>
      <c r="AR57" s="0" t="inlineStr">
        <is>
          <t>New Item Acquired: 240.00K (8, 19)</t>
        </is>
      </c>
    </row>
    <row r="58">
      <c r="AM58" s="0" t="inlineStr">
        <is>
          <t>New Item Acquired: 240.00K (8, 14)</t>
        </is>
      </c>
      <c r="AR58" s="0" t="inlineStr">
        <is>
          <t>New Item Acquired: 240.00K (8, 2)</t>
        </is>
      </c>
    </row>
    <row r="59">
      <c r="AM59" s="0" t="inlineStr">
        <is>
          <t>New Item Acquired: 240.00K (8, 14)</t>
        </is>
      </c>
      <c r="AR59" s="0" t="inlineStr">
        <is>
          <t>New Item Acquired: 240.00K (8, 2)</t>
        </is>
      </c>
    </row>
    <row r="60">
      <c r="AM60" s="0" t="inlineStr">
        <is>
          <t>New Item Acquired: 240.00K (8, 15)</t>
        </is>
      </c>
      <c r="AR60" s="0" t="inlineStr">
        <is>
          <t>New Item Acquired: 240.00K (8, 20)</t>
        </is>
      </c>
    </row>
    <row r="61">
      <c r="AM61" s="0" t="inlineStr">
        <is>
          <t>New Item Acquired: 240.00K (8, 15)</t>
        </is>
      </c>
      <c r="AR61" s="0" t="inlineStr">
        <is>
          <t>New Item Acquired: 240.00K (8, 20)</t>
        </is>
      </c>
    </row>
    <row r="62">
      <c r="AM62" s="0" t="inlineStr">
        <is>
          <t>New Item Acquired: 240.00K (8, 16)</t>
        </is>
      </c>
      <c r="AR62" s="0" t="inlineStr">
        <is>
          <t>New Item Acquired: 240.00K (8, 21)</t>
        </is>
      </c>
    </row>
    <row r="63">
      <c r="AM63" s="0" t="inlineStr">
        <is>
          <t>New Item Acquired: 240.00K (8, 18)</t>
        </is>
      </c>
      <c r="AR63" s="0" t="inlineStr">
        <is>
          <t>New Item Acquired: 240.00K (8, 22)</t>
        </is>
      </c>
    </row>
    <row r="64">
      <c r="AM64" s="0" t="inlineStr">
        <is>
          <t>New Item Acquired: 240.00K (8, 2)</t>
        </is>
      </c>
      <c r="AR64" s="0" t="inlineStr">
        <is>
          <t>New Item Acquired: 240.00K (8, 23)</t>
        </is>
      </c>
    </row>
    <row r="65">
      <c r="AM65" s="0" t="inlineStr">
        <is>
          <t>New Item Acquired: 240.00K (8, 20)</t>
        </is>
      </c>
      <c r="AR65" s="0" t="inlineStr">
        <is>
          <t>New Item Acquired: 240.00K (8, 24)</t>
        </is>
      </c>
    </row>
    <row r="66">
      <c r="AM66" s="0" t="inlineStr">
        <is>
          <t>New Item Acquired: 240.00K (8, 20)</t>
        </is>
      </c>
      <c r="AR66" s="0" t="inlineStr">
        <is>
          <t>New Item Acquired: 240.00K (8, 3)</t>
        </is>
      </c>
    </row>
    <row r="67">
      <c r="AM67" s="0" t="inlineStr">
        <is>
          <t>New Item Acquired: 240.00K (8, 20)</t>
        </is>
      </c>
      <c r="AR67" s="0" t="inlineStr">
        <is>
          <t>New Item Acquired: 240.00K (8, 3)</t>
        </is>
      </c>
    </row>
    <row r="68">
      <c r="AM68" s="0" t="inlineStr">
        <is>
          <t>New Item Acquired: 240.00K (8, 21)</t>
        </is>
      </c>
      <c r="AR68" s="0" t="inlineStr">
        <is>
          <t>New Item Acquired: 240.00K (8, 4)</t>
        </is>
      </c>
    </row>
    <row r="69">
      <c r="AM69" s="0" t="inlineStr">
        <is>
          <t>New Item Acquired: 240.00K (8, 21)</t>
        </is>
      </c>
      <c r="AR69" s="0" t="inlineStr">
        <is>
          <t>New Item Acquired: 240.00K (8, 5)</t>
        </is>
      </c>
    </row>
    <row r="70">
      <c r="AM70" s="0" t="inlineStr">
        <is>
          <t>New Item Acquired: 240.00K (8, 22)</t>
        </is>
      </c>
      <c r="AR70" s="0" t="inlineStr">
        <is>
          <t>New Item Acquired: 240.00K (8, 6)</t>
        </is>
      </c>
    </row>
    <row r="71">
      <c r="AM71" s="0" t="inlineStr">
        <is>
          <t>New Item Acquired: 240.00K (8, 22)</t>
        </is>
      </c>
      <c r="AR71" s="0" t="inlineStr">
        <is>
          <t>New Item Acquired: 240.00K (8, 9)</t>
        </is>
      </c>
    </row>
    <row r="72">
      <c r="AM72" s="0" t="inlineStr">
        <is>
          <t>New Item Acquired: 240.00K (8, 23)</t>
        </is>
      </c>
      <c r="AR72" s="0" t="inlineStr">
        <is>
          <t>New Item Acquired: 250.00K (5, 25)</t>
        </is>
      </c>
    </row>
    <row r="73">
      <c r="AM73" s="0" t="inlineStr">
        <is>
          <t>New Item Acquired: 240.00K (8, 24)</t>
        </is>
      </c>
      <c r="AR73" s="0" t="inlineStr">
        <is>
          <t>New Item Acquired: 300.00K (6, 1)</t>
        </is>
      </c>
    </row>
    <row r="74">
      <c r="AM74" s="0" t="inlineStr">
        <is>
          <t>New Item Acquired: 240.00K (8, 25)</t>
        </is>
      </c>
      <c r="AR74" s="0" t="inlineStr">
        <is>
          <t>New Item Acquired: 300.00K (6, 10)</t>
        </is>
      </c>
    </row>
    <row r="75">
      <c r="AM75" s="0" t="inlineStr">
        <is>
          <t>New Item Acquired: 240.00K (8, 5)</t>
        </is>
      </c>
      <c r="AR75" s="0" t="inlineStr">
        <is>
          <t>New Item Acquired: 300.00K (6, 11)</t>
        </is>
      </c>
    </row>
    <row r="76">
      <c r="AM76" s="0" t="inlineStr">
        <is>
          <t>New Item Acquired: 240.00K (8, 5)</t>
        </is>
      </c>
      <c r="AR76" s="0" t="inlineStr">
        <is>
          <t>New Item Acquired: 300.00K (6, 11)</t>
        </is>
      </c>
    </row>
    <row r="77">
      <c r="AM77" s="0" t="inlineStr">
        <is>
          <t>New Item Acquired: 240.00K (8, 6)</t>
        </is>
      </c>
      <c r="AR77" s="0" t="inlineStr">
        <is>
          <t>New Item Acquired: 300.00K (6, 14)</t>
        </is>
      </c>
    </row>
    <row r="78">
      <c r="AM78" s="0" t="inlineStr">
        <is>
          <t>New Item Acquired: 240.00K (8, 7)</t>
        </is>
      </c>
      <c r="AR78" s="0" t="inlineStr">
        <is>
          <t>New Item Acquired: 300.00K (6, 19)</t>
        </is>
      </c>
    </row>
    <row r="79">
      <c r="AM79" s="0" t="inlineStr">
        <is>
          <t>New Item Acquired: 240.00K (8, 7)</t>
        </is>
      </c>
      <c r="AR79" s="0" t="inlineStr">
        <is>
          <t>New Item Acquired: 300.00K (6, 19)</t>
        </is>
      </c>
    </row>
    <row r="80">
      <c r="AM80" s="0" t="inlineStr">
        <is>
          <t>New Item Acquired: 240.00K (8, 8)</t>
        </is>
      </c>
      <c r="AR80" s="0" t="inlineStr">
        <is>
          <t>New Item Acquired: 300.00K (6, 2)</t>
        </is>
      </c>
    </row>
    <row r="81">
      <c r="AM81" s="0" t="inlineStr">
        <is>
          <t>New Item Acquired: 240.00K (8, 9)</t>
        </is>
      </c>
      <c r="AR81" s="0" t="inlineStr">
        <is>
          <t>New Item Acquired: 300.00K (6, 21)</t>
        </is>
      </c>
    </row>
    <row r="82">
      <c r="AM82" s="0" t="inlineStr">
        <is>
          <t>New Item Acquired: 30.00K (1, 19)</t>
        </is>
      </c>
      <c r="AR82" s="0" t="inlineStr">
        <is>
          <t>New Item Acquired: 300.00K (6, 7)</t>
        </is>
      </c>
    </row>
    <row r="83">
      <c r="AM83" s="0" t="inlineStr">
        <is>
          <t>New Item Acquired: 300.00K (3, 11)</t>
        </is>
      </c>
      <c r="AR83" s="0" t="inlineStr">
        <is>
          <t>New Item Acquired: 300.00K (6, 9)</t>
        </is>
      </c>
    </row>
    <row r="84">
      <c r="AM84" s="0" t="inlineStr">
        <is>
          <t>New Item Acquired: 300.00K (4, 9)</t>
        </is>
      </c>
      <c r="AR84" s="0" t="inlineStr">
        <is>
          <t>New Item Acquired: 350.00K (7, 1)</t>
        </is>
      </c>
    </row>
    <row r="85">
      <c r="AM85" s="0" t="inlineStr">
        <is>
          <t>New Item Acquired: 300.00K (6, 11)</t>
        </is>
      </c>
      <c r="AR85" s="0" t="inlineStr">
        <is>
          <t>New Item Acquired: 350.00K (7, 10)</t>
        </is>
      </c>
    </row>
    <row r="86">
      <c r="AM86" s="0" t="inlineStr">
        <is>
          <t>New Item Acquired: 300.00K (6, 11)</t>
        </is>
      </c>
      <c r="AR86" s="0" t="inlineStr">
        <is>
          <t>New Item Acquired: 350.00K (7, 10)</t>
        </is>
      </c>
    </row>
    <row r="87">
      <c r="AM87" s="0" t="inlineStr">
        <is>
          <t>New Item Acquired: 300.00K (6, 16)</t>
        </is>
      </c>
      <c r="AR87" s="0" t="inlineStr">
        <is>
          <t>New Item Acquired: 350.00K (7, 11)</t>
        </is>
      </c>
    </row>
    <row r="88">
      <c r="AM88" s="0" t="inlineStr">
        <is>
          <t>New Item Acquired: 300.00K (6, 17)</t>
        </is>
      </c>
      <c r="AR88" s="0" t="inlineStr">
        <is>
          <t>New Item Acquired: 350.00K (7, 14)</t>
        </is>
      </c>
    </row>
    <row r="89">
      <c r="AM89" s="0" t="inlineStr">
        <is>
          <t>New Item Acquired: 300.00K (6, 20)</t>
        </is>
      </c>
      <c r="AR89" s="0" t="inlineStr">
        <is>
          <t>New Item Acquired: 350.00K (7, 16)</t>
        </is>
      </c>
    </row>
    <row r="90">
      <c r="AM90" s="0" t="inlineStr">
        <is>
          <t>New Item Acquired: 300.00K (6, 4)</t>
        </is>
      </c>
      <c r="AR90" s="0" t="inlineStr">
        <is>
          <t>New Item Acquired: 350.00K (7, 17)</t>
        </is>
      </c>
    </row>
    <row r="91">
      <c r="AM91" s="0" t="inlineStr">
        <is>
          <t>New Item Acquired: 300.00K (6, 6)</t>
        </is>
      </c>
      <c r="AR91" s="0" t="inlineStr">
        <is>
          <t>New Item Acquired: 350.00K (7, 18)</t>
        </is>
      </c>
    </row>
    <row r="92">
      <c r="AM92" s="0" t="inlineStr">
        <is>
          <t>New Item Acquired: 300.00K (6, 8)</t>
        </is>
      </c>
      <c r="AR92" s="0" t="inlineStr">
        <is>
          <t>New Item Acquired: 350.00K (7, 19)</t>
        </is>
      </c>
    </row>
    <row r="93">
      <c r="AM93" s="0" t="inlineStr">
        <is>
          <t>New Item Acquired: 350.00K (7, 10)</t>
        </is>
      </c>
      <c r="AR93" s="0" t="inlineStr">
        <is>
          <t>New Item Acquired: 350.00K (7, 2)</t>
        </is>
      </c>
    </row>
    <row r="94">
      <c r="AM94" s="0" t="inlineStr">
        <is>
          <t>New Item Acquired: 350.00K (7, 11)</t>
        </is>
      </c>
      <c r="AR94" s="0" t="inlineStr">
        <is>
          <t>New Item Acquired: 350.00K (7, 20)</t>
        </is>
      </c>
    </row>
    <row r="95">
      <c r="AM95" s="0" t="inlineStr">
        <is>
          <t>New Item Acquired: 350.00K (7, 11)</t>
        </is>
      </c>
      <c r="AR95" s="0" t="inlineStr">
        <is>
          <t>New Item Acquired: 350.00K (7, 23)</t>
        </is>
      </c>
    </row>
    <row r="96">
      <c r="AM96" s="0" t="inlineStr">
        <is>
          <t>New Item Acquired: 350.00K (7, 16)</t>
        </is>
      </c>
      <c r="AR96" s="0" t="inlineStr">
        <is>
          <t>New Item Acquired: 350.00K (7, 24)</t>
        </is>
      </c>
    </row>
    <row r="97">
      <c r="AM97" s="0" t="inlineStr">
        <is>
          <t>New Item Acquired: 350.00K (7, 19)</t>
        </is>
      </c>
      <c r="AR97" s="0" t="inlineStr">
        <is>
          <t>New Item Acquired: 350.00K (7, 25)</t>
        </is>
      </c>
    </row>
    <row r="98">
      <c r="AM98" s="0" t="inlineStr">
        <is>
          <t>New Item Acquired: 350.00K (7, 2)</t>
        </is>
      </c>
      <c r="AR98" s="0" t="inlineStr">
        <is>
          <t>New Item Acquired: 350.00K (7, 3)</t>
        </is>
      </c>
    </row>
    <row r="99">
      <c r="AM99" s="0" t="inlineStr">
        <is>
          <t>New Item Acquired: 350.00K (7, 20)</t>
        </is>
      </c>
      <c r="AR99" s="0" t="inlineStr">
        <is>
          <t>New Item Acquired: 350.00K (7, 3)</t>
        </is>
      </c>
    </row>
    <row r="100">
      <c r="AM100" s="0" t="inlineStr">
        <is>
          <t>New Item Acquired: 350.00K (7, 21)</t>
        </is>
      </c>
      <c r="AR100" s="0" t="inlineStr">
        <is>
          <t>New Item Acquired: 350.00K (7, 5)</t>
        </is>
      </c>
    </row>
    <row r="101">
      <c r="AM101" s="0" t="inlineStr">
        <is>
          <t>New Item Acquired: 350.00K (7, 24)</t>
        </is>
      </c>
      <c r="AR101" s="0" t="inlineStr">
        <is>
          <t>New Item Acquired: 350.00K (7, 5)</t>
        </is>
      </c>
    </row>
    <row r="102">
      <c r="AM102" s="0" t="inlineStr">
        <is>
          <t>New Item Acquired: 350.00K (7, 24)</t>
        </is>
      </c>
      <c r="AR102" s="0" t="inlineStr">
        <is>
          <t>New Item Acquired: 350.00K (7, 6)</t>
        </is>
      </c>
    </row>
    <row r="103">
      <c r="AM103" s="0" t="inlineStr">
        <is>
          <t>New Item Acquired: 350.00K (7, 3)</t>
        </is>
      </c>
      <c r="AR103" s="0" t="inlineStr">
        <is>
          <t>New Item Acquired: 350.00K (7, 6)</t>
        </is>
      </c>
    </row>
    <row r="104">
      <c r="AM104" s="0" t="inlineStr">
        <is>
          <t>New Item Acquired: 350.00K (7, 5)</t>
        </is>
      </c>
      <c r="AR104" s="0" t="inlineStr">
        <is>
          <t>New Item Acquired: 350.00K (7, 6)</t>
        </is>
      </c>
    </row>
    <row r="105">
      <c r="AM105" s="0" t="inlineStr">
        <is>
          <t>New Item Acquired: 350.00K (7, 6)</t>
        </is>
      </c>
      <c r="AR105" s="0" t="inlineStr">
        <is>
          <t>New Item Acquired: 350.00K (7, 7)</t>
        </is>
      </c>
    </row>
    <row r="106">
      <c r="AM106" s="0" t="inlineStr">
        <is>
          <t>New Item Acquired: 400.00K (8, 1)</t>
        </is>
      </c>
      <c r="AR106" s="0" t="inlineStr">
        <is>
          <t>New Item Acquired: 400.00K (8, 1)</t>
        </is>
      </c>
    </row>
    <row r="107">
      <c r="AM107" s="0" t="inlineStr">
        <is>
          <t>New Item Acquired: 400.00K (8, 10)</t>
        </is>
      </c>
      <c r="AR107" s="0" t="inlineStr">
        <is>
          <t>New Item Acquired: 400.00K (8, 1)</t>
        </is>
      </c>
    </row>
    <row r="108">
      <c r="AM108" s="0" t="inlineStr">
        <is>
          <t>New Item Acquired: 400.00K (8, 11)</t>
        </is>
      </c>
      <c r="AR108" s="0" t="inlineStr">
        <is>
          <t>New Item Acquired: 400.00K (8, 10)</t>
        </is>
      </c>
    </row>
    <row r="109">
      <c r="AM109" s="0" t="inlineStr">
        <is>
          <t>New Item Acquired: 400.00K (8, 14)</t>
        </is>
      </c>
      <c r="AR109" s="0" t="inlineStr">
        <is>
          <t>New Item Acquired: 400.00K (8, 12)</t>
        </is>
      </c>
    </row>
    <row r="110">
      <c r="AM110" s="0" t="inlineStr">
        <is>
          <t>New Item Acquired: 400.00K (8, 15)</t>
        </is>
      </c>
      <c r="AR110" s="0" t="inlineStr">
        <is>
          <t>New Item Acquired: 400.00K (8, 14)</t>
        </is>
      </c>
    </row>
    <row r="111">
      <c r="AM111" s="0" t="inlineStr">
        <is>
          <t>New Item Acquired: 400.00K (8, 15)</t>
        </is>
      </c>
      <c r="AR111" s="0" t="inlineStr">
        <is>
          <t>New Item Acquired: 400.00K (8, 14)</t>
        </is>
      </c>
    </row>
    <row r="112">
      <c r="AM112" s="0" t="inlineStr">
        <is>
          <t>New Item Acquired: 400.00K (8, 15)</t>
        </is>
      </c>
      <c r="AR112" s="0" t="inlineStr">
        <is>
          <t>New Item Acquired: 400.00K (8, 17)</t>
        </is>
      </c>
    </row>
    <row r="113">
      <c r="AM113" s="0" t="inlineStr">
        <is>
          <t>New Item Acquired: 400.00K (8, 16)</t>
        </is>
      </c>
      <c r="AR113" s="0" t="inlineStr">
        <is>
          <t>New Item Acquired: 400.00K (8, 18)</t>
        </is>
      </c>
    </row>
    <row r="114">
      <c r="AM114" s="0" t="inlineStr">
        <is>
          <t>New Item Acquired: 400.00K (8, 17)</t>
        </is>
      </c>
      <c r="AR114" s="0" t="inlineStr">
        <is>
          <t>New Item Acquired: 400.00K (8, 19)</t>
        </is>
      </c>
    </row>
    <row r="115">
      <c r="AM115" s="0" t="inlineStr">
        <is>
          <t>New Item Acquired: 400.00K (8, 17)</t>
        </is>
      </c>
      <c r="AR115" s="0" t="inlineStr">
        <is>
          <t>New Item Acquired: 400.00K (8, 20)</t>
        </is>
      </c>
    </row>
    <row r="116">
      <c r="AM116" s="0" t="inlineStr">
        <is>
          <t>New Item Acquired: 400.00K (8, 19)</t>
        </is>
      </c>
      <c r="AR116" s="0" t="inlineStr">
        <is>
          <t>New Item Acquired: 400.00K (8, 22)</t>
        </is>
      </c>
    </row>
    <row r="117">
      <c r="AM117" s="0" t="inlineStr">
        <is>
          <t>New Item Acquired: 400.00K (8, 2)</t>
        </is>
      </c>
      <c r="AR117" s="0" t="inlineStr">
        <is>
          <t>New Item Acquired: 400.00K (8, 23)</t>
        </is>
      </c>
    </row>
    <row r="118">
      <c r="AM118" s="0" t="inlineStr">
        <is>
          <t>New Item Acquired: 400.00K (8, 20)</t>
        </is>
      </c>
      <c r="AR118" s="0" t="inlineStr">
        <is>
          <t>New Item Acquired: 400.00K (8, 23)</t>
        </is>
      </c>
    </row>
    <row r="119">
      <c r="AM119" s="0" t="inlineStr">
        <is>
          <t>New Item Acquired: 400.00K (8, 21)</t>
        </is>
      </c>
      <c r="AR119" s="0" t="inlineStr">
        <is>
          <t>New Item Acquired: 400.00K (8, 23)</t>
        </is>
      </c>
    </row>
    <row r="120">
      <c r="AM120" s="0" t="inlineStr">
        <is>
          <t>New Item Acquired: 400.00K (8, 21)</t>
        </is>
      </c>
      <c r="AR120" s="0" t="inlineStr">
        <is>
          <t>New Item Acquired: 400.00K (8, 24)</t>
        </is>
      </c>
    </row>
    <row r="121">
      <c r="AM121" s="0" t="inlineStr">
        <is>
          <t>New Item Acquired: 400.00K (8, 24)</t>
        </is>
      </c>
      <c r="AR121" s="0" t="inlineStr">
        <is>
          <t>New Item Acquired: 400.00K (8, 24)</t>
        </is>
      </c>
    </row>
    <row r="122">
      <c r="AM122" s="0" t="inlineStr">
        <is>
          <t>New Item Acquired: 400.00K (8, 24)</t>
        </is>
      </c>
      <c r="AR122" s="0" t="inlineStr">
        <is>
          <t>New Item Acquired: 400.00K (8, 25)</t>
        </is>
      </c>
    </row>
    <row r="123">
      <c r="AM123" s="0" t="inlineStr">
        <is>
          <t>New Item Acquired: 400.00K (8, 24)</t>
        </is>
      </c>
      <c r="AR123" s="0" t="inlineStr">
        <is>
          <t>New Item Acquired: 400.00K (8, 25)</t>
        </is>
      </c>
    </row>
    <row r="124">
      <c r="AM124" s="0" t="inlineStr">
        <is>
          <t>New Item Acquired: 400.00K (8, 3)</t>
        </is>
      </c>
      <c r="AR124" s="0" t="inlineStr">
        <is>
          <t>New Item Acquired: 400.00K (8, 3)</t>
        </is>
      </c>
    </row>
    <row r="125">
      <c r="AM125" s="0" t="inlineStr">
        <is>
          <t>New Item Acquired: 400.00K (8, 3)</t>
        </is>
      </c>
      <c r="AR125" s="0" t="inlineStr">
        <is>
          <t>New Item Acquired: 400.00K (8, 4)</t>
        </is>
      </c>
    </row>
    <row r="126">
      <c r="AM126" s="0" t="inlineStr">
        <is>
          <t>New Item Acquired: 400.00K (8, 4)</t>
        </is>
      </c>
      <c r="AR126" s="0" t="inlineStr">
        <is>
          <t>New Item Acquired: 400.00K (8, 4)</t>
        </is>
      </c>
    </row>
    <row r="127">
      <c r="AM127" s="0" t="inlineStr">
        <is>
          <t>New Item Acquired: 400.00K (8, 5)</t>
        </is>
      </c>
      <c r="AR127" s="0" t="inlineStr">
        <is>
          <t>New Item Acquired: 400.00K (8, 5)</t>
        </is>
      </c>
    </row>
    <row r="128">
      <c r="AM128" s="0" t="inlineStr">
        <is>
          <t>New Item Acquired: 400.00K (8, 7)</t>
        </is>
      </c>
      <c r="AR128" s="0" t="inlineStr">
        <is>
          <t>New Item Acquired: 400.00K (8, 6)</t>
        </is>
      </c>
    </row>
    <row r="129">
      <c r="AM129" s="0" t="inlineStr">
        <is>
          <t>New Item Acquired: 400.00K (8, 8)</t>
        </is>
      </c>
      <c r="AR129" s="0" t="inlineStr">
        <is>
          <t>New Item Acquired: 400.00K (8, 7)</t>
        </is>
      </c>
    </row>
    <row r="130">
      <c r="AM130" s="0" t="inlineStr">
        <is>
          <t>New Item Acquired: 400.00K (8, 9)</t>
        </is>
      </c>
      <c r="AR130" s="0" t="inlineStr">
        <is>
          <t>New Item Acquired: 400.00K (8, 9)</t>
        </is>
      </c>
    </row>
    <row r="131">
      <c r="AM131" s="0" t="inlineStr">
        <is>
          <t>New Item Acquired: 400.00K (8, 9)</t>
        </is>
      </c>
      <c r="AR131" s="0" t="inlineStr">
        <is>
          <t>New Item Acquired: 50.00K (1, 20)</t>
        </is>
      </c>
    </row>
    <row r="132">
      <c r="AM132" s="0" t="inlineStr">
        <is>
          <t>New Item Acquired: 400.00K (8, 9)</t>
        </is>
      </c>
      <c r="AR132" s="0" t="inlineStr">
        <is>
          <t>New Item Acquired: 500.00K (5, 12)</t>
        </is>
      </c>
    </row>
    <row r="133">
      <c r="AM133" s="0" t="inlineStr">
        <is>
          <t>New Item Acquired: 500.00K (5, 11)</t>
        </is>
      </c>
      <c r="AR133" s="0" t="inlineStr">
        <is>
          <t>New Item Acquired: 500.00K (5, 14)</t>
        </is>
      </c>
    </row>
    <row r="134">
      <c r="AM134" s="0" t="inlineStr">
        <is>
          <t>New Item Acquired: 500.00K (5, 12)</t>
        </is>
      </c>
      <c r="AR134" s="0" t="inlineStr">
        <is>
          <t>New Item Acquired: 500.00K (5, 24)</t>
        </is>
      </c>
    </row>
    <row r="135">
      <c r="AM135" s="0" t="inlineStr">
        <is>
          <t>New Item Acquired: 500.00K (5, 19)</t>
        </is>
      </c>
      <c r="AR135" s="0" t="inlineStr">
        <is>
          <t>New Item Acquired: 500.00K (5, 4)</t>
        </is>
      </c>
    </row>
    <row r="136">
      <c r="AM136" s="0" t="inlineStr">
        <is>
          <t>New Item Acquired: 500.00K (5, 9)</t>
        </is>
      </c>
      <c r="AR136" s="0" t="inlineStr">
        <is>
          <t>New Item Acquired: 600.00K (6, 12)</t>
        </is>
      </c>
    </row>
    <row r="137">
      <c r="AM137" s="0" t="inlineStr">
        <is>
          <t>New Item Acquired: 60.00K (2, 9)</t>
        </is>
      </c>
      <c r="AR137" s="0" t="inlineStr">
        <is>
          <t>New Item Acquired: 600.00K (6, 18)</t>
        </is>
      </c>
    </row>
    <row r="138">
      <c r="AM138" s="0" t="inlineStr">
        <is>
          <t>New Item Acquired: 600.00K (6, 12)</t>
        </is>
      </c>
      <c r="AR138" s="0" t="inlineStr">
        <is>
          <t>New Item Acquired: 600.00K (6, 24)</t>
        </is>
      </c>
    </row>
    <row r="139">
      <c r="AM139" s="0" t="inlineStr">
        <is>
          <t>New Item Acquired: 600.00K (6, 21)</t>
        </is>
      </c>
      <c r="AR139" s="0" t="inlineStr">
        <is>
          <t>New Item Acquired: 600.00K (6, 5)</t>
        </is>
      </c>
    </row>
    <row r="140">
      <c r="AM140" s="0" t="inlineStr">
        <is>
          <t>New Item Acquired: 600.00K (6, 8)</t>
        </is>
      </c>
      <c r="AR140" s="0" t="inlineStr">
        <is>
          <t>New Item Acquired: 700.00K (7, 15)</t>
        </is>
      </c>
    </row>
    <row r="141">
      <c r="AM141" s="0" t="inlineStr">
        <is>
          <t>New Item Acquired: 700.00K (7, 11)</t>
        </is>
      </c>
      <c r="AR141" s="0" t="inlineStr">
        <is>
          <t>New Item Acquired: 700.00K (7, 17)</t>
        </is>
      </c>
    </row>
    <row r="142">
      <c r="AM142" s="0" t="inlineStr">
        <is>
          <t>New Item Acquired: 700.00K (7, 17)</t>
        </is>
      </c>
      <c r="AR142" s="0" t="inlineStr">
        <is>
          <t>New Item Acquired: 700.00K (7, 23)</t>
        </is>
      </c>
    </row>
    <row r="143">
      <c r="AM143" s="0" t="inlineStr">
        <is>
          <t>New Item Acquired: 700.00K (7, 19)</t>
        </is>
      </c>
      <c r="AR143" s="0" t="inlineStr">
        <is>
          <t>New Item Acquired: 800.00K (8, 1)</t>
        </is>
      </c>
    </row>
    <row r="144">
      <c r="AM144" s="0" t="inlineStr">
        <is>
          <t>New Item Acquired: 700.00K (7, 9)</t>
        </is>
      </c>
      <c r="AR144" s="0" t="inlineStr">
        <is>
          <t>New Item Acquired: 800.00K (8, 1)</t>
        </is>
      </c>
    </row>
    <row r="145">
      <c r="AM145" s="0" t="inlineStr">
        <is>
          <t>New Item Acquired: 700.00K (7, 9)</t>
        </is>
      </c>
      <c r="AR145" s="0" t="inlineStr">
        <is>
          <t>New Item Acquired: 800.00K (8, 10)</t>
        </is>
      </c>
    </row>
    <row r="146">
      <c r="AM146" s="0" t="inlineStr">
        <is>
          <t>New Item Acquired: 800.00K (8, 1)</t>
        </is>
      </c>
      <c r="AR146" s="0" t="inlineStr">
        <is>
          <t>New Item Acquired: 800.00K (8, 11)</t>
        </is>
      </c>
    </row>
    <row r="147">
      <c r="AM147" s="0" t="inlineStr">
        <is>
          <t>New Item Acquired: 800.00K (8, 1)</t>
        </is>
      </c>
      <c r="AR147" s="0" t="inlineStr">
        <is>
          <t>New Item Acquired: 800.00K (8, 12)</t>
        </is>
      </c>
    </row>
    <row r="148">
      <c r="AM148" s="0" t="inlineStr">
        <is>
          <t>New Item Acquired: 800.00K (8, 10)</t>
        </is>
      </c>
      <c r="AR148" s="0" t="inlineStr">
        <is>
          <t>New Item Acquired: 800.00K (8, 14)</t>
        </is>
      </c>
    </row>
    <row r="149">
      <c r="AM149" s="0" t="inlineStr">
        <is>
          <t>New Item Acquired: 800.00K (8, 11)</t>
        </is>
      </c>
      <c r="AR149" s="0" t="inlineStr">
        <is>
          <t>New Item Acquired: 800.00K (8, 16)</t>
        </is>
      </c>
    </row>
    <row r="150">
      <c r="AM150" s="0" t="inlineStr">
        <is>
          <t>New Item Acquired: 800.00K (8, 12)</t>
        </is>
      </c>
      <c r="AR150" s="0" t="inlineStr">
        <is>
          <t>New Item Acquired: 800.00K (8, 16)</t>
        </is>
      </c>
    </row>
    <row r="151">
      <c r="AM151" s="0" t="inlineStr">
        <is>
          <t>New Item Acquired: 800.00K (8, 17)</t>
        </is>
      </c>
      <c r="AR151" s="0" t="inlineStr">
        <is>
          <t>New Item Acquired: 800.00K (8, 18)</t>
        </is>
      </c>
    </row>
    <row r="152">
      <c r="AM152" s="0" t="inlineStr">
        <is>
          <t>New Item Acquired: 800.00K (8, 17)</t>
        </is>
      </c>
      <c r="AR152" s="0" t="inlineStr">
        <is>
          <t>New Item Acquired: 800.00K (8, 20)</t>
        </is>
      </c>
    </row>
    <row r="153">
      <c r="AM153" s="0" t="inlineStr">
        <is>
          <t>New Item Acquired: 800.00K (8, 18)</t>
        </is>
      </c>
      <c r="AR153" s="0" t="inlineStr">
        <is>
          <t>New Item Acquired: 800.00K (8, 21)</t>
        </is>
      </c>
    </row>
    <row r="154">
      <c r="AM154" s="0" t="inlineStr">
        <is>
          <t>New Item Acquired: 800.00K (8, 19)</t>
        </is>
      </c>
      <c r="AR154" s="0" t="inlineStr">
        <is>
          <t>New Item Acquired: 800.00K (8, 24)</t>
        </is>
      </c>
    </row>
    <row r="155">
      <c r="AM155" s="0" t="inlineStr">
        <is>
          <t>New Item Acquired: 800.00K (8, 20)</t>
        </is>
      </c>
      <c r="AR155" s="0" t="inlineStr">
        <is>
          <t>New Item Acquired: 800.00K (8, 25)</t>
        </is>
      </c>
    </row>
    <row r="156">
      <c r="AM156" s="0" t="inlineStr">
        <is>
          <t>New Item Acquired: 800.00K (8, 25)</t>
        </is>
      </c>
      <c r="AR156" s="0" t="inlineStr">
        <is>
          <t>New Item Acquired: 800.00K (8, 25)</t>
        </is>
      </c>
    </row>
    <row r="157">
      <c r="AM157" s="0" t="inlineStr">
        <is>
          <t>New Item Acquired: 800.00K (8, 3)</t>
        </is>
      </c>
      <c r="AR157" s="0" t="inlineStr">
        <is>
          <t>New Item Acquired: 800.00K (8, 5)</t>
        </is>
      </c>
    </row>
    <row r="158">
      <c r="AM158" s="0" t="inlineStr">
        <is>
          <t>New Item Acquired: 800.00K (8, 4)</t>
        </is>
      </c>
      <c r="AR158" s="0" t="inlineStr">
        <is>
          <t>New Item Acquired: 800.00K (8, 5)</t>
        </is>
      </c>
    </row>
    <row r="159">
      <c r="AM159" s="0" t="inlineStr">
        <is>
          <t>New Item Acquired: 800.00K (8, 7)</t>
        </is>
      </c>
      <c r="AR159" s="0" t="inlineStr">
        <is>
          <t>New Item Acquired: 800.00K (8, 8)</t>
        </is>
      </c>
    </row>
    <row r="160">
      <c r="AM160" s="0" t="inlineStr">
        <is>
          <t>New Item Acquired: Grand (7, 23)</t>
        </is>
      </c>
      <c r="AR160" s="0" t="inlineStr">
        <is>
          <t>New Item Acquired: 800.00K (8, 8)</t>
        </is>
      </c>
    </row>
    <row r="161">
      <c r="AM161" s="0" t="inlineStr">
        <is>
          <t>New Item Acquired: Major (8, 19)</t>
        </is>
      </c>
      <c r="AR161" s="0" t="inlineStr">
        <is>
          <t>New Item Acquired: 90.00K (3, 7)</t>
        </is>
      </c>
    </row>
    <row r="162">
      <c r="AM162" s="0" t="inlineStr">
        <is>
          <t>New Item Acquired: Major (8, 19)</t>
        </is>
      </c>
      <c r="AR162" s="0" t="inlineStr">
        <is>
          <t>New Item Acquired: Major (6, 21)</t>
        </is>
      </c>
    </row>
    <row r="163">
      <c r="AM163" s="0" t="inlineStr">
        <is>
          <t>New Item Acquired: Mega (7, 14)</t>
        </is>
      </c>
      <c r="AR163" s="0" t="inlineStr">
        <is>
          <t>New Item Acquired: Major (8, 7)</t>
        </is>
      </c>
    </row>
    <row r="164">
      <c r="AM164" s="0" t="inlineStr">
        <is>
          <t>New Item Acquired: Mini (2, 12)</t>
        </is>
      </c>
      <c r="AR164" s="0" t="inlineStr">
        <is>
          <t>New Item Acquired: Mini (3, 12)</t>
        </is>
      </c>
    </row>
    <row r="165">
      <c r="AM165" s="0" t="inlineStr">
        <is>
          <t>New Item Acquired: Mini (2, 6)</t>
        </is>
      </c>
      <c r="AR165" s="0" t="inlineStr">
        <is>
          <t>New Item Acquired: Mini (3, 5)</t>
        </is>
      </c>
    </row>
    <row r="166">
      <c r="AM166" s="0" t="inlineStr">
        <is>
          <t>New Item Acquired: Mini (4, 23)</t>
        </is>
      </c>
      <c r="AR166" s="0" t="inlineStr">
        <is>
          <t>New Item Acquired: Mini (5, 18)</t>
        </is>
      </c>
    </row>
    <row r="167">
      <c r="AM167" s="0" t="inlineStr">
        <is>
          <t>New Item Acquired: Mini (4, 3)</t>
        </is>
      </c>
      <c r="AR167" s="0" t="inlineStr">
        <is>
          <t>New Item Acquired: Mini (5, 9)</t>
        </is>
      </c>
    </row>
    <row r="168">
      <c r="AM168" s="0" t="inlineStr">
        <is>
          <t>New Item Acquired: Mini (5, 3)</t>
        </is>
      </c>
      <c r="AR168" s="0" t="inlineStr">
        <is>
          <t>New Item Acquired: Mini (7, 21)</t>
        </is>
      </c>
    </row>
    <row r="169">
      <c r="AM169" s="0" t="inlineStr">
        <is>
          <t>New Item Acquired: Mini (5, 8)</t>
        </is>
      </c>
      <c r="AR169" s="0" t="inlineStr">
        <is>
          <t>New Item Acquired: Mini (8, 10)</t>
        </is>
      </c>
    </row>
    <row r="170">
      <c r="AM170" s="0" t="inlineStr">
        <is>
          <t>New Item Acquired: Mini (7, 12)</t>
        </is>
      </c>
      <c r="AR170" s="0" t="inlineStr">
        <is>
          <t>New Item Acquired: Mini (8, 11)</t>
        </is>
      </c>
    </row>
    <row r="171">
      <c r="AM171" s="0" t="inlineStr">
        <is>
          <t>New Item Acquired: Mini (7, 14)</t>
        </is>
      </c>
      <c r="AR171" s="0" t="inlineStr">
        <is>
          <t>New Item Acquired: Mini (8, 14)</t>
        </is>
      </c>
    </row>
    <row r="172">
      <c r="AM172" s="0" t="inlineStr">
        <is>
          <t>New Item Acquired: Mini (7, 21)</t>
        </is>
      </c>
      <c r="AR172" s="0" t="inlineStr">
        <is>
          <t>New Item Acquired: Mini (8, 14)</t>
        </is>
      </c>
    </row>
    <row r="173">
      <c r="AM173" s="0" t="inlineStr">
        <is>
          <t>New Item Acquired: Mini (8, 16)</t>
        </is>
      </c>
      <c r="AR173" s="0" t="inlineStr">
        <is>
          <t>New Item Acquired: Mini (8, 22)</t>
        </is>
      </c>
    </row>
    <row r="174">
      <c r="AM174" s="0" t="inlineStr">
        <is>
          <t>New Item Acquired: Minor (6, 4)</t>
        </is>
      </c>
      <c r="AR174" s="0" t="inlineStr">
        <is>
          <t>New Item Acquired: Mini (8, 4)</t>
        </is>
      </c>
    </row>
    <row r="175">
      <c r="AM175" s="0" t="inlineStr">
        <is>
          <t>New Item Acquired: Minor (7, 15)</t>
        </is>
      </c>
      <c r="AR175" s="0" t="inlineStr">
        <is>
          <t>New Item Acquired: Mini (8, 4)</t>
        </is>
      </c>
    </row>
    <row r="176">
      <c r="AM176" s="0" t="inlineStr">
        <is>
          <t>New Item Acquired: Minor (8, 8)</t>
        </is>
      </c>
      <c r="AR176" s="0" t="inlineStr">
        <is>
          <t>New Item Acquired: Mini (8, 7)</t>
        </is>
      </c>
    </row>
    <row r="177">
      <c r="AM177" s="0" t="inlineStr">
        <is>
          <t>Item ReSelect Failed : Attempts - 3</t>
        </is>
      </c>
      <c r="AR177" s="0" t="inlineStr">
        <is>
          <t>New Item Acquired: Mini (8, 8)</t>
        </is>
      </c>
    </row>
    <row r="178">
      <c r="AM178" s="0" t="inlineStr">
        <is>
          <t>Clear Gem Acquired : 0 -&gt; 100 (Stage : 8)</t>
        </is>
      </c>
      <c r="AR178" s="0" t="inlineStr">
        <is>
          <t>New Item Acquired: Mini (8, 9)</t>
        </is>
      </c>
    </row>
    <row r="179">
      <c r="AM179" s="0" t="inlineStr">
        <is>
          <t>Clear Gem Acquired : 100 -&gt; 200 (Stage : 7)</t>
        </is>
      </c>
      <c r="AR179" s="0" t="inlineStr">
        <is>
          <t>New Item Acquired: Minor (7, 22)</t>
        </is>
      </c>
    </row>
    <row r="180">
      <c r="AM180" s="0" t="inlineStr">
        <is>
          <t>Clear Gem Acquired : 200 -&gt; 300 (Stage : 8)</t>
        </is>
      </c>
      <c r="AR180" s="0" t="inlineStr">
        <is>
          <t>New Item Acquired: Minor (7, 24)</t>
        </is>
      </c>
    </row>
    <row r="181">
      <c r="AM181" s="0" t="inlineStr">
        <is>
          <t>Clear Gem Acquired : 300 -&gt; 400 (Stage : 6)</t>
        </is>
      </c>
      <c r="AR181" s="0" t="inlineStr">
        <is>
          <t>New Item Acquired: Minor (8, 12)</t>
        </is>
      </c>
    </row>
    <row r="182">
      <c r="AM182" s="0" t="inlineStr">
        <is>
          <t>Clear Gem Acquired : 400 -&gt; 500 (Stage : 7)</t>
        </is>
      </c>
      <c r="AR182" s="0" t="inlineStr">
        <is>
          <t>New Item Acquired: Minor (8, 16)</t>
        </is>
      </c>
    </row>
    <row r="183">
      <c r="AM183" s="0" t="inlineStr">
        <is>
          <t>Clear Gem Acquired : 500 -&gt; 600 (Stage : 8)</t>
        </is>
      </c>
      <c r="AR183" s="0" t="inlineStr">
        <is>
          <t>New Item Acquired: Minor (8, 17)</t>
        </is>
      </c>
    </row>
    <row r="184">
      <c r="AM184" s="0" t="inlineStr">
        <is>
          <t>Clear Gem Acquired : 600 -&gt; 700 (Stage : 8)</t>
        </is>
      </c>
      <c r="AR184" s="0" t="inlineStr">
        <is>
          <t>New Item Acquired: Minor (8, 3)</t>
        </is>
      </c>
    </row>
    <row r="185">
      <c r="AM185" s="0" t="inlineStr">
        <is>
          <t>Clear Gem Acquired : 700 -&gt; 800 (Stage : 7)</t>
        </is>
      </c>
      <c r="AR185" s="0" t="inlineStr">
        <is>
          <t>New Item Acquired: Minor (8, 5)</t>
        </is>
      </c>
    </row>
    <row r="186">
      <c r="AM186" s="0" t="inlineStr">
        <is>
          <t>Clear Gem Acquired : 800 -&gt; 900 (Stage : 8)</t>
        </is>
      </c>
      <c r="AR186" s="0" t="inlineStr">
        <is>
          <t>Item ReSelect Failed : Attempts - 3</t>
        </is>
      </c>
    </row>
    <row r="187">
      <c r="AR187" s="0" t="inlineStr">
        <is>
          <t>Item ReSelect Failed : Attempts - 3</t>
        </is>
      </c>
    </row>
    <row r="188">
      <c r="AR188" s="0" t="inlineStr">
        <is>
          <t>Item ReSelect Failed : Attempts - 3</t>
        </is>
      </c>
    </row>
    <row r="189">
      <c r="AR189" s="0" t="inlineStr">
        <is>
          <t>Item ReSelect Failed : Attempts - 3</t>
        </is>
      </c>
    </row>
    <row r="190">
      <c r="AR190" s="0" t="inlineStr">
        <is>
          <t>Item ReSelect Failed : Attempts - 3</t>
        </is>
      </c>
    </row>
    <row r="191">
      <c r="AR191" s="0" t="inlineStr">
        <is>
          <t>Item ReSelect Failed : Attempts - 3</t>
        </is>
      </c>
    </row>
    <row r="192">
      <c r="AR192" s="0" t="inlineStr">
        <is>
          <t>Item ReSelect Failed : Attempts - 3</t>
        </is>
      </c>
    </row>
    <row r="193">
      <c r="AR193" s="0" t="inlineStr">
        <is>
          <t>Item ReSelect Failed : Attempts - 3</t>
        </is>
      </c>
    </row>
    <row r="194">
      <c r="AR194" s="0" t="inlineStr">
        <is>
          <t>Clear Gem Acquired : 0 -&gt; 100 (Stage : 6)</t>
        </is>
      </c>
    </row>
    <row r="195">
      <c r="AR195" s="0" t="inlineStr">
        <is>
          <t>Clear Gem Acquired : 100 -&gt; 200 (Stage : 8)</t>
        </is>
      </c>
    </row>
    <row r="196">
      <c r="AR196" s="0" t="inlineStr">
        <is>
          <t>Clear Gem Acquired : 200 -&gt; 300 (Stage : 7)</t>
        </is>
      </c>
    </row>
    <row r="197">
      <c r="AR197" s="0" t="inlineStr">
        <is>
          <t>Clear Gem Acquired : 300 -&gt; 400 (Stage : 8)</t>
        </is>
      </c>
    </row>
    <row r="198">
      <c r="AR198" s="0" t="inlineStr">
        <is>
          <t>Clear Gem Acquired : 400 -&gt; 500 (Stage : 7)</t>
        </is>
      </c>
    </row>
    <row r="199">
      <c r="AR199" s="0" t="inlineStr">
        <is>
          <t>Clear Gem Acquired : 500 -&gt; 600 (Stage : 8)</t>
        </is>
      </c>
    </row>
    <row r="200">
      <c r="AR200" s="0" t="inlineStr">
        <is>
          <t>Clear Gem Acquired : 600 -&gt; 700 (Stage : 8)</t>
        </is>
      </c>
    </row>
    <row r="201">
      <c r="AR201" s="0" t="inlineStr">
        <is>
          <t>Clear Gem Acquired : 700 -&gt; 800 (Stage : 7)</t>
        </is>
      </c>
    </row>
    <row r="202">
      <c r="AR202" s="0" t="inlineStr">
        <is>
          <t>Clear Gem Acquired : 800 -&gt; 900 (Stage : 6)</t>
        </is>
      </c>
    </row>
    <row r="203">
      <c r="AR203" s="0" t="inlineStr">
        <is>
          <t>Clear Gem Acquired : 900 -&gt; 1000 (Stage : 8)</t>
        </is>
      </c>
    </row>
  </sheetData>
  <mergeCells count="1">
    <mergeCell ref="A1:AU1"/>
  </mergeCell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460"/>
  <sheetViews>
    <sheetView workbookViewId="0">
      <selection activeCell="A1" sqref="A1"/>
    </sheetView>
  </sheetViews>
  <sheetFormatPr baseColWidth="8" defaultRowHeight="16.5"/>
  <cols>
    <col width="9.25" bestFit="1" customWidth="1" style="161" min="16" max="16"/>
    <col width="9.125" bestFit="1" customWidth="1" style="161" min="17" max="17"/>
    <col width="9.5" bestFit="1" customWidth="1" style="161" min="24" max="24"/>
    <col width="9.25" bestFit="1" customWidth="1" style="161" min="25" max="25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A2" s="0" t="inlineStr">
        <is>
          <t>New</t>
        </is>
      </c>
      <c r="B2" s="0" t="inlineStr">
        <is>
          <t>Item</t>
        </is>
      </c>
      <c r="C2" s="0" t="inlineStr">
        <is>
          <t>Acquired</t>
        </is>
      </c>
      <c r="D2" s="0" t="inlineStr">
        <is>
          <t>:</t>
        </is>
      </c>
      <c r="E2" s="0" t="inlineStr">
        <is>
          <t>45.00K</t>
        </is>
      </c>
      <c r="F2" s="0" t="inlineStr">
        <is>
          <t>(3,</t>
        </is>
      </c>
      <c r="G2" s="0" t="inlineStr">
        <is>
          <t>17)</t>
        </is>
      </c>
      <c r="K2" s="0">
        <f>IF(H1="1)",1,IF(H1="2)",2,IF(H1="3)",3,IF(H1="4)",4,IF(H1="5)",5,IF(H1="6)",6,IF(H1="7)",7,IF(H1="8)",8,0))))))))</f>
        <v/>
      </c>
      <c r="L2" s="0">
        <f>IF(H1="1)",J1,IF(H1="2)",J1,IF(H1="3)",J1,IF(H1="4)",J1,IF(H1="5)",J1,IF(H1="6)",J1,IF(H1="7)",J1,IF(H1="8)",J1,0))))))))</f>
        <v/>
      </c>
      <c r="N2" s="0" t="inlineStr">
        <is>
          <t>Bingo Level</t>
        </is>
      </c>
      <c r="O2" s="0" t="inlineStr">
        <is>
          <t>Win Count</t>
        </is>
      </c>
      <c r="P2" s="0" t="inlineStr">
        <is>
          <t>Total Prize Amount</t>
        </is>
      </c>
      <c r="Q2" s="0" t="inlineStr">
        <is>
          <t>Average</t>
        </is>
      </c>
      <c r="S2" s="0" t="inlineStr">
        <is>
          <t>Bingo Level</t>
        </is>
      </c>
      <c r="T2" s="0" t="inlineStr">
        <is>
          <t>Win Count</t>
        </is>
      </c>
      <c r="U2" s="0" t="inlineStr">
        <is>
          <t>Total Prize Amount</t>
        </is>
      </c>
      <c r="V2" s="0" t="inlineStr">
        <is>
          <t>Average</t>
        </is>
      </c>
    </row>
    <row r="3">
      <c r="A3" s="0" t="inlineStr">
        <is>
          <t>New</t>
        </is>
      </c>
      <c r="B3" s="0" t="inlineStr">
        <is>
          <t>Item</t>
        </is>
      </c>
      <c r="C3" s="0" t="inlineStr">
        <is>
          <t>Acquired</t>
        </is>
      </c>
      <c r="D3" s="0" t="inlineStr">
        <is>
          <t>:</t>
        </is>
      </c>
      <c r="E3" s="0" t="inlineStr">
        <is>
          <t>175.00K</t>
        </is>
      </c>
      <c r="F3" s="0" t="inlineStr">
        <is>
          <t>(6,</t>
        </is>
      </c>
      <c r="G3" s="0" t="inlineStr">
        <is>
          <t>19)</t>
        </is>
      </c>
      <c r="K3" s="0">
        <f>IF(H2="1)",1,IF(H2="2)",2,IF(H2="3)",3,IF(H2="4)",4,IF(H2="5)",5,IF(H2="6)",6,IF(H2="7)",7,IF(H2="8)",8,0))))))))</f>
        <v/>
      </c>
      <c r="L3" s="0">
        <f>IF(H2="1)",J2,IF(H2="2)",J2,IF(H2="3)",J2,IF(H2="4)",J2,IF(H2="5)",J2,IF(H2="6)",J2,IF(H2="7)",J2,IF(H2="8)",J2,0))))))))</f>
        <v/>
      </c>
      <c r="N3" s="0" t="n">
        <v>1</v>
      </c>
      <c r="O3" s="0">
        <f>COUNTIFS(K:K,N2)</f>
        <v/>
      </c>
      <c r="P3" s="2">
        <f>SUMIFS(L:L,K:K,N2)</f>
        <v/>
      </c>
      <c r="Q3" s="2">
        <f>P2/O2</f>
        <v/>
      </c>
      <c r="S3" s="0" t="n">
        <v>1</v>
      </c>
      <c r="T3" s="0" t="n">
        <v>24</v>
      </c>
      <c r="U3" s="0" t="n">
        <v>10290000</v>
      </c>
      <c r="V3" s="0" t="n">
        <v>428750</v>
      </c>
      <c r="Y3" s="2" t="n"/>
    </row>
    <row r="4">
      <c r="A4" s="0" t="inlineStr">
        <is>
          <t>New</t>
        </is>
      </c>
      <c r="B4" s="0" t="inlineStr">
        <is>
          <t>Item</t>
        </is>
      </c>
      <c r="C4" s="0" t="inlineStr">
        <is>
          <t>Acquired</t>
        </is>
      </c>
      <c r="D4" s="0" t="inlineStr">
        <is>
          <t>:</t>
        </is>
      </c>
      <c r="E4" s="0" t="inlineStr">
        <is>
          <t>Minor</t>
        </is>
      </c>
      <c r="F4" s="0" t="inlineStr">
        <is>
          <t>(3,</t>
        </is>
      </c>
      <c r="G4" s="0" t="inlineStr">
        <is>
          <t>25)</t>
        </is>
      </c>
      <c r="K4" s="0">
        <f>IF(H3="1)",1,IF(H3="2)",2,IF(H3="3)",3,IF(H3="4)",4,IF(H3="5)",5,IF(H3="6)",6,IF(H3="7)",7,IF(H3="8)",8,0))))))))</f>
        <v/>
      </c>
      <c r="L4" s="0">
        <f>IF(H3="1)",J3,IF(H3="2)",J3,IF(H3="3)",J3,IF(H3="4)",J3,IF(H3="5)",J3,IF(H3="6)",J3,IF(H3="7)",J3,IF(H3="8)",J3,0))))))))</f>
        <v/>
      </c>
      <c r="N4" s="0" t="n">
        <v>2</v>
      </c>
      <c r="O4" s="0">
        <f>COUNTIFS(K:K,N3)</f>
        <v/>
      </c>
      <c r="P4" s="2">
        <f>SUMIFS(L:L,K:K,N3)</f>
        <v/>
      </c>
      <c r="Q4" s="2">
        <f>P3/O3</f>
        <v/>
      </c>
      <c r="S4" s="0" t="n">
        <v>2</v>
      </c>
      <c r="T4" s="0" t="n">
        <v>10</v>
      </c>
      <c r="U4" s="0" t="n">
        <v>6960000</v>
      </c>
      <c r="V4" s="0" t="n">
        <v>696000</v>
      </c>
      <c r="Y4" s="2" t="n"/>
    </row>
    <row r="5">
      <c r="A5" s="0" t="inlineStr">
        <is>
          <t>New</t>
        </is>
      </c>
      <c r="B5" s="0" t="inlineStr">
        <is>
          <t>Item</t>
        </is>
      </c>
      <c r="C5" s="0" t="inlineStr">
        <is>
          <t>Acquired</t>
        </is>
      </c>
      <c r="D5" s="0" t="inlineStr">
        <is>
          <t>:</t>
        </is>
      </c>
      <c r="E5" s="0" t="inlineStr">
        <is>
          <t>Minor</t>
        </is>
      </c>
      <c r="F5" s="0" t="inlineStr">
        <is>
          <t>(6,</t>
        </is>
      </c>
      <c r="G5" s="0" t="inlineStr">
        <is>
          <t>10)</t>
        </is>
      </c>
      <c r="K5" s="0">
        <f>IF(H4="1)",1,IF(H4="2)",2,IF(H4="3)",3,IF(H4="4)",4,IF(H4="5)",5,IF(H4="6)",6,IF(H4="7)",7,IF(H4="8)",8,0))))))))</f>
        <v/>
      </c>
      <c r="L5" s="0">
        <f>IF(H4="1)",J4,IF(H4="2)",J4,IF(H4="3)",J4,IF(H4="4)",J4,IF(H4="5)",J4,IF(H4="6)",J4,IF(H4="7)",J4,IF(H4="8)",J4,0))))))))</f>
        <v/>
      </c>
      <c r="N5" s="0" t="n">
        <v>3</v>
      </c>
      <c r="O5" s="0">
        <f>COUNTIFS(K:K,N4)</f>
        <v/>
      </c>
      <c r="P5" s="2">
        <f>SUMIFS(L:L,K:K,N4)</f>
        <v/>
      </c>
      <c r="Q5" s="2">
        <f>P4/O4</f>
        <v/>
      </c>
      <c r="S5" s="0" t="n">
        <v>3</v>
      </c>
      <c r="T5" s="0" t="n">
        <v>11</v>
      </c>
      <c r="U5" s="0" t="n">
        <v>12540000</v>
      </c>
      <c r="V5" s="0" t="n">
        <v>1140000</v>
      </c>
      <c r="Y5" s="2" t="n"/>
    </row>
    <row r="6">
      <c r="A6" s="0" t="inlineStr">
        <is>
          <t>New</t>
        </is>
      </c>
      <c r="B6" s="0" t="inlineStr">
        <is>
          <t>Item</t>
        </is>
      </c>
      <c r="C6" s="0" t="inlineStr">
        <is>
          <t>Acquired</t>
        </is>
      </c>
      <c r="D6" s="0" t="inlineStr">
        <is>
          <t>:</t>
        </is>
      </c>
      <c r="E6" s="0" t="inlineStr">
        <is>
          <t>30.00K</t>
        </is>
      </c>
      <c r="F6" s="0" t="inlineStr">
        <is>
          <t>(1,</t>
        </is>
      </c>
      <c r="G6" s="0" t="inlineStr">
        <is>
          <t>3)</t>
        </is>
      </c>
      <c r="K6" s="0">
        <f>IF(H5="1)",1,IF(H5="2)",2,IF(H5="3)",3,IF(H5="4)",4,IF(H5="5)",5,IF(H5="6)",6,IF(H5="7)",7,IF(H5="8)",8,0))))))))</f>
        <v/>
      </c>
      <c r="L6" s="0">
        <f>IF(H5="1)",J5,IF(H5="2)",J5,IF(H5="3)",J5,IF(H5="4)",J5,IF(H5="5)",J5,IF(H5="6)",J5,IF(H5="7)",J5,IF(H5="8)",J5,0))))))))</f>
        <v/>
      </c>
      <c r="N6" s="0" t="n">
        <v>4</v>
      </c>
      <c r="O6" s="0">
        <f>COUNTIFS(K:K,N5)</f>
        <v/>
      </c>
      <c r="P6" s="2">
        <f>SUMIFS(L:L,K:K,N5)</f>
        <v/>
      </c>
      <c r="Q6" s="2">
        <f>P5/O5</f>
        <v/>
      </c>
      <c r="S6" s="0" t="n">
        <v>4</v>
      </c>
      <c r="T6" s="0" t="n">
        <v>7</v>
      </c>
      <c r="U6" s="0" t="n">
        <v>9680000</v>
      </c>
      <c r="V6" s="0" t="n">
        <v>1382857.142857143</v>
      </c>
      <c r="Y6" s="2" t="n"/>
    </row>
    <row r="7">
      <c r="A7" s="0" t="inlineStr">
        <is>
          <t>New</t>
        </is>
      </c>
      <c r="B7" s="0" t="inlineStr">
        <is>
          <t>Item</t>
        </is>
      </c>
      <c r="C7" s="0" t="inlineStr">
        <is>
          <t>Acquired</t>
        </is>
      </c>
      <c r="D7" s="0" t="inlineStr">
        <is>
          <t>:</t>
        </is>
      </c>
      <c r="E7" s="0" t="inlineStr">
        <is>
          <t>67.50K</t>
        </is>
      </c>
      <c r="F7" s="0" t="inlineStr">
        <is>
          <t>(5,</t>
        </is>
      </c>
      <c r="G7" s="0" t="inlineStr">
        <is>
          <t>8)</t>
        </is>
      </c>
      <c r="K7" s="0">
        <f>IF(H6="1)",1,IF(H6="2)",2,IF(H6="3)",3,IF(H6="4)",4,IF(H6="5)",5,IF(H6="6)",6,IF(H6="7)",7,IF(H6="8)",8,0))))))))</f>
        <v/>
      </c>
      <c r="L7" s="0">
        <f>IF(H6="1)",J6,IF(H6="2)",J6,IF(H6="3)",J6,IF(H6="4)",J6,IF(H6="5)",J6,IF(H6="6)",J6,IF(H6="7)",J6,IF(H6="8)",J6,0))))))))</f>
        <v/>
      </c>
      <c r="N7" s="0" t="n">
        <v>5</v>
      </c>
      <c r="O7" s="0">
        <f>COUNTIFS(K:K,N6)</f>
        <v/>
      </c>
      <c r="P7" s="2">
        <f>SUMIFS(L:L,K:K,N6)</f>
        <v/>
      </c>
      <c r="Q7" s="2">
        <f>P6/O6</f>
        <v/>
      </c>
      <c r="S7" s="0" t="n">
        <v>5</v>
      </c>
      <c r="T7" s="0" t="n">
        <v>14</v>
      </c>
      <c r="U7" s="0" t="n">
        <v>36650000</v>
      </c>
      <c r="V7" s="0" t="n">
        <v>2617857.142857143</v>
      </c>
      <c r="Y7" s="2" t="n"/>
    </row>
    <row r="8">
      <c r="A8" s="0" t="inlineStr">
        <is>
          <t>New</t>
        </is>
      </c>
      <c r="B8" s="0" t="inlineStr">
        <is>
          <t>Item</t>
        </is>
      </c>
      <c r="C8" s="0" t="inlineStr">
        <is>
          <t>Acquired</t>
        </is>
      </c>
      <c r="D8" s="0" t="inlineStr">
        <is>
          <t>:</t>
        </is>
      </c>
      <c r="E8" s="0" t="inlineStr">
        <is>
          <t>45.00K</t>
        </is>
      </c>
      <c r="F8" s="0" t="inlineStr">
        <is>
          <t>(3,</t>
        </is>
      </c>
      <c r="G8" s="0" t="inlineStr">
        <is>
          <t>7)</t>
        </is>
      </c>
      <c r="K8" s="0">
        <f>IF(H7="1)",1,IF(H7="2)",2,IF(H7="3)",3,IF(H7="4)",4,IF(H7="5)",5,IF(H7="6)",6,IF(H7="7)",7,IF(H7="8)",8,0))))))))</f>
        <v/>
      </c>
      <c r="L8" s="0">
        <f>IF(H7="1)",J7,IF(H7="2)",J7,IF(H7="3)",J7,IF(H7="4)",J7,IF(H7="5)",J7,IF(H7="6)",J7,IF(H7="7)",J7,IF(H7="8)",J7,0))))))))</f>
        <v/>
      </c>
      <c r="N8" s="0" t="n">
        <v>6</v>
      </c>
      <c r="O8" s="0">
        <f>COUNTIFS(K:K,N7)</f>
        <v/>
      </c>
      <c r="P8" s="2">
        <f>SUMIFS(L:L,K:K,N7)</f>
        <v/>
      </c>
      <c r="Q8" s="2">
        <f>P7/O7</f>
        <v/>
      </c>
      <c r="S8" s="0" t="n">
        <v>6</v>
      </c>
      <c r="T8" s="0" t="n">
        <v>12</v>
      </c>
      <c r="U8" s="0" t="n">
        <v>25200000</v>
      </c>
      <c r="V8" s="0" t="n">
        <v>2100000</v>
      </c>
      <c r="Y8" s="2" t="n"/>
    </row>
    <row r="9">
      <c r="A9" s="0" t="inlineStr">
        <is>
          <t>New</t>
        </is>
      </c>
      <c r="B9" s="0" t="inlineStr">
        <is>
          <t>Item</t>
        </is>
      </c>
      <c r="C9" s="0" t="inlineStr">
        <is>
          <t>Acquired</t>
        </is>
      </c>
      <c r="D9" s="0" t="inlineStr">
        <is>
          <t>:</t>
        </is>
      </c>
      <c r="E9" s="0" t="inlineStr">
        <is>
          <t>125.00K</t>
        </is>
      </c>
      <c r="F9" s="0" t="inlineStr">
        <is>
          <t>(6,</t>
        </is>
      </c>
      <c r="G9" s="0" t="inlineStr">
        <is>
          <t>17)</t>
        </is>
      </c>
      <c r="K9" s="0">
        <f>IF(H8="1)",1,IF(H8="2)",2,IF(H8="3)",3,IF(H8="4)",4,IF(H8="5)",5,IF(H8="6)",6,IF(H8="7)",7,IF(H8="8)",8,0))))))))</f>
        <v/>
      </c>
      <c r="L9" s="0">
        <f>IF(H8="1)",J8,IF(H8="2)",J8,IF(H8="3)",J8,IF(H8="4)",J8,IF(H8="5)",J8,IF(H8="6)",J8,IF(H8="7)",J8,IF(H8="8)",J8,0))))))))</f>
        <v/>
      </c>
      <c r="N9" s="0" t="n">
        <v>7</v>
      </c>
      <c r="O9" s="0">
        <f>COUNTIFS(K:K,N8)</f>
        <v/>
      </c>
      <c r="P9" s="2">
        <f>SUMIFS(L:L,K:K,N8)</f>
        <v/>
      </c>
      <c r="Q9" s="2">
        <f>P8/O8</f>
        <v/>
      </c>
      <c r="S9" s="0" t="n">
        <v>7</v>
      </c>
      <c r="T9" s="0" t="n">
        <v>12</v>
      </c>
      <c r="U9" s="0" t="n">
        <v>34510000</v>
      </c>
      <c r="V9" s="0" t="n">
        <v>2875833.333333333</v>
      </c>
      <c r="Y9" s="2" t="n"/>
    </row>
    <row r="10">
      <c r="A10" s="0" t="inlineStr">
        <is>
          <t>New</t>
        </is>
      </c>
      <c r="B10" s="0" t="inlineStr">
        <is>
          <t>Item</t>
        </is>
      </c>
      <c r="C10" s="0" t="inlineStr">
        <is>
          <t>Acquired</t>
        </is>
      </c>
      <c r="D10" s="0" t="inlineStr">
        <is>
          <t>:</t>
        </is>
      </c>
      <c r="E10" s="0" t="inlineStr">
        <is>
          <t>Mega</t>
        </is>
      </c>
      <c r="F10" s="0" t="inlineStr">
        <is>
          <t>(8,</t>
        </is>
      </c>
      <c r="G10" s="0" t="inlineStr">
        <is>
          <t>15)</t>
        </is>
      </c>
      <c r="K10" s="0">
        <f>IF(H9="1)",1,IF(H9="2)",2,IF(H9="3)",3,IF(H9="4)",4,IF(H9="5)",5,IF(H9="6)",6,IF(H9="7)",7,IF(H9="8)",8,0))))))))</f>
        <v/>
      </c>
      <c r="L10" s="0">
        <f>IF(H9="1)",J9,IF(H9="2)",J9,IF(H9="3)",J9,IF(H9="4)",J9,IF(H9="5)",J9,IF(H9="6)",J9,IF(H9="7)",J9,IF(H9="8)",J9,0))))))))</f>
        <v/>
      </c>
      <c r="N10" s="0" t="n">
        <v>8</v>
      </c>
      <c r="O10" s="0">
        <f>COUNTIFS(K:K,N9)</f>
        <v/>
      </c>
      <c r="P10" s="2">
        <f>SUMIFS(L:L,K:K,N9)</f>
        <v/>
      </c>
      <c r="Q10" s="2">
        <f>P9/O9</f>
        <v/>
      </c>
      <c r="S10" s="0" t="n">
        <v>8</v>
      </c>
      <c r="T10" s="0" t="n">
        <v>16</v>
      </c>
      <c r="U10" s="0" t="n">
        <v>57600000</v>
      </c>
      <c r="V10" s="0" t="n">
        <v>3600000</v>
      </c>
      <c r="Y10" s="2" t="n"/>
    </row>
    <row r="11">
      <c r="A11" s="0" t="inlineStr">
        <is>
          <t>New</t>
        </is>
      </c>
      <c r="B11" s="0" t="inlineStr">
        <is>
          <t>Item</t>
        </is>
      </c>
      <c r="C11" s="0" t="inlineStr">
        <is>
          <t>Acquired</t>
        </is>
      </c>
      <c r="D11" s="0" t="inlineStr">
        <is>
          <t>:</t>
        </is>
      </c>
      <c r="E11" s="0" t="inlineStr">
        <is>
          <t>Major</t>
        </is>
      </c>
      <c r="F11" s="0" t="inlineStr">
        <is>
          <t>(4,</t>
        </is>
      </c>
      <c r="G11" s="0" t="inlineStr">
        <is>
          <t>12)</t>
        </is>
      </c>
      <c r="K11" s="0">
        <f>IF(H10="1)",1,IF(H10="2)",2,IF(H10="3)",3,IF(H10="4)",4,IF(H10="5)",5,IF(H10="6)",6,IF(H10="7)",7,IF(H10="8)",8,0))))))))</f>
        <v/>
      </c>
      <c r="L11" s="0">
        <f>IF(H10="1)",J10,IF(H10="2)",J10,IF(H10="3)",J10,IF(H10="4)",J10,IF(H10="5)",J10,IF(H10="6)",J10,IF(H10="7)",J10,IF(H10="8)",J10,0))))))))</f>
        <v/>
      </c>
    </row>
    <row r="12">
      <c r="A12" s="0" t="inlineStr">
        <is>
          <t>New</t>
        </is>
      </c>
      <c r="B12" s="0" t="inlineStr">
        <is>
          <t>Item</t>
        </is>
      </c>
      <c r="C12" s="0" t="inlineStr">
        <is>
          <t>Acquired</t>
        </is>
      </c>
      <c r="D12" s="0" t="inlineStr">
        <is>
          <t>:</t>
        </is>
      </c>
      <c r="E12" s="0" t="inlineStr">
        <is>
          <t>105.00K</t>
        </is>
      </c>
      <c r="F12" s="0" t="inlineStr">
        <is>
          <t>(3,</t>
        </is>
      </c>
      <c r="G12" s="0" t="inlineStr">
        <is>
          <t>14)</t>
        </is>
      </c>
      <c r="K12" s="0">
        <f>IF(H11="1)",1,IF(H11="2)",2,IF(H11="3)",3,IF(H11="4)",4,IF(H11="5)",5,IF(H11="6)",6,IF(H11="7)",7,IF(H11="8)",8,0))))))))</f>
        <v/>
      </c>
      <c r="L12" s="0">
        <f>IF(H11="1)",J11,IF(H11="2)",J11,IF(H11="3)",J11,IF(H11="4)",J11,IF(H11="5)",J11,IF(H11="6)",J11,IF(H11="7)",J11,IF(H11="8)",J11,0))))))))</f>
        <v/>
      </c>
    </row>
    <row r="13">
      <c r="A13" s="0" t="inlineStr">
        <is>
          <t>New</t>
        </is>
      </c>
      <c r="B13" s="0" t="inlineStr">
        <is>
          <t>Item</t>
        </is>
      </c>
      <c r="C13" s="0" t="inlineStr">
        <is>
          <t>Acquired</t>
        </is>
      </c>
      <c r="D13" s="0" t="inlineStr">
        <is>
          <t>:</t>
        </is>
      </c>
      <c r="E13" s="0" t="inlineStr">
        <is>
          <t>67.50K</t>
        </is>
      </c>
      <c r="F13" s="0" t="inlineStr">
        <is>
          <t>(5,</t>
        </is>
      </c>
      <c r="G13" s="0" t="inlineStr">
        <is>
          <t>15)</t>
        </is>
      </c>
      <c r="K13" s="0">
        <f>IF(H12="1)",1,IF(H12="2)",2,IF(H12="3)",3,IF(H12="4)",4,IF(H12="5)",5,IF(H12="6)",6,IF(H12="7)",7,IF(H12="8)",8,0))))))))</f>
        <v/>
      </c>
      <c r="L13" s="0">
        <f>IF(H12="1)",J12,IF(H12="2)",J12,IF(H12="3)",J12,IF(H12="4)",J12,IF(H12="5)",J12,IF(H12="6)",J12,IF(H12="7)",J12,IF(H12="8)",J12,0))))))))</f>
        <v/>
      </c>
    </row>
    <row r="14">
      <c r="A14" s="0" t="inlineStr">
        <is>
          <t>New</t>
        </is>
      </c>
      <c r="B14" s="0" t="inlineStr">
        <is>
          <t>Item</t>
        </is>
      </c>
      <c r="C14" s="0" t="inlineStr">
        <is>
          <t>Acquired</t>
        </is>
      </c>
      <c r="D14" s="0" t="inlineStr">
        <is>
          <t>:</t>
        </is>
      </c>
      <c r="E14" s="0" t="inlineStr">
        <is>
          <t>62.50K</t>
        </is>
      </c>
      <c r="F14" s="0" t="inlineStr">
        <is>
          <t>(2,</t>
        </is>
      </c>
      <c r="G14" s="0" t="inlineStr">
        <is>
          <t>19)</t>
        </is>
      </c>
      <c r="K14" s="0">
        <f>IF(H13="1)",1,IF(H13="2)",2,IF(H13="3)",3,IF(H13="4)",4,IF(H13="5)",5,IF(H13="6)",6,IF(H13="7)",7,IF(H13="8)",8,0))))))))</f>
        <v/>
      </c>
      <c r="L14" s="0">
        <f>IF(H13="1)",J13,IF(H13="2)",J13,IF(H13="3)",J13,IF(H13="4)",J13,IF(H13="5)",J13,IF(H13="6)",J13,IF(H13="7)",J13,IF(H13="8)",J13,0))))))))</f>
        <v/>
      </c>
    </row>
    <row r="15">
      <c r="A15" s="0" t="inlineStr">
        <is>
          <t>New</t>
        </is>
      </c>
      <c r="B15" s="0" t="inlineStr">
        <is>
          <t>Item</t>
        </is>
      </c>
      <c r="C15" s="0" t="inlineStr">
        <is>
          <t>Acquired</t>
        </is>
      </c>
      <c r="D15" s="0" t="inlineStr">
        <is>
          <t>:</t>
        </is>
      </c>
      <c r="E15" s="0" t="inlineStr">
        <is>
          <t>67.50K</t>
        </is>
      </c>
      <c r="F15" s="0" t="inlineStr">
        <is>
          <t>(5,</t>
        </is>
      </c>
      <c r="G15" s="0" t="inlineStr">
        <is>
          <t>2)</t>
        </is>
      </c>
      <c r="K15" s="0">
        <f>IF(H14="1)",1,IF(H14="2)",2,IF(H14="3)",3,IF(H14="4)",4,IF(H14="5)",5,IF(H14="6)",6,IF(H14="7)",7,IF(H14="8)",8,0))))))))</f>
        <v/>
      </c>
      <c r="L15" s="0">
        <f>IF(H14="1)",J14,IF(H14="2)",J14,IF(H14="3)",J14,IF(H14="4)",J14,IF(H14="5)",J14,IF(H14="6)",J14,IF(H14="7)",J14,IF(H14="8)",J14,0))))))))</f>
        <v/>
      </c>
    </row>
    <row r="16">
      <c r="A16" s="0" t="inlineStr">
        <is>
          <t>New</t>
        </is>
      </c>
      <c r="B16" s="0" t="inlineStr">
        <is>
          <t>Item</t>
        </is>
      </c>
      <c r="C16" s="0" t="inlineStr">
        <is>
          <t>Acquired</t>
        </is>
      </c>
      <c r="D16" s="0" t="inlineStr">
        <is>
          <t>:</t>
        </is>
      </c>
      <c r="E16" s="0" t="inlineStr">
        <is>
          <t>125.00K</t>
        </is>
      </c>
      <c r="F16" s="0" t="inlineStr">
        <is>
          <t>(6,</t>
        </is>
      </c>
      <c r="G16" s="0" t="inlineStr">
        <is>
          <t>12)</t>
        </is>
      </c>
      <c r="K16" s="0">
        <f>IF(H15="1)",1,IF(H15="2)",2,IF(H15="3)",3,IF(H15="4)",4,IF(H15="5)",5,IF(H15="6)",6,IF(H15="7)",7,IF(H15="8)",8,0))))))))</f>
        <v/>
      </c>
      <c r="L16" s="0">
        <f>IF(H15="1)",J15,IF(H15="2)",J15,IF(H15="3)",J15,IF(H15="4)",J15,IF(H15="5)",J15,IF(H15="6)",J15,IF(H15="7)",J15,IF(H15="8)",J15,0))))))))</f>
        <v/>
      </c>
    </row>
    <row r="17">
      <c r="A17" s="0" t="inlineStr">
        <is>
          <t>New</t>
        </is>
      </c>
      <c r="B17" s="0" t="inlineStr">
        <is>
          <t>Item</t>
        </is>
      </c>
      <c r="C17" s="0" t="inlineStr">
        <is>
          <t>Acquired</t>
        </is>
      </c>
      <c r="D17" s="0" t="inlineStr">
        <is>
          <t>:</t>
        </is>
      </c>
      <c r="E17" s="0" t="inlineStr">
        <is>
          <t>30.00K</t>
        </is>
      </c>
      <c r="F17" s="0" t="inlineStr">
        <is>
          <t>(1,</t>
        </is>
      </c>
      <c r="G17" s="0" t="inlineStr">
        <is>
          <t>6)</t>
        </is>
      </c>
      <c r="K17" s="0">
        <f>IF(H16="1)",1,IF(H16="2)",2,IF(H16="3)",3,IF(H16="4)",4,IF(H16="5)",5,IF(H16="6)",6,IF(H16="7)",7,IF(H16="8)",8,0))))))))</f>
        <v/>
      </c>
      <c r="L17" s="0">
        <f>IF(H16="1)",J16,IF(H16="2)",J16,IF(H16="3)",J16,IF(H16="4)",J16,IF(H16="5)",J16,IF(H16="6)",J16,IF(H16="7)",J16,IF(H16="8)",J16,0))))))))</f>
        <v/>
      </c>
    </row>
    <row r="18">
      <c r="A18" s="0" t="inlineStr">
        <is>
          <t>New</t>
        </is>
      </c>
      <c r="B18" s="0" t="inlineStr">
        <is>
          <t>Item</t>
        </is>
      </c>
      <c r="C18" s="0" t="inlineStr">
        <is>
          <t>Acquired</t>
        </is>
      </c>
      <c r="D18" s="0" t="inlineStr">
        <is>
          <t>:</t>
        </is>
      </c>
      <c r="E18" s="0" t="inlineStr">
        <is>
          <t>90.00K</t>
        </is>
      </c>
      <c r="F18" s="0" t="inlineStr">
        <is>
          <t>(7,</t>
        </is>
      </c>
      <c r="G18" s="0" t="inlineStr">
        <is>
          <t>17)</t>
        </is>
      </c>
      <c r="K18" s="0">
        <f>IF(H17="1)",1,IF(H17="2)",2,IF(H17="3)",3,IF(H17="4)",4,IF(H17="5)",5,IF(H17="6)",6,IF(H17="7)",7,IF(H17="8)",8,0))))))))</f>
        <v/>
      </c>
      <c r="L18" s="0">
        <f>IF(H17="1)",J17,IF(H17="2)",J17,IF(H17="3)",J17,IF(H17="4)",J17,IF(H17="5)",J17,IF(H17="6)",J17,IF(H17="7)",J17,IF(H17="8)",J17,0))))))))</f>
        <v/>
      </c>
    </row>
    <row r="19">
      <c r="A19" s="0" t="inlineStr">
        <is>
          <t>New</t>
        </is>
      </c>
      <c r="B19" s="0" t="inlineStr">
        <is>
          <t>Item</t>
        </is>
      </c>
      <c r="C19" s="0" t="inlineStr">
        <is>
          <t>Acquired</t>
        </is>
      </c>
      <c r="D19" s="0" t="inlineStr">
        <is>
          <t>:</t>
        </is>
      </c>
      <c r="E19" s="0" t="inlineStr">
        <is>
          <t>90.00K</t>
        </is>
      </c>
      <c r="F19" s="0" t="inlineStr">
        <is>
          <t>(7,</t>
        </is>
      </c>
      <c r="G19" s="0" t="inlineStr">
        <is>
          <t>23)</t>
        </is>
      </c>
      <c r="K19" s="0">
        <f>IF(H18="1)",1,IF(H18="2)",2,IF(H18="3)",3,IF(H18="4)",4,IF(H18="5)",5,IF(H18="6)",6,IF(H18="7)",7,IF(H18="8)",8,0))))))))</f>
        <v/>
      </c>
      <c r="L19" s="0">
        <f>IF(H18="1)",J18,IF(H18="2)",J18,IF(H18="3)",J18,IF(H18="4)",J18,IF(H18="5)",J18,IF(H18="6)",J18,IF(H18="7)",J18,IF(H18="8)",J18,0))))))))</f>
        <v/>
      </c>
    </row>
    <row r="20">
      <c r="A20" s="0" t="inlineStr">
        <is>
          <t>New</t>
        </is>
      </c>
      <c r="B20" s="0" t="inlineStr">
        <is>
          <t>Item</t>
        </is>
      </c>
      <c r="C20" s="0" t="inlineStr">
        <is>
          <t>Acquired</t>
        </is>
      </c>
      <c r="D20" s="0" t="inlineStr">
        <is>
          <t>:</t>
        </is>
      </c>
      <c r="E20" s="0" t="inlineStr">
        <is>
          <t>120.00K</t>
        </is>
      </c>
      <c r="F20" s="0" t="inlineStr">
        <is>
          <t>(8,</t>
        </is>
      </c>
      <c r="G20" s="0" t="inlineStr">
        <is>
          <t>12)</t>
        </is>
      </c>
      <c r="K20" s="0">
        <f>IF(H19="1)",1,IF(H19="2)",2,IF(H19="3)",3,IF(H19="4)",4,IF(H19="5)",5,IF(H19="6)",6,IF(H19="7)",7,IF(H19="8)",8,0))))))))</f>
        <v/>
      </c>
      <c r="L20" s="0">
        <f>IF(H19="1)",J19,IF(H19="2)",J19,IF(H19="3)",J19,IF(H19="4)",J19,IF(H19="5)",J19,IF(H19="6)",J19,IF(H19="7)",J19,IF(H19="8)",J19,0))))))))</f>
        <v/>
      </c>
    </row>
    <row r="21">
      <c r="A21" s="0" t="inlineStr">
        <is>
          <t>New</t>
        </is>
      </c>
      <c r="B21" s="0" t="inlineStr">
        <is>
          <t>Item</t>
        </is>
      </c>
      <c r="C21" s="0" t="inlineStr">
        <is>
          <t>Acquired</t>
        </is>
      </c>
      <c r="D21" s="0" t="inlineStr">
        <is>
          <t>:</t>
        </is>
      </c>
      <c r="E21" s="0" t="inlineStr">
        <is>
          <t>37.50K</t>
        </is>
      </c>
      <c r="F21" s="0" t="inlineStr">
        <is>
          <t>(2,</t>
        </is>
      </c>
      <c r="G21" s="0" t="inlineStr">
        <is>
          <t>18)</t>
        </is>
      </c>
      <c r="K21" s="0">
        <f>IF(H20="1)",1,IF(H20="2)",2,IF(H20="3)",3,IF(H20="4)",4,IF(H20="5)",5,IF(H20="6)",6,IF(H20="7)",7,IF(H20="8)",8,0))))))))</f>
        <v/>
      </c>
      <c r="L21" s="0">
        <f>IF(H20="1)",J20,IF(H20="2)",J20,IF(H20="3)",J20,IF(H20="4)",J20,IF(H20="5)",J20,IF(H20="6)",J20,IF(H20="7)",J20,IF(H20="8)",J20,0))))))))</f>
        <v/>
      </c>
    </row>
    <row r="22">
      <c r="A22" s="0" t="inlineStr">
        <is>
          <t>New</t>
        </is>
      </c>
      <c r="B22" s="0" t="inlineStr">
        <is>
          <t>Item</t>
        </is>
      </c>
      <c r="C22" s="0" t="inlineStr">
        <is>
          <t>Acquired</t>
        </is>
      </c>
      <c r="D22" s="0" t="inlineStr">
        <is>
          <t>:</t>
        </is>
      </c>
      <c r="E22" s="0" t="inlineStr">
        <is>
          <t>112.50K</t>
        </is>
      </c>
      <c r="F22" s="0" t="inlineStr">
        <is>
          <t>(5,</t>
        </is>
      </c>
      <c r="G22" s="0" t="inlineStr">
        <is>
          <t>11)</t>
        </is>
      </c>
      <c r="K22" s="0">
        <f>IF(H21="1)",1,IF(H21="2)",2,IF(H21="3)",3,IF(H21="4)",4,IF(H21="5)",5,IF(H21="6)",6,IF(H21="7)",7,IF(H21="8)",8,0))))))))</f>
        <v/>
      </c>
      <c r="L22" s="0">
        <f>IF(H21="1)",J21,IF(H21="2)",J21,IF(H21="3)",J21,IF(H21="4)",J21,IF(H21="5)",J21,IF(H21="6)",J21,IF(H21="7)",J21,IF(H21="8)",J21,0))))))))</f>
        <v/>
      </c>
    </row>
    <row r="23">
      <c r="A23" s="0" t="inlineStr">
        <is>
          <t>New</t>
        </is>
      </c>
      <c r="B23" s="0" t="inlineStr">
        <is>
          <t>Item</t>
        </is>
      </c>
      <c r="C23" s="0" t="inlineStr">
        <is>
          <t>Acquired</t>
        </is>
      </c>
      <c r="D23" s="0" t="inlineStr">
        <is>
          <t>:</t>
        </is>
      </c>
      <c r="E23" s="0" t="inlineStr">
        <is>
          <t>37.50K</t>
        </is>
      </c>
      <c r="F23" s="0" t="inlineStr">
        <is>
          <t>(2,</t>
        </is>
      </c>
      <c r="G23" s="0" t="inlineStr">
        <is>
          <t>7)</t>
        </is>
      </c>
      <c r="K23" s="0">
        <f>IF(H22="1)",1,IF(H22="2)",2,IF(H22="3)",3,IF(H22="4)",4,IF(H22="5)",5,IF(H22="6)",6,IF(H22="7)",7,IF(H22="8)",8,0))))))))</f>
        <v/>
      </c>
      <c r="L23" s="0">
        <f>IF(H22="1)",J22,IF(H22="2)",J22,IF(H22="3)",J22,IF(H22="4)",J22,IF(H22="5)",J22,IF(H22="6)",J22,IF(H22="7)",J22,IF(H22="8)",J22,0))))))))</f>
        <v/>
      </c>
    </row>
    <row r="24">
      <c r="A24" s="0" t="inlineStr">
        <is>
          <t>New</t>
        </is>
      </c>
      <c r="B24" s="0" t="inlineStr">
        <is>
          <t>Item</t>
        </is>
      </c>
      <c r="C24" s="0" t="inlineStr">
        <is>
          <t>Acquired</t>
        </is>
      </c>
      <c r="D24" s="0" t="inlineStr">
        <is>
          <t>:</t>
        </is>
      </c>
      <c r="E24" s="0" t="inlineStr">
        <is>
          <t>75.00K</t>
        </is>
      </c>
      <c r="F24" s="0" t="inlineStr">
        <is>
          <t>(4,</t>
        </is>
      </c>
      <c r="G24" s="0" t="inlineStr">
        <is>
          <t>1)</t>
        </is>
      </c>
      <c r="K24" s="0">
        <f>IF(H23="1)",1,IF(H23="2)",2,IF(H23="3)",3,IF(H23="4)",4,IF(H23="5)",5,IF(H23="6)",6,IF(H23="7)",7,IF(H23="8)",8,0))))))))</f>
        <v/>
      </c>
      <c r="L24" s="0">
        <f>IF(H23="1)",J23,IF(H23="2)",J23,IF(H23="3)",J23,IF(H23="4)",J23,IF(H23="5)",J23,IF(H23="6)",J23,IF(H23="7)",J23,IF(H23="8)",J23,0))))))))</f>
        <v/>
      </c>
    </row>
    <row r="25">
      <c r="A25" s="0" t="inlineStr">
        <is>
          <t>New</t>
        </is>
      </c>
      <c r="B25" s="0" t="inlineStr">
        <is>
          <t>Item</t>
        </is>
      </c>
      <c r="C25" s="0" t="inlineStr">
        <is>
          <t>Acquired</t>
        </is>
      </c>
      <c r="D25" s="0" t="inlineStr">
        <is>
          <t>:</t>
        </is>
      </c>
      <c r="E25" s="0" t="inlineStr">
        <is>
          <t>60.00K</t>
        </is>
      </c>
      <c r="F25" s="0" t="inlineStr">
        <is>
          <t>(4,</t>
        </is>
      </c>
      <c r="G25" s="0" t="inlineStr">
        <is>
          <t>3)</t>
        </is>
      </c>
      <c r="K25" s="0">
        <f>IF(H24="1)",1,IF(H24="2)",2,IF(H24="3)",3,IF(H24="4)",4,IF(H24="5)",5,IF(H24="6)",6,IF(H24="7)",7,IF(H24="8)",8,0))))))))</f>
        <v/>
      </c>
      <c r="L25" s="0">
        <f>IF(H24="1)",J24,IF(H24="2)",J24,IF(H24="3)",J24,IF(H24="4)",J24,IF(H24="5)",J24,IF(H24="6)",J24,IF(H24="7)",J24,IF(H24="8)",J24,0))))))))</f>
        <v/>
      </c>
    </row>
    <row r="26">
      <c r="A26" s="0" t="inlineStr">
        <is>
          <t>New</t>
        </is>
      </c>
      <c r="B26" s="0" t="inlineStr">
        <is>
          <t>Item</t>
        </is>
      </c>
      <c r="C26" s="0" t="inlineStr">
        <is>
          <t>Acquired</t>
        </is>
      </c>
      <c r="D26" s="0" t="inlineStr">
        <is>
          <t>:</t>
        </is>
      </c>
      <c r="E26" s="0" t="inlineStr">
        <is>
          <t>60.00K</t>
        </is>
      </c>
      <c r="F26" s="0" t="inlineStr">
        <is>
          <t>(4,</t>
        </is>
      </c>
      <c r="G26" s="0" t="inlineStr">
        <is>
          <t>22)</t>
        </is>
      </c>
      <c r="K26" s="0">
        <f>IF(H25="1)",1,IF(H25="2)",2,IF(H25="3)",3,IF(H25="4)",4,IF(H25="5)",5,IF(H25="6)",6,IF(H25="7)",7,IF(H25="8)",8,0))))))))</f>
        <v/>
      </c>
      <c r="L26" s="0">
        <f>IF(H25="1)",J25,IF(H25="2)",J25,IF(H25="3)",J25,IF(H25="4)",J25,IF(H25="5)",J25,IF(H25="6)",J25,IF(H25="7)",J25,IF(H25="8)",J25,0))))))))</f>
        <v/>
      </c>
    </row>
    <row r="27">
      <c r="A27" s="0" t="inlineStr">
        <is>
          <t>New</t>
        </is>
      </c>
      <c r="B27" s="0" t="inlineStr">
        <is>
          <t>Item</t>
        </is>
      </c>
      <c r="C27" s="0" t="inlineStr">
        <is>
          <t>Acquired</t>
        </is>
      </c>
      <c r="D27" s="0" t="inlineStr">
        <is>
          <t>:</t>
        </is>
      </c>
      <c r="E27" s="0" t="inlineStr">
        <is>
          <t>30.00K</t>
        </is>
      </c>
      <c r="F27" s="0" t="inlineStr">
        <is>
          <t>(1,</t>
        </is>
      </c>
      <c r="G27" s="0" t="inlineStr">
        <is>
          <t>15)</t>
        </is>
      </c>
      <c r="K27" s="0">
        <f>IF(H26="1)",1,IF(H26="2)",2,IF(H26="3)",3,IF(H26="4)",4,IF(H26="5)",5,IF(H26="6)",6,IF(H26="7)",7,IF(H26="8)",8,0))))))))</f>
        <v/>
      </c>
      <c r="L27" s="0">
        <f>IF(H26="1)",J26,IF(H26="2)",J26,IF(H26="3)",J26,IF(H26="4)",J26,IF(H26="5)",J26,IF(H26="6)",J26,IF(H26="7)",J26,IF(H26="8)",J26,0))))))))</f>
        <v/>
      </c>
    </row>
    <row r="28">
      <c r="A28" s="0" t="inlineStr">
        <is>
          <t>New</t>
        </is>
      </c>
      <c r="B28" s="0" t="inlineStr">
        <is>
          <t>Item</t>
        </is>
      </c>
      <c r="C28" s="0" t="inlineStr">
        <is>
          <t>Acquired</t>
        </is>
      </c>
      <c r="D28" s="0" t="inlineStr">
        <is>
          <t>:</t>
        </is>
      </c>
      <c r="E28" s="0" t="inlineStr">
        <is>
          <t>67.50K</t>
        </is>
      </c>
      <c r="F28" s="0" t="inlineStr">
        <is>
          <t>(5,</t>
        </is>
      </c>
      <c r="G28" s="0" t="inlineStr">
        <is>
          <t>23)</t>
        </is>
      </c>
      <c r="K28" s="0">
        <f>IF(H27="1)",1,IF(H27="2)",2,IF(H27="3)",3,IF(H27="4)",4,IF(H27="5)",5,IF(H27="6)",6,IF(H27="7)",7,IF(H27="8)",8,0))))))))</f>
        <v/>
      </c>
      <c r="L28" s="0">
        <f>IF(H27="1)",J27,IF(H27="2)",J27,IF(H27="3)",J27,IF(H27="4)",J27,IF(H27="5)",J27,IF(H27="6)",J27,IF(H27="7)",J27,IF(H27="8)",J27,0))))))))</f>
        <v/>
      </c>
    </row>
    <row r="29">
      <c r="A29" s="0" t="inlineStr">
        <is>
          <t>New</t>
        </is>
      </c>
      <c r="B29" s="0" t="inlineStr">
        <is>
          <t>Item</t>
        </is>
      </c>
      <c r="C29" s="0" t="inlineStr">
        <is>
          <t>Acquired</t>
        </is>
      </c>
      <c r="D29" s="0" t="inlineStr">
        <is>
          <t>:</t>
        </is>
      </c>
      <c r="E29" s="0" t="inlineStr">
        <is>
          <t>45.00K</t>
        </is>
      </c>
      <c r="F29" s="0" t="inlineStr">
        <is>
          <t>(3,</t>
        </is>
      </c>
      <c r="G29" s="0" t="inlineStr">
        <is>
          <t>5)</t>
        </is>
      </c>
      <c r="K29" s="0">
        <f>IF(H28="1)",1,IF(H28="2)",2,IF(H28="3)",3,IF(H28="4)",4,IF(H28="5)",5,IF(H28="6)",6,IF(H28="7)",7,IF(H28="8)",8,0))))))))</f>
        <v/>
      </c>
      <c r="L29" s="0">
        <f>IF(H28="1)",J28,IF(H28="2)",J28,IF(H28="3)",J28,IF(H28="4)",J28,IF(H28="5)",J28,IF(H28="6)",J28,IF(H28="7)",J28,IF(H28="8)",J28,0))))))))</f>
        <v/>
      </c>
    </row>
    <row r="30">
      <c r="A30" s="0" t="inlineStr">
        <is>
          <t>New</t>
        </is>
      </c>
      <c r="B30" s="0" t="inlineStr">
        <is>
          <t>Item</t>
        </is>
      </c>
      <c r="C30" s="0" t="inlineStr">
        <is>
          <t>Acquired</t>
        </is>
      </c>
      <c r="D30" s="0" t="inlineStr">
        <is>
          <t>:</t>
        </is>
      </c>
      <c r="E30" s="0" t="inlineStr">
        <is>
          <t>120.00K</t>
        </is>
      </c>
      <c r="F30" s="0" t="inlineStr">
        <is>
          <t>(8,</t>
        </is>
      </c>
      <c r="G30" s="0" t="inlineStr">
        <is>
          <t>14)</t>
        </is>
      </c>
      <c r="K30" s="0">
        <f>IF(H29="1)",1,IF(H29="2)",2,IF(H29="3)",3,IF(H29="4)",4,IF(H29="5)",5,IF(H29="6)",6,IF(H29="7)",7,IF(H29="8)",8,0))))))))</f>
        <v/>
      </c>
      <c r="L30" s="0">
        <f>IF(H29="1)",J29,IF(H29="2)",J29,IF(H29="3)",J29,IF(H29="4)",J29,IF(H29="5)",J29,IF(H29="6)",J29,IF(H29="7)",J29,IF(H29="8)",J29,0))))))))</f>
        <v/>
      </c>
    </row>
    <row r="31">
      <c r="A31" s="0" t="inlineStr">
        <is>
          <t>New</t>
        </is>
      </c>
      <c r="B31" s="0" t="inlineStr">
        <is>
          <t>Item</t>
        </is>
      </c>
      <c r="C31" s="0" t="inlineStr">
        <is>
          <t>Acquired</t>
        </is>
      </c>
      <c r="D31" s="0" t="inlineStr">
        <is>
          <t>:</t>
        </is>
      </c>
      <c r="E31" s="0" t="inlineStr">
        <is>
          <t>62.50K</t>
        </is>
      </c>
      <c r="F31" s="0" t="inlineStr">
        <is>
          <t>(2,</t>
        </is>
      </c>
      <c r="G31" s="0" t="inlineStr">
        <is>
          <t>17)</t>
        </is>
      </c>
      <c r="K31" s="0">
        <f>IF(H30="1)",1,IF(H30="2)",2,IF(H30="3)",3,IF(H30="4)",4,IF(H30="5)",5,IF(H30="6)",6,IF(H30="7)",7,IF(H30="8)",8,0))))))))</f>
        <v/>
      </c>
      <c r="L31" s="0">
        <f>IF(H30="1)",J30,IF(H30="2)",J30,IF(H30="3)",J30,IF(H30="4)",J30,IF(H30="5)",J30,IF(H30="6)",J30,IF(H30="7)",J30,IF(H30="8)",J30,0))))))))</f>
        <v/>
      </c>
    </row>
    <row r="32">
      <c r="A32" s="0" t="inlineStr">
        <is>
          <t>New</t>
        </is>
      </c>
      <c r="B32" s="0" t="inlineStr">
        <is>
          <t>Item</t>
        </is>
      </c>
      <c r="C32" s="0" t="inlineStr">
        <is>
          <t>Acquired</t>
        </is>
      </c>
      <c r="D32" s="0" t="inlineStr">
        <is>
          <t>:</t>
        </is>
      </c>
      <c r="E32" s="0" t="inlineStr">
        <is>
          <t>45.00K</t>
        </is>
      </c>
      <c r="F32" s="0" t="inlineStr">
        <is>
          <t>(3,</t>
        </is>
      </c>
      <c r="G32" s="0" t="inlineStr">
        <is>
          <t>2)</t>
        </is>
      </c>
      <c r="K32" s="0">
        <f>IF(H31="1)",1,IF(H31="2)",2,IF(H31="3)",3,IF(H31="4)",4,IF(H31="5)",5,IF(H31="6)",6,IF(H31="7)",7,IF(H31="8)",8,0))))))))</f>
        <v/>
      </c>
      <c r="L32" s="0">
        <f>IF(H31="1)",J31,IF(H31="2)",J31,IF(H31="3)",J31,IF(H31="4)",J31,IF(H31="5)",J31,IF(H31="6)",J31,IF(H31="7)",J31,IF(H31="8)",J31,0))))))))</f>
        <v/>
      </c>
    </row>
    <row r="33">
      <c r="A33" s="0" t="inlineStr">
        <is>
          <t>New</t>
        </is>
      </c>
      <c r="B33" s="0" t="inlineStr">
        <is>
          <t>Item</t>
        </is>
      </c>
      <c r="C33" s="0" t="inlineStr">
        <is>
          <t>Acquired</t>
        </is>
      </c>
      <c r="D33" s="0" t="inlineStr">
        <is>
          <t>:</t>
        </is>
      </c>
      <c r="E33" s="0" t="inlineStr">
        <is>
          <t>112.50K</t>
        </is>
      </c>
      <c r="F33" s="0" t="inlineStr">
        <is>
          <t>(5,</t>
        </is>
      </c>
      <c r="G33" s="0" t="inlineStr">
        <is>
          <t>24)</t>
        </is>
      </c>
      <c r="K33" s="0">
        <f>IF(H32="1)",1,IF(H32="2)",2,IF(H32="3)",3,IF(H32="4)",4,IF(H32="5)",5,IF(H32="6)",6,IF(H32="7)",7,IF(H32="8)",8,0))))))))</f>
        <v/>
      </c>
      <c r="L33" s="0">
        <f>IF(H32="1)",J32,IF(H32="2)",J32,IF(H32="3)",J32,IF(H32="4)",J32,IF(H32="5)",J32,IF(H32="6)",J32,IF(H32="7)",J32,IF(H32="8)",J32,0))))))))</f>
        <v/>
      </c>
    </row>
    <row r="34">
      <c r="A34" s="0" t="inlineStr">
        <is>
          <t>New</t>
        </is>
      </c>
      <c r="B34" s="0" t="inlineStr">
        <is>
          <t>Item</t>
        </is>
      </c>
      <c r="C34" s="0" t="inlineStr">
        <is>
          <t>Acquired</t>
        </is>
      </c>
      <c r="D34" s="0" t="inlineStr">
        <is>
          <t>:</t>
        </is>
      </c>
      <c r="E34" s="0" t="inlineStr">
        <is>
          <t>30.00K</t>
        </is>
      </c>
      <c r="F34" s="0" t="inlineStr">
        <is>
          <t>(1,</t>
        </is>
      </c>
      <c r="G34" s="0" t="inlineStr">
        <is>
          <t>11)</t>
        </is>
      </c>
      <c r="K34" s="0">
        <f>IF(H33="1)",1,IF(H33="2)",2,IF(H33="3)",3,IF(H33="4)",4,IF(H33="5)",5,IF(H33="6)",6,IF(H33="7)",7,IF(H33="8)",8,0))))))))</f>
        <v/>
      </c>
      <c r="L34" s="0">
        <f>IF(H33="1)",J33,IF(H33="2)",J33,IF(H33="3)",J33,IF(H33="4)",J33,IF(H33="5)",J33,IF(H33="6)",J33,IF(H33="7)",J33,IF(H33="8)",J33,0))))))))</f>
        <v/>
      </c>
    </row>
    <row r="35">
      <c r="A35" s="0" t="inlineStr">
        <is>
          <t>New</t>
        </is>
      </c>
      <c r="B35" s="0" t="inlineStr">
        <is>
          <t>Item</t>
        </is>
      </c>
      <c r="C35" s="0" t="inlineStr">
        <is>
          <t>Acquired</t>
        </is>
      </c>
      <c r="D35" s="0" t="inlineStr">
        <is>
          <t>:</t>
        </is>
      </c>
      <c r="E35" s="0" t="inlineStr">
        <is>
          <t>150.00K</t>
        </is>
      </c>
      <c r="F35" s="0" t="inlineStr">
        <is>
          <t>(7,</t>
        </is>
      </c>
      <c r="G35" s="0" t="inlineStr">
        <is>
          <t>12)</t>
        </is>
      </c>
      <c r="K35" s="0">
        <f>IF(H34="1)",1,IF(H34="2)",2,IF(H34="3)",3,IF(H34="4)",4,IF(H34="5)",5,IF(H34="6)",6,IF(H34="7)",7,IF(H34="8)",8,0))))))))</f>
        <v/>
      </c>
      <c r="L35" s="0">
        <f>IF(H34="1)",J34,IF(H34="2)",J34,IF(H34="3)",J34,IF(H34="4)",J34,IF(H34="5)",J34,IF(H34="6)",J34,IF(H34="7)",J34,IF(H34="8)",J34,0))))))))</f>
        <v/>
      </c>
    </row>
    <row r="36">
      <c r="A36" s="0" t="inlineStr">
        <is>
          <t>New</t>
        </is>
      </c>
      <c r="B36" s="0" t="inlineStr">
        <is>
          <t>Item</t>
        </is>
      </c>
      <c r="C36" s="0" t="inlineStr">
        <is>
          <t>Acquired</t>
        </is>
      </c>
      <c r="D36" s="0" t="inlineStr">
        <is>
          <t>:</t>
        </is>
      </c>
      <c r="E36" s="0" t="inlineStr">
        <is>
          <t>120.00K</t>
        </is>
      </c>
      <c r="F36" s="0" t="inlineStr">
        <is>
          <t>(8,</t>
        </is>
      </c>
      <c r="G36" s="0" t="inlineStr">
        <is>
          <t>19)</t>
        </is>
      </c>
      <c r="K36" s="0">
        <f>IF(H35="1)",1,IF(H35="2)",2,IF(H35="3)",3,IF(H35="4)",4,IF(H35="5)",5,IF(H35="6)",6,IF(H35="7)",7,IF(H35="8)",8,0))))))))</f>
        <v/>
      </c>
      <c r="L36" s="0">
        <f>IF(H35="1)",J35,IF(H35="2)",J35,IF(H35="3)",J35,IF(H35="4)",J35,IF(H35="5)",J35,IF(H35="6)",J35,IF(H35="7)",J35,IF(H35="8)",J35,0))))))))</f>
        <v/>
      </c>
    </row>
    <row r="37">
      <c r="A37" s="0" t="inlineStr">
        <is>
          <t>New</t>
        </is>
      </c>
      <c r="B37" s="0" t="inlineStr">
        <is>
          <t>Item</t>
        </is>
      </c>
      <c r="C37" s="0" t="inlineStr">
        <is>
          <t>Acquired</t>
        </is>
      </c>
      <c r="D37" s="0" t="inlineStr">
        <is>
          <t>:</t>
        </is>
      </c>
      <c r="E37" s="0" t="inlineStr">
        <is>
          <t>280.00K</t>
        </is>
      </c>
      <c r="F37" s="0" t="inlineStr">
        <is>
          <t>(8,</t>
        </is>
      </c>
      <c r="G37" s="0" t="inlineStr">
        <is>
          <t>2)</t>
        </is>
      </c>
      <c r="K37" s="0">
        <f>IF(H36="1)",1,IF(H36="2)",2,IF(H36="3)",3,IF(H36="4)",4,IF(H36="5)",5,IF(H36="6)",6,IF(H36="7)",7,IF(H36="8)",8,0))))))))</f>
        <v/>
      </c>
      <c r="L37" s="0">
        <f>IF(H36="1)",J36,IF(H36="2)",J36,IF(H36="3)",J36,IF(H36="4)",J36,IF(H36="5)",J36,IF(H36="6)",J36,IF(H36="7)",J36,IF(H36="8)",J36,0))))))))</f>
        <v/>
      </c>
    </row>
    <row r="38">
      <c r="A38" s="0" t="inlineStr">
        <is>
          <t>New</t>
        </is>
      </c>
      <c r="B38" s="0" t="inlineStr">
        <is>
          <t>Item</t>
        </is>
      </c>
      <c r="C38" s="0" t="inlineStr">
        <is>
          <t>Acquired</t>
        </is>
      </c>
      <c r="D38" s="0" t="inlineStr">
        <is>
          <t>:</t>
        </is>
      </c>
      <c r="E38" s="0" t="inlineStr">
        <is>
          <t>Minor</t>
        </is>
      </c>
      <c r="F38" s="0" t="inlineStr">
        <is>
          <t>(5,</t>
        </is>
      </c>
      <c r="G38" s="0" t="inlineStr">
        <is>
          <t>16)</t>
        </is>
      </c>
      <c r="K38" s="0">
        <f>IF(H37="1)",1,IF(H37="2)",2,IF(H37="3)",3,IF(H37="4)",4,IF(H37="5)",5,IF(H37="6)",6,IF(H37="7)",7,IF(H37="8)",8,0))))))))</f>
        <v/>
      </c>
      <c r="L38" s="0">
        <f>IF(H37="1)",J37,IF(H37="2)",J37,IF(H37="3)",J37,IF(H37="4)",J37,IF(H37="5)",J37,IF(H37="6)",J37,IF(H37="7)",J37,IF(H37="8)",J37,0))))))))</f>
        <v/>
      </c>
    </row>
    <row r="39">
      <c r="A39" s="0" t="inlineStr">
        <is>
          <t>New</t>
        </is>
      </c>
      <c r="B39" s="0" t="inlineStr">
        <is>
          <t>Item</t>
        </is>
      </c>
      <c r="C39" s="0" t="inlineStr">
        <is>
          <t>Acquired</t>
        </is>
      </c>
      <c r="D39" s="0" t="inlineStr">
        <is>
          <t>:</t>
        </is>
      </c>
      <c r="E39" s="0" t="inlineStr">
        <is>
          <t>105.00K</t>
        </is>
      </c>
      <c r="F39" s="0" t="inlineStr">
        <is>
          <t>(3,</t>
        </is>
      </c>
      <c r="G39" s="0" t="inlineStr">
        <is>
          <t>6)</t>
        </is>
      </c>
      <c r="K39" s="0">
        <f>IF(H38="1)",1,IF(H38="2)",2,IF(H38="3)",3,IF(H38="4)",4,IF(H38="5)",5,IF(H38="6)",6,IF(H38="7)",7,IF(H38="8)",8,0))))))))</f>
        <v/>
      </c>
      <c r="L39" s="0">
        <f>IF(H38="1)",J38,IF(H38="2)",J38,IF(H38="3)",J38,IF(H38="4)",J38,IF(H38="5)",J38,IF(H38="6)",J38,IF(H38="7)",J38,IF(H38="8)",J38,0))))))))</f>
        <v/>
      </c>
    </row>
    <row r="40">
      <c r="A40" s="0" t="inlineStr">
        <is>
          <t>New</t>
        </is>
      </c>
      <c r="B40" s="0" t="inlineStr">
        <is>
          <t>Item</t>
        </is>
      </c>
      <c r="C40" s="0" t="inlineStr">
        <is>
          <t>Acquired</t>
        </is>
      </c>
      <c r="D40" s="0" t="inlineStr">
        <is>
          <t>:</t>
        </is>
      </c>
      <c r="E40" s="0" t="inlineStr">
        <is>
          <t>90.00K</t>
        </is>
      </c>
      <c r="F40" s="0" t="inlineStr">
        <is>
          <t>(7,</t>
        </is>
      </c>
      <c r="G40" s="0" t="inlineStr">
        <is>
          <t>22)</t>
        </is>
      </c>
      <c r="K40" s="0">
        <f>IF(H39="1)",1,IF(H39="2)",2,IF(H39="3)",3,IF(H39="4)",4,IF(H39="5)",5,IF(H39="6)",6,IF(H39="7)",7,IF(H39="8)",8,0))))))))</f>
        <v/>
      </c>
      <c r="L40" s="0">
        <f>IF(H39="1)",J39,IF(H39="2)",J39,IF(H39="3)",J39,IF(H39="4)",J39,IF(H39="5)",J39,IF(H39="6)",J39,IF(H39="7)",J39,IF(H39="8)",J39,0))))))))</f>
        <v/>
      </c>
    </row>
    <row r="41">
      <c r="A41" s="0" t="inlineStr">
        <is>
          <t>New</t>
        </is>
      </c>
      <c r="B41" s="0" t="inlineStr">
        <is>
          <t>Item</t>
        </is>
      </c>
      <c r="C41" s="0" t="inlineStr">
        <is>
          <t>Acquired</t>
        </is>
      </c>
      <c r="D41" s="0" t="inlineStr">
        <is>
          <t>:</t>
        </is>
      </c>
      <c r="E41" s="0" t="inlineStr">
        <is>
          <t>210.00K</t>
        </is>
      </c>
      <c r="F41" s="0" t="inlineStr">
        <is>
          <t>(7,</t>
        </is>
      </c>
      <c r="G41" s="0" t="inlineStr">
        <is>
          <t>25)</t>
        </is>
      </c>
      <c r="K41" s="0">
        <f>IF(H40="1)",1,IF(H40="2)",2,IF(H40="3)",3,IF(H40="4)",4,IF(H40="5)",5,IF(H40="6)",6,IF(H40="7)",7,IF(H40="8)",8,0))))))))</f>
        <v/>
      </c>
      <c r="L41" s="0">
        <f>IF(H40="1)",J40,IF(H40="2)",J40,IF(H40="3)",J40,IF(H40="4)",J40,IF(H40="5)",J40,IF(H40="6)",J40,IF(H40="7)",J40,IF(H40="8)",J40,0))))))))</f>
        <v/>
      </c>
    </row>
    <row r="42">
      <c r="A42" s="0" t="inlineStr">
        <is>
          <t>New</t>
        </is>
      </c>
      <c r="B42" s="0" t="inlineStr">
        <is>
          <t>Item</t>
        </is>
      </c>
      <c r="C42" s="0" t="inlineStr">
        <is>
          <t>Acquired</t>
        </is>
      </c>
      <c r="D42" s="0" t="inlineStr">
        <is>
          <t>:</t>
        </is>
      </c>
      <c r="E42" s="0" t="inlineStr">
        <is>
          <t>280.00K</t>
        </is>
      </c>
      <c r="F42" s="0" t="inlineStr">
        <is>
          <t>(8,</t>
        </is>
      </c>
      <c r="G42" s="0" t="inlineStr">
        <is>
          <t>10)</t>
        </is>
      </c>
      <c r="K42" s="0">
        <f>IF(H41="1)",1,IF(H41="2)",2,IF(H41="3)",3,IF(H41="4)",4,IF(H41="5)",5,IF(H41="6)",6,IF(H41="7)",7,IF(H41="8)",8,0))))))))</f>
        <v/>
      </c>
      <c r="L42" s="0">
        <f>IF(H41="1)",J41,IF(H41="2)",J41,IF(H41="3)",J41,IF(H41="4)",J41,IF(H41="5)",J41,IF(H41="6)",J41,IF(H41="7)",J41,IF(H41="8)",J41,0))))))))</f>
        <v/>
      </c>
    </row>
    <row r="43">
      <c r="A43" s="0" t="inlineStr">
        <is>
          <t>New</t>
        </is>
      </c>
      <c r="B43" s="0" t="inlineStr">
        <is>
          <t>Item</t>
        </is>
      </c>
      <c r="C43" s="0" t="inlineStr">
        <is>
          <t>Acquired</t>
        </is>
      </c>
      <c r="D43" s="0" t="inlineStr">
        <is>
          <t>:</t>
        </is>
      </c>
      <c r="E43" s="0" t="inlineStr">
        <is>
          <t>120.00K</t>
        </is>
      </c>
      <c r="F43" s="0" t="inlineStr">
        <is>
          <t>(8,</t>
        </is>
      </c>
      <c r="G43" s="0" t="inlineStr">
        <is>
          <t>7)</t>
        </is>
      </c>
      <c r="K43" s="0">
        <f>IF(H42="1)",1,IF(H42="2)",2,IF(H42="3)",3,IF(H42="4)",4,IF(H42="5)",5,IF(H42="6)",6,IF(H42="7)",7,IF(H42="8)",8,0))))))))</f>
        <v/>
      </c>
      <c r="L43" s="0">
        <f>IF(H42="1)",J42,IF(H42="2)",J42,IF(H42="3)",J42,IF(H42="4)",J42,IF(H42="5)",J42,IF(H42="6)",J42,IF(H42="7)",J42,IF(H42="8)",J42,0))))))))</f>
        <v/>
      </c>
    </row>
    <row r="44">
      <c r="A44" s="0" t="inlineStr">
        <is>
          <t>New</t>
        </is>
      </c>
      <c r="B44" s="0" t="inlineStr">
        <is>
          <t>Item</t>
        </is>
      </c>
      <c r="C44" s="0" t="inlineStr">
        <is>
          <t>Acquired</t>
        </is>
      </c>
      <c r="D44" s="0" t="inlineStr">
        <is>
          <t>:</t>
        </is>
      </c>
      <c r="E44" s="0" t="inlineStr">
        <is>
          <t>30.00K</t>
        </is>
      </c>
      <c r="F44" s="0" t="inlineStr">
        <is>
          <t>(1,</t>
        </is>
      </c>
      <c r="G44" s="0" t="inlineStr">
        <is>
          <t>16)</t>
        </is>
      </c>
      <c r="K44" s="0">
        <f>IF(H43="1)",1,IF(H43="2)",2,IF(H43="3)",3,IF(H43="4)",4,IF(H43="5)",5,IF(H43="6)",6,IF(H43="7)",7,IF(H43="8)",8,0))))))))</f>
        <v/>
      </c>
      <c r="L44" s="0">
        <f>IF(H43="1)",J43,IF(H43="2)",J43,IF(H43="3)",J43,IF(H43="4)",J43,IF(H43="5)",J43,IF(H43="6)",J43,IF(H43="7)",J43,IF(H43="8)",J43,0))))))))</f>
        <v/>
      </c>
    </row>
    <row r="45">
      <c r="A45" s="0" t="inlineStr">
        <is>
          <t>New</t>
        </is>
      </c>
      <c r="B45" s="0" t="inlineStr">
        <is>
          <t>Item</t>
        </is>
      </c>
      <c r="C45" s="0" t="inlineStr">
        <is>
          <t>Acquired</t>
        </is>
      </c>
      <c r="D45" s="0" t="inlineStr">
        <is>
          <t>:</t>
        </is>
      </c>
      <c r="E45" s="0" t="inlineStr">
        <is>
          <t>Minor</t>
        </is>
      </c>
      <c r="F45" s="0" t="inlineStr">
        <is>
          <t>(1,</t>
        </is>
      </c>
      <c r="G45" s="0" t="inlineStr">
        <is>
          <t>9)</t>
        </is>
      </c>
      <c r="K45" s="0">
        <f>IF(H44="1)",1,IF(H44="2)",2,IF(H44="3)",3,IF(H44="4)",4,IF(H44="5)",5,IF(H44="6)",6,IF(H44="7)",7,IF(H44="8)",8,0))))))))</f>
        <v/>
      </c>
      <c r="L45" s="0">
        <f>IF(H44="1)",J44,IF(H44="2)",J44,IF(H44="3)",J44,IF(H44="4)",J44,IF(H44="5)",J44,IF(H44="6)",J44,IF(H44="7)",J44,IF(H44="8)",J44,0))))))))</f>
        <v/>
      </c>
    </row>
    <row r="46">
      <c r="A46" s="0" t="inlineStr">
        <is>
          <t>New</t>
        </is>
      </c>
      <c r="B46" s="0" t="inlineStr">
        <is>
          <t>Item</t>
        </is>
      </c>
      <c r="C46" s="0" t="inlineStr">
        <is>
          <t>Acquired</t>
        </is>
      </c>
      <c r="D46" s="0" t="inlineStr">
        <is>
          <t>:</t>
        </is>
      </c>
      <c r="E46" s="0" t="inlineStr">
        <is>
          <t>112.50K</t>
        </is>
      </c>
      <c r="F46" s="0" t="inlineStr">
        <is>
          <t>(5,</t>
        </is>
      </c>
      <c r="G46" s="0" t="inlineStr">
        <is>
          <t>14)</t>
        </is>
      </c>
      <c r="K46" s="0">
        <f>IF(H45="1)",1,IF(H45="2)",2,IF(H45="3)",3,IF(H45="4)",4,IF(H45="5)",5,IF(H45="6)",6,IF(H45="7)",7,IF(H45="8)",8,0))))))))</f>
        <v/>
      </c>
      <c r="L46" s="0">
        <f>IF(H45="1)",J45,IF(H45="2)",J45,IF(H45="3)",J45,IF(H45="4)",J45,IF(H45="5)",J45,IF(H45="6)",J45,IF(H45="7)",J45,IF(H45="8)",J45,0))))))))</f>
        <v/>
      </c>
    </row>
    <row r="47">
      <c r="A47" s="0" t="inlineStr">
        <is>
          <t>New</t>
        </is>
      </c>
      <c r="B47" s="0" t="inlineStr">
        <is>
          <t>Item</t>
        </is>
      </c>
      <c r="C47" s="0" t="inlineStr">
        <is>
          <t>Acquired</t>
        </is>
      </c>
      <c r="D47" s="0" t="inlineStr">
        <is>
          <t>:</t>
        </is>
      </c>
      <c r="E47" s="0" t="inlineStr">
        <is>
          <t>75.00K</t>
        </is>
      </c>
      <c r="F47" s="0" t="inlineStr">
        <is>
          <t>(6,</t>
        </is>
      </c>
      <c r="G47" s="0" t="inlineStr">
        <is>
          <t>7)</t>
        </is>
      </c>
      <c r="K47" s="0">
        <f>IF(H46="1)",1,IF(H46="2)",2,IF(H46="3)",3,IF(H46="4)",4,IF(H46="5)",5,IF(H46="6)",6,IF(H46="7)",7,IF(H46="8)",8,0))))))))</f>
        <v/>
      </c>
      <c r="L47" s="0">
        <f>IF(H46="1)",J46,IF(H46="2)",J46,IF(H46="3)",J46,IF(H46="4)",J46,IF(H46="5)",J46,IF(H46="6)",J46,IF(H46="7)",J46,IF(H46="8)",J46,0))))))))</f>
        <v/>
      </c>
    </row>
    <row r="48">
      <c r="A48" s="0" t="inlineStr">
        <is>
          <t>New</t>
        </is>
      </c>
      <c r="B48" s="0" t="inlineStr">
        <is>
          <t>Item</t>
        </is>
      </c>
      <c r="C48" s="0" t="inlineStr">
        <is>
          <t>Acquired</t>
        </is>
      </c>
      <c r="D48" s="0" t="inlineStr">
        <is>
          <t>:</t>
        </is>
      </c>
      <c r="E48" s="0" t="inlineStr">
        <is>
          <t>45.00K</t>
        </is>
      </c>
      <c r="F48" s="0" t="inlineStr">
        <is>
          <t>(3,</t>
        </is>
      </c>
      <c r="G48" s="0" t="inlineStr">
        <is>
          <t>9)</t>
        </is>
      </c>
      <c r="K48" s="0">
        <f>IF(H47="1)",1,IF(H47="2)",2,IF(H47="3)",3,IF(H47="4)",4,IF(H47="5)",5,IF(H47="6)",6,IF(H47="7)",7,IF(H47="8)",8,0))))))))</f>
        <v/>
      </c>
      <c r="L48" s="0">
        <f>IF(H47="1)",J47,IF(H47="2)",J47,IF(H47="3)",J47,IF(H47="4)",J47,IF(H47="5)",J47,IF(H47="6)",J47,IF(H47="7)",J47,IF(H47="8)",J47,0))))))))</f>
        <v/>
      </c>
    </row>
    <row r="49">
      <c r="A49" s="0" t="inlineStr">
        <is>
          <t>Item</t>
        </is>
      </c>
      <c r="B49" s="0" t="inlineStr">
        <is>
          <t>ReSelect</t>
        </is>
      </c>
      <c r="C49" s="0" t="inlineStr">
        <is>
          <t>Failed</t>
        </is>
      </c>
      <c r="D49" s="0" t="inlineStr">
        <is>
          <t>:</t>
        </is>
      </c>
      <c r="E49" s="0" t="inlineStr">
        <is>
          <t>Attempt</t>
        </is>
      </c>
      <c r="F49" s="0" t="inlineStr">
        <is>
          <t>Count</t>
        </is>
      </c>
      <c r="G49" s="0" t="inlineStr">
        <is>
          <t>-</t>
        </is>
      </c>
      <c r="H49" s="0" t="n">
        <v>3</v>
      </c>
      <c r="K49" s="0">
        <f>IF(H48="1)",1,IF(H48="2)",2,IF(H48="3)",3,IF(H48="4)",4,IF(H48="5)",5,IF(H48="6)",6,IF(H48="7)",7,IF(H48="8)",8,0))))))))</f>
        <v/>
      </c>
      <c r="L49" s="0">
        <f>IF(H48="1)",J48,IF(H48="2)",J48,IF(H48="3)",J48,IF(H48="4)",J48,IF(H48="5)",J48,IF(H48="6)",J48,IF(H48="7)",J48,IF(H48="8)",J48,0))))))))</f>
        <v/>
      </c>
    </row>
    <row r="50">
      <c r="A50" s="0" t="inlineStr">
        <is>
          <t>New</t>
        </is>
      </c>
      <c r="B50" s="0" t="inlineStr">
        <is>
          <t>Item</t>
        </is>
      </c>
      <c r="C50" s="0" t="inlineStr">
        <is>
          <t>Acquired</t>
        </is>
      </c>
      <c r="D50" s="0" t="inlineStr">
        <is>
          <t>:</t>
        </is>
      </c>
      <c r="E50" s="0" t="inlineStr">
        <is>
          <t>Minor</t>
        </is>
      </c>
      <c r="F50" s="0" t="inlineStr">
        <is>
          <t>(2,</t>
        </is>
      </c>
      <c r="G50" s="0" t="inlineStr">
        <is>
          <t>12)</t>
        </is>
      </c>
      <c r="K50" s="0">
        <f>IF(H49="1)",1,IF(H49="2)",2,IF(H49="3)",3,IF(H49="4)",4,IF(H49="5)",5,IF(H49="6)",6,IF(H49="7)",7,IF(H49="8)",8,0))))))))</f>
        <v/>
      </c>
      <c r="L50" s="0">
        <f>IF(H49="1)",J49,IF(H49="2)",J49,IF(H49="3)",J49,IF(H49="4)",J49,IF(H49="5)",J49,IF(H49="6)",J49,IF(H49="7)",J49,IF(H49="8)",J49,0))))))))</f>
        <v/>
      </c>
    </row>
    <row r="51">
      <c r="A51" s="0" t="inlineStr">
        <is>
          <t>New</t>
        </is>
      </c>
      <c r="B51" s="0" t="inlineStr">
        <is>
          <t>Item</t>
        </is>
      </c>
      <c r="C51" s="0" t="inlineStr">
        <is>
          <t>Acquired</t>
        </is>
      </c>
      <c r="D51" s="0" t="inlineStr">
        <is>
          <t>:</t>
        </is>
      </c>
      <c r="E51" s="0" t="inlineStr">
        <is>
          <t>150.00K</t>
        </is>
      </c>
      <c r="F51" s="0" t="inlineStr">
        <is>
          <t>(7,</t>
        </is>
      </c>
      <c r="G51" s="0" t="inlineStr">
        <is>
          <t>14)</t>
        </is>
      </c>
      <c r="K51" s="0">
        <f>IF(H50="1)",1,IF(H50="2)",2,IF(H50="3)",3,IF(H50="4)",4,IF(H50="5)",5,IF(H50="6)",6,IF(H50="7)",7,IF(H50="8)",8,0))))))))</f>
        <v/>
      </c>
      <c r="L51" s="0">
        <f>IF(H50="1)",J50,IF(H50="2)",J50,IF(H50="3)",J50,IF(H50="4)",J50,IF(H50="5)",J50,IF(H50="6)",J50,IF(H50="7)",J50,IF(H50="8)",J50,0))))))))</f>
        <v/>
      </c>
    </row>
    <row r="52">
      <c r="A52" s="0" t="inlineStr">
        <is>
          <t>New</t>
        </is>
      </c>
      <c r="B52" s="0" t="inlineStr">
        <is>
          <t>Item</t>
        </is>
      </c>
      <c r="C52" s="0" t="inlineStr">
        <is>
          <t>Acquired</t>
        </is>
      </c>
      <c r="D52" s="0" t="inlineStr">
        <is>
          <t>:</t>
        </is>
      </c>
      <c r="E52" s="0" t="inlineStr">
        <is>
          <t>90.00K</t>
        </is>
      </c>
      <c r="F52" s="0" t="inlineStr">
        <is>
          <t>(7,</t>
        </is>
      </c>
      <c r="G52" s="0" t="inlineStr">
        <is>
          <t>18)</t>
        </is>
      </c>
      <c r="K52" s="0">
        <f>IF(H51="1)",1,IF(H51="2)",2,IF(H51="3)",3,IF(H51="4)",4,IF(H51="5)",5,IF(H51="6)",6,IF(H51="7)",7,IF(H51="8)",8,0))))))))</f>
        <v/>
      </c>
      <c r="L52" s="0">
        <f>IF(H51="1)",J51,IF(H51="2)",J51,IF(H51="3)",J51,IF(H51="4)",J51,IF(H51="5)",J51,IF(H51="6)",J51,IF(H51="7)",J51,IF(H51="8)",J51,0))))))))</f>
        <v/>
      </c>
    </row>
    <row r="53">
      <c r="A53" s="0" t="inlineStr">
        <is>
          <t>New</t>
        </is>
      </c>
      <c r="B53" s="0" t="inlineStr">
        <is>
          <t>Item</t>
        </is>
      </c>
      <c r="C53" s="0" t="inlineStr">
        <is>
          <t>Acquired</t>
        </is>
      </c>
      <c r="D53" s="0" t="inlineStr">
        <is>
          <t>:</t>
        </is>
      </c>
      <c r="E53" s="0" t="inlineStr">
        <is>
          <t>105.00K</t>
        </is>
      </c>
      <c r="F53" s="0" t="inlineStr">
        <is>
          <t>(3,</t>
        </is>
      </c>
      <c r="G53" s="0" t="inlineStr">
        <is>
          <t>1)</t>
        </is>
      </c>
      <c r="K53" s="0">
        <f>IF(H52="1)",1,IF(H52="2)",2,IF(H52="3)",3,IF(H52="4)",4,IF(H52="5)",5,IF(H52="6)",6,IF(H52="7)",7,IF(H52="8)",8,0))))))))</f>
        <v/>
      </c>
      <c r="L53" s="0">
        <f>IF(H52="1)",J52,IF(H52="2)",J52,IF(H52="3)",J52,IF(H52="4)",J52,IF(H52="5)",J52,IF(H52="6)",J52,IF(H52="7)",J52,IF(H52="8)",J52,0))))))))</f>
        <v/>
      </c>
    </row>
    <row r="54">
      <c r="A54" s="0" t="inlineStr">
        <is>
          <t>New</t>
        </is>
      </c>
      <c r="B54" s="0" t="inlineStr">
        <is>
          <t>Item</t>
        </is>
      </c>
      <c r="C54" s="0" t="inlineStr">
        <is>
          <t>Acquired</t>
        </is>
      </c>
      <c r="D54" s="0" t="inlineStr">
        <is>
          <t>:</t>
        </is>
      </c>
      <c r="E54" s="0" t="inlineStr">
        <is>
          <t>200.00K</t>
        </is>
      </c>
      <c r="F54" s="0" t="inlineStr">
        <is>
          <t>(8,</t>
        </is>
      </c>
      <c r="G54" s="0" t="inlineStr">
        <is>
          <t>22)</t>
        </is>
      </c>
      <c r="K54" s="0">
        <f>IF(H53="1)",1,IF(H53="2)",2,IF(H53="3)",3,IF(H53="4)",4,IF(H53="5)",5,IF(H53="6)",6,IF(H53="7)",7,IF(H53="8)",8,0))))))))</f>
        <v/>
      </c>
      <c r="L54" s="0">
        <f>IF(H53="1)",J53,IF(H53="2)",J53,IF(H53="3)",J53,IF(H53="4)",J53,IF(H53="5)",J53,IF(H53="6)",J53,IF(H53="7)",J53,IF(H53="8)",J53,0))))))))</f>
        <v/>
      </c>
    </row>
    <row r="55">
      <c r="A55" s="0" t="inlineStr">
        <is>
          <t>New</t>
        </is>
      </c>
      <c r="B55" s="0" t="inlineStr">
        <is>
          <t>Item</t>
        </is>
      </c>
      <c r="C55" s="0" t="inlineStr">
        <is>
          <t>Acquired</t>
        </is>
      </c>
      <c r="D55" s="0" t="inlineStr">
        <is>
          <t>:</t>
        </is>
      </c>
      <c r="E55" s="0" t="inlineStr">
        <is>
          <t>37.50K</t>
        </is>
      </c>
      <c r="F55" s="0" t="inlineStr">
        <is>
          <t>(2,</t>
        </is>
      </c>
      <c r="G55" s="0" t="inlineStr">
        <is>
          <t>6)</t>
        </is>
      </c>
      <c r="K55" s="0">
        <f>IF(H54="1)",1,IF(H54="2)",2,IF(H54="3)",3,IF(H54="4)",4,IF(H54="5)",5,IF(H54="6)",6,IF(H54="7)",7,IF(H54="8)",8,0))))))))</f>
        <v/>
      </c>
      <c r="L55" s="0">
        <f>IF(H54="1)",J54,IF(H54="2)",J54,IF(H54="3)",J54,IF(H54="4)",J54,IF(H54="5)",J54,IF(H54="6)",J54,IF(H54="7)",J54,IF(H54="8)",J54,0))))))))</f>
        <v/>
      </c>
    </row>
    <row r="56">
      <c r="A56" s="0" t="inlineStr">
        <is>
          <t>Item</t>
        </is>
      </c>
      <c r="B56" s="0" t="inlineStr">
        <is>
          <t>ReSelect</t>
        </is>
      </c>
      <c r="C56" s="0" t="inlineStr">
        <is>
          <t>Failed</t>
        </is>
      </c>
      <c r="D56" s="0" t="inlineStr">
        <is>
          <t>:</t>
        </is>
      </c>
      <c r="E56" s="0" t="inlineStr">
        <is>
          <t>Attempt</t>
        </is>
      </c>
      <c r="F56" s="0" t="inlineStr">
        <is>
          <t>Count</t>
        </is>
      </c>
      <c r="G56" s="0" t="inlineStr">
        <is>
          <t>-</t>
        </is>
      </c>
      <c r="H56" s="0" t="n">
        <v>3</v>
      </c>
      <c r="K56" s="0">
        <f>IF(H55="1)",1,IF(H55="2)",2,IF(H55="3)",3,IF(H55="4)",4,IF(H55="5)",5,IF(H55="6)",6,IF(H55="7)",7,IF(H55="8)",8,0))))))))</f>
        <v/>
      </c>
      <c r="L56" s="0">
        <f>IF(H55="1)",J55,IF(H55="2)",J55,IF(H55="3)",J55,IF(H55="4)",J55,IF(H55="5)",J55,IF(H55="6)",J55,IF(H55="7)",J55,IF(H55="8)",J55,0))))))))</f>
        <v/>
      </c>
    </row>
    <row r="57">
      <c r="A57" s="0" t="inlineStr">
        <is>
          <t>New</t>
        </is>
      </c>
      <c r="B57" s="0" t="inlineStr">
        <is>
          <t>Item</t>
        </is>
      </c>
      <c r="C57" s="0" t="inlineStr">
        <is>
          <t>Acquired</t>
        </is>
      </c>
      <c r="D57" s="0" t="inlineStr">
        <is>
          <t>:</t>
        </is>
      </c>
      <c r="E57" s="0" t="inlineStr">
        <is>
          <t>45.00K</t>
        </is>
      </c>
      <c r="F57" s="0" t="inlineStr">
        <is>
          <t>(3,</t>
        </is>
      </c>
      <c r="G57" s="0" t="inlineStr">
        <is>
          <t>21)</t>
        </is>
      </c>
      <c r="K57" s="0">
        <f>IF(H56="1)",1,IF(H56="2)",2,IF(H56="3)",3,IF(H56="4)",4,IF(H56="5)",5,IF(H56="6)",6,IF(H56="7)",7,IF(H56="8)",8,0))))))))</f>
        <v/>
      </c>
      <c r="L57" s="0">
        <f>IF(H56="1)",J56,IF(H56="2)",J56,IF(H56="3)",J56,IF(H56="4)",J56,IF(H56="5)",J56,IF(H56="6)",J56,IF(H56="7)",J56,IF(H56="8)",J56,0))))))))</f>
        <v/>
      </c>
    </row>
    <row r="58">
      <c r="A58" s="0" t="inlineStr">
        <is>
          <t>Line</t>
        </is>
      </c>
      <c r="B58" s="0" t="inlineStr">
        <is>
          <t>Prize</t>
        </is>
      </c>
      <c r="C58" s="0" t="inlineStr">
        <is>
          <t>Acquired</t>
        </is>
      </c>
      <c r="D58" s="0" t="inlineStr">
        <is>
          <t>:</t>
        </is>
      </c>
      <c r="E58" s="0" t="inlineStr">
        <is>
          <t>780.00K</t>
        </is>
      </c>
      <c r="F58" s="0" t="inlineStr">
        <is>
          <t>(Stage</t>
        </is>
      </c>
      <c r="G58" s="0" t="inlineStr">
        <is>
          <t>:</t>
        </is>
      </c>
      <c r="H58" s="0" t="inlineStr">
        <is>
          <t>3)</t>
        </is>
      </c>
      <c r="I58" s="0" t="inlineStr">
        <is>
          <t>-</t>
        </is>
      </c>
      <c r="J58" s="0" t="n">
        <v>780000</v>
      </c>
      <c r="K58" s="0">
        <f>IF(H57="1)",1,IF(H57="2)",2,IF(H57="3)",3,IF(H57="4)",4,IF(H57="5)",5,IF(H57="6)",6,IF(H57="7)",7,IF(H57="8)",8,0))))))))</f>
        <v/>
      </c>
      <c r="L58" s="0">
        <f>IF(H57="1)",J57,IF(H57="2)",J57,IF(H57="3)",J57,IF(H57="4)",J57,IF(H57="5)",J57,IF(H57="6)",J57,IF(H57="7)",J57,IF(H57="8)",J57,0))))))))</f>
        <v/>
      </c>
    </row>
    <row r="59">
      <c r="A59" s="0" t="inlineStr">
        <is>
          <t>Clear</t>
        </is>
      </c>
      <c r="B59" s="0" t="inlineStr">
        <is>
          <t>Gem</t>
        </is>
      </c>
      <c r="C59" s="0" t="inlineStr">
        <is>
          <t>Acquired</t>
        </is>
      </c>
      <c r="D59" s="0" t="inlineStr">
        <is>
          <t>:</t>
        </is>
      </c>
      <c r="E59" s="0" t="n">
        <v>0</v>
      </c>
      <c r="F59" s="0" t="inlineStr">
        <is>
          <t>-&gt;</t>
        </is>
      </c>
      <c r="G59" s="0" t="n">
        <v>100</v>
      </c>
      <c r="H59" s="0" t="inlineStr">
        <is>
          <t>(Stage</t>
        </is>
      </c>
      <c r="I59" s="0" t="inlineStr">
        <is>
          <t>:</t>
        </is>
      </c>
      <c r="J59" s="0" t="inlineStr">
        <is>
          <t>3)</t>
        </is>
      </c>
      <c r="K59" s="0">
        <f>IF(H58="1)",1,IF(H58="2)",2,IF(H58="3)",3,IF(H58="4)",4,IF(H58="5)",5,IF(H58="6)",6,IF(H58="7)",7,IF(H58="8)",8,0))))))))</f>
        <v/>
      </c>
      <c r="L59" s="0">
        <f>IF(H58="1)",J58,IF(H58="2)",J58,IF(H58="3)",J58,IF(H58="4)",J58,IF(H58="5)",J58,IF(H58="6)",J58,IF(H58="7)",J58,IF(H58="8)",J58,0))))))))</f>
        <v/>
      </c>
    </row>
    <row r="60">
      <c r="A60" s="0" t="inlineStr">
        <is>
          <t>New</t>
        </is>
      </c>
      <c r="B60" s="0" t="inlineStr">
        <is>
          <t>Item</t>
        </is>
      </c>
      <c r="C60" s="0" t="inlineStr">
        <is>
          <t>Acquired</t>
        </is>
      </c>
      <c r="D60" s="0" t="inlineStr">
        <is>
          <t>:</t>
        </is>
      </c>
      <c r="E60" s="0" t="inlineStr">
        <is>
          <t>200.00K</t>
        </is>
      </c>
      <c r="F60" s="0" t="inlineStr">
        <is>
          <t>(8,</t>
        </is>
      </c>
      <c r="G60" s="0" t="inlineStr">
        <is>
          <t>17)</t>
        </is>
      </c>
      <c r="K60" s="0">
        <f>IF(H59="1)",1,IF(H59="2)",2,IF(H59="3)",3,IF(H59="4)",4,IF(H59="5)",5,IF(H59="6)",6,IF(H59="7)",7,IF(H59="8)",8,0))))))))</f>
        <v/>
      </c>
      <c r="L60" s="0">
        <f>IF(H59="1)",J59,IF(H59="2)",J59,IF(H59="3)",J59,IF(H59="4)",J59,IF(H59="5)",J59,IF(H59="6)",J59,IF(H59="7)",J59,IF(H59="8)",J59,0))))))))</f>
        <v/>
      </c>
    </row>
    <row r="61">
      <c r="A61" s="0" t="inlineStr">
        <is>
          <t>Line</t>
        </is>
      </c>
      <c r="B61" s="0" t="inlineStr">
        <is>
          <t>Prize</t>
        </is>
      </c>
      <c r="C61" s="0" t="inlineStr">
        <is>
          <t>Acquired</t>
        </is>
      </c>
      <c r="D61" s="0" t="inlineStr">
        <is>
          <t>:</t>
        </is>
      </c>
      <c r="E61" s="0" t="inlineStr">
        <is>
          <t>920.00K</t>
        </is>
      </c>
      <c r="F61" s="0" t="inlineStr">
        <is>
          <t>(Stage</t>
        </is>
      </c>
      <c r="G61" s="0" t="inlineStr">
        <is>
          <t>:</t>
        </is>
      </c>
      <c r="H61" s="0" t="inlineStr">
        <is>
          <t>8)</t>
        </is>
      </c>
      <c r="I61" s="0" t="inlineStr">
        <is>
          <t>-</t>
        </is>
      </c>
      <c r="J61" s="0" t="n">
        <v>920000</v>
      </c>
      <c r="K61" s="0">
        <f>IF(H60="1)",1,IF(H60="2)",2,IF(H60="3)",3,IF(H60="4)",4,IF(H60="5)",5,IF(H60="6)",6,IF(H60="7)",7,IF(H60="8)",8,0))))))))</f>
        <v/>
      </c>
      <c r="L61" s="0">
        <f>IF(H60="1)",J60,IF(H60="2)",J60,IF(H60="3)",J60,IF(H60="4)",J60,IF(H60="5)",J60,IF(H60="6)",J60,IF(H60="7)",J60,IF(H60="8)",J60,0))))))))</f>
        <v/>
      </c>
    </row>
    <row r="62">
      <c r="A62" s="0" t="inlineStr">
        <is>
          <t>Clear</t>
        </is>
      </c>
      <c r="B62" s="0" t="inlineStr">
        <is>
          <t>Gem</t>
        </is>
      </c>
      <c r="C62" s="0" t="inlineStr">
        <is>
          <t>Acquired</t>
        </is>
      </c>
      <c r="D62" s="0" t="inlineStr">
        <is>
          <t>:</t>
        </is>
      </c>
      <c r="E62" s="0" t="n">
        <v>100</v>
      </c>
      <c r="F62" s="0" t="inlineStr">
        <is>
          <t>-&gt;</t>
        </is>
      </c>
      <c r="G62" s="0" t="n">
        <v>200</v>
      </c>
      <c r="H62" s="0" t="inlineStr">
        <is>
          <t>(Stage</t>
        </is>
      </c>
      <c r="I62" s="0" t="inlineStr">
        <is>
          <t>:</t>
        </is>
      </c>
      <c r="J62" s="0" t="inlineStr">
        <is>
          <t>8)</t>
        </is>
      </c>
      <c r="K62" s="0">
        <f>IF(H61="1)",1,IF(H61="2)",2,IF(H61="3)",3,IF(H61="4)",4,IF(H61="5)",5,IF(H61="6)",6,IF(H61="7)",7,IF(H61="8)",8,0))))))))</f>
        <v/>
      </c>
      <c r="L62" s="0">
        <f>IF(H61="1)",J61,IF(H61="2)",J61,IF(H61="3)",J61,IF(H61="4)",J61,IF(H61="5)",J61,IF(H61="6)",J61,IF(H61="7)",J61,IF(H61="8)",J61,0))))))))</f>
        <v/>
      </c>
    </row>
    <row r="63">
      <c r="A63" s="0" t="inlineStr">
        <is>
          <t>New</t>
        </is>
      </c>
      <c r="B63" s="0" t="inlineStr">
        <is>
          <t>Item</t>
        </is>
      </c>
      <c r="C63" s="0" t="inlineStr">
        <is>
          <t>Acquired</t>
        </is>
      </c>
      <c r="D63" s="0" t="inlineStr">
        <is>
          <t>:</t>
        </is>
      </c>
      <c r="E63" s="0" t="inlineStr">
        <is>
          <t>200.00K</t>
        </is>
      </c>
      <c r="F63" s="0" t="inlineStr">
        <is>
          <t>(8,</t>
        </is>
      </c>
      <c r="G63" s="0" t="inlineStr">
        <is>
          <t>5)</t>
        </is>
      </c>
      <c r="K63" s="0">
        <f>IF(H62="1)",1,IF(H62="2)",2,IF(H62="3)",3,IF(H62="4)",4,IF(H62="5)",5,IF(H62="6)",6,IF(H62="7)",7,IF(H62="8)",8,0))))))))</f>
        <v/>
      </c>
      <c r="L63" s="0">
        <f>IF(H62="1)",J62,IF(H62="2)",J62,IF(H62="3)",J62,IF(H62="4)",J62,IF(H62="5)",J62,IF(H62="6)",J62,IF(H62="7)",J62,IF(H62="8)",J62,0))))))))</f>
        <v/>
      </c>
    </row>
    <row r="64">
      <c r="A64" s="0" t="inlineStr">
        <is>
          <t>New</t>
        </is>
      </c>
      <c r="B64" s="0" t="inlineStr">
        <is>
          <t>Item</t>
        </is>
      </c>
      <c r="C64" s="0" t="inlineStr">
        <is>
          <t>Acquired</t>
        </is>
      </c>
      <c r="D64" s="0" t="inlineStr">
        <is>
          <t>:</t>
        </is>
      </c>
      <c r="E64" s="0" t="inlineStr">
        <is>
          <t>Mini</t>
        </is>
      </c>
      <c r="F64" s="0" t="inlineStr">
        <is>
          <t>(2,</t>
        </is>
      </c>
      <c r="G64" s="0" t="inlineStr">
        <is>
          <t>5)</t>
        </is>
      </c>
      <c r="K64" s="0">
        <f>IF(H63="1)",1,IF(H63="2)",2,IF(H63="3)",3,IF(H63="4)",4,IF(H63="5)",5,IF(H63="6)",6,IF(H63="7)",7,IF(H63="8)",8,0))))))))</f>
        <v/>
      </c>
      <c r="L64" s="0">
        <f>IF(H63="1)",J63,IF(H63="2)",J63,IF(H63="3)",J63,IF(H63="4)",J63,IF(H63="5)",J63,IF(H63="6)",J63,IF(H63="7)",J63,IF(H63="8)",J63,0))))))))</f>
        <v/>
      </c>
    </row>
    <row r="65">
      <c r="A65" s="0" t="inlineStr">
        <is>
          <t>New</t>
        </is>
      </c>
      <c r="B65" s="0" t="inlineStr">
        <is>
          <t>Item</t>
        </is>
      </c>
      <c r="C65" s="0" t="inlineStr">
        <is>
          <t>Acquired</t>
        </is>
      </c>
      <c r="D65" s="0" t="inlineStr">
        <is>
          <t>:</t>
        </is>
      </c>
      <c r="E65" s="0" t="inlineStr">
        <is>
          <t>30.00K</t>
        </is>
      </c>
      <c r="F65" s="0" t="inlineStr">
        <is>
          <t>(1,</t>
        </is>
      </c>
      <c r="G65" s="0" t="inlineStr">
        <is>
          <t>7)</t>
        </is>
      </c>
      <c r="K65" s="0">
        <f>IF(H64="1)",1,IF(H64="2)",2,IF(H64="3)",3,IF(H64="4)",4,IF(H64="5)",5,IF(H64="6)",6,IF(H64="7)",7,IF(H64="8)",8,0))))))))</f>
        <v/>
      </c>
      <c r="L65" s="0">
        <f>IF(H64="1)",J64,IF(H64="2)",J64,IF(H64="3)",J64,IF(H64="4)",J64,IF(H64="5)",J64,IF(H64="6)",J64,IF(H64="7)",J64,IF(H64="8)",J64,0))))))))</f>
        <v/>
      </c>
    </row>
    <row r="66">
      <c r="A66" s="0" t="inlineStr">
        <is>
          <t>New</t>
        </is>
      </c>
      <c r="B66" s="0" t="inlineStr">
        <is>
          <t>Item</t>
        </is>
      </c>
      <c r="C66" s="0" t="inlineStr">
        <is>
          <t>Acquired</t>
        </is>
      </c>
      <c r="D66" s="0" t="inlineStr">
        <is>
          <t>:</t>
        </is>
      </c>
      <c r="E66" s="0" t="inlineStr">
        <is>
          <t>Mini</t>
        </is>
      </c>
      <c r="F66" s="0" t="inlineStr">
        <is>
          <t>(8,</t>
        </is>
      </c>
      <c r="G66" s="0" t="inlineStr">
        <is>
          <t>20)</t>
        </is>
      </c>
      <c r="K66" s="0">
        <f>IF(H65="1)",1,IF(H65="2)",2,IF(H65="3)",3,IF(H65="4)",4,IF(H65="5)",5,IF(H65="6)",6,IF(H65="7)",7,IF(H65="8)",8,0))))))))</f>
        <v/>
      </c>
      <c r="L66" s="0">
        <f>IF(H65="1)",J65,IF(H65="2)",J65,IF(H65="3)",J65,IF(H65="4)",J65,IF(H65="5)",J65,IF(H65="6)",J65,IF(H65="7)",J65,IF(H65="8)",J65,0))))))))</f>
        <v/>
      </c>
    </row>
    <row r="67">
      <c r="A67" s="0" t="inlineStr">
        <is>
          <t>New</t>
        </is>
      </c>
      <c r="B67" s="0" t="inlineStr">
        <is>
          <t>Item</t>
        </is>
      </c>
      <c r="C67" s="0" t="inlineStr">
        <is>
          <t>Acquired</t>
        </is>
      </c>
      <c r="D67" s="0" t="inlineStr">
        <is>
          <t>:</t>
        </is>
      </c>
      <c r="E67" s="0" t="inlineStr">
        <is>
          <t>157.50K</t>
        </is>
      </c>
      <c r="F67" s="0" t="inlineStr">
        <is>
          <t>(5,</t>
        </is>
      </c>
      <c r="G67" s="0" t="inlineStr">
        <is>
          <t>25)</t>
        </is>
      </c>
      <c r="K67" s="0">
        <f>IF(H66="1)",1,IF(H66="2)",2,IF(H66="3)",3,IF(H66="4)",4,IF(H66="5)",5,IF(H66="6)",6,IF(H66="7)",7,IF(H66="8)",8,0))))))))</f>
        <v/>
      </c>
      <c r="L67" s="0">
        <f>IF(H66="1)",J66,IF(H66="2)",J66,IF(H66="3)",J66,IF(H66="4)",J66,IF(H66="5)",J66,IF(H66="6)",J66,IF(H66="7)",J66,IF(H66="8)",J66,0))))))))</f>
        <v/>
      </c>
    </row>
    <row r="68">
      <c r="A68" s="0" t="inlineStr">
        <is>
          <t>New</t>
        </is>
      </c>
      <c r="B68" s="0" t="inlineStr">
        <is>
          <t>Item</t>
        </is>
      </c>
      <c r="C68" s="0" t="inlineStr">
        <is>
          <t>Acquired</t>
        </is>
      </c>
      <c r="D68" s="0" t="inlineStr">
        <is>
          <t>:</t>
        </is>
      </c>
      <c r="E68" s="0" t="inlineStr">
        <is>
          <t>60.00K</t>
        </is>
      </c>
      <c r="F68" s="0" t="inlineStr">
        <is>
          <t>(4,</t>
        </is>
      </c>
      <c r="G68" s="0" t="inlineStr">
        <is>
          <t>10)</t>
        </is>
      </c>
      <c r="K68" s="0">
        <f>IF(H67="1)",1,IF(H67="2)",2,IF(H67="3)",3,IF(H67="4)",4,IF(H67="5)",5,IF(H67="6)",6,IF(H67="7)",7,IF(H67="8)",8,0))))))))</f>
        <v/>
      </c>
      <c r="L68" s="0">
        <f>IF(H67="1)",J67,IF(H67="2)",J67,IF(H67="3)",J67,IF(H67="4)",J67,IF(H67="5)",J67,IF(H67="6)",J67,IF(H67="7)",J67,IF(H67="8)",J67,0))))))))</f>
        <v/>
      </c>
    </row>
    <row r="69">
      <c r="A69" s="0" t="inlineStr">
        <is>
          <t>New</t>
        </is>
      </c>
      <c r="B69" s="0" t="inlineStr">
        <is>
          <t>Item</t>
        </is>
      </c>
      <c r="C69" s="0" t="inlineStr">
        <is>
          <t>Acquired</t>
        </is>
      </c>
      <c r="D69" s="0" t="inlineStr">
        <is>
          <t>:</t>
        </is>
      </c>
      <c r="E69" s="0" t="inlineStr">
        <is>
          <t>150.00K</t>
        </is>
      </c>
      <c r="F69" s="0" t="inlineStr">
        <is>
          <t>(7,</t>
        </is>
      </c>
      <c r="G69" s="0" t="inlineStr">
        <is>
          <t>8)</t>
        </is>
      </c>
      <c r="K69" s="0">
        <f>IF(H68="1)",1,IF(H68="2)",2,IF(H68="3)",3,IF(H68="4)",4,IF(H68="5)",5,IF(H68="6)",6,IF(H68="7)",7,IF(H68="8)",8,0))))))))</f>
        <v/>
      </c>
      <c r="L69" s="0">
        <f>IF(H68="1)",J68,IF(H68="2)",J68,IF(H68="3)",J68,IF(H68="4)",J68,IF(H68="5)",J68,IF(H68="6)",J68,IF(H68="7)",J68,IF(H68="8)",J68,0))))))))</f>
        <v/>
      </c>
    </row>
    <row r="70">
      <c r="A70" s="0" t="inlineStr">
        <is>
          <t>New</t>
        </is>
      </c>
      <c r="B70" s="0" t="inlineStr">
        <is>
          <t>Item</t>
        </is>
      </c>
      <c r="C70" s="0" t="inlineStr">
        <is>
          <t>Acquired</t>
        </is>
      </c>
      <c r="D70" s="0" t="inlineStr">
        <is>
          <t>:</t>
        </is>
      </c>
      <c r="E70" s="0" t="inlineStr">
        <is>
          <t>175.00K</t>
        </is>
      </c>
      <c r="F70" s="0" t="inlineStr">
        <is>
          <t>(6,</t>
        </is>
      </c>
      <c r="G70" s="0" t="inlineStr">
        <is>
          <t>3)</t>
        </is>
      </c>
      <c r="K70" s="0">
        <f>IF(H69="1)",1,IF(H69="2)",2,IF(H69="3)",3,IF(H69="4)",4,IF(H69="5)",5,IF(H69="6)",6,IF(H69="7)",7,IF(H69="8)",8,0))))))))</f>
        <v/>
      </c>
      <c r="L70" s="0">
        <f>IF(H69="1)",J69,IF(H69="2)",J69,IF(H69="3)",J69,IF(H69="4)",J69,IF(H69="5)",J69,IF(H69="6)",J69,IF(H69="7)",J69,IF(H69="8)",J69,0))))))))</f>
        <v/>
      </c>
    </row>
    <row r="71">
      <c r="A71" s="0" t="inlineStr">
        <is>
          <t>New</t>
        </is>
      </c>
      <c r="B71" s="0" t="inlineStr">
        <is>
          <t>Item</t>
        </is>
      </c>
      <c r="C71" s="0" t="inlineStr">
        <is>
          <t>Acquired</t>
        </is>
      </c>
      <c r="D71" s="0" t="inlineStr">
        <is>
          <t>:</t>
        </is>
      </c>
      <c r="E71" s="0" t="inlineStr">
        <is>
          <t>45.00K</t>
        </is>
      </c>
      <c r="F71" s="0" t="inlineStr">
        <is>
          <t>(3,</t>
        </is>
      </c>
      <c r="G71" s="0" t="inlineStr">
        <is>
          <t>5)</t>
        </is>
      </c>
      <c r="K71" s="0">
        <f>IF(H70="1)",1,IF(H70="2)",2,IF(H70="3)",3,IF(H70="4)",4,IF(H70="5)",5,IF(H70="6)",6,IF(H70="7)",7,IF(H70="8)",8,0))))))))</f>
        <v/>
      </c>
      <c r="L71" s="0">
        <f>IF(H70="1)",J70,IF(H70="2)",J70,IF(H70="3)",J70,IF(H70="4)",J70,IF(H70="5)",J70,IF(H70="6)",J70,IF(H70="7)",J70,IF(H70="8)",J70,0))))))))</f>
        <v/>
      </c>
    </row>
    <row r="72">
      <c r="A72" s="0" t="inlineStr">
        <is>
          <t>New</t>
        </is>
      </c>
      <c r="B72" s="0" t="inlineStr">
        <is>
          <t>Item</t>
        </is>
      </c>
      <c r="C72" s="0" t="inlineStr">
        <is>
          <t>Acquired</t>
        </is>
      </c>
      <c r="D72" s="0" t="inlineStr">
        <is>
          <t>:</t>
        </is>
      </c>
      <c r="E72" s="0" t="inlineStr">
        <is>
          <t>Mini</t>
        </is>
      </c>
      <c r="F72" s="0" t="inlineStr">
        <is>
          <t>(2,</t>
        </is>
      </c>
      <c r="G72" s="0" t="inlineStr">
        <is>
          <t>21)</t>
        </is>
      </c>
      <c r="K72" s="0">
        <f>IF(H71="1)",1,IF(H71="2)",2,IF(H71="3)",3,IF(H71="4)",4,IF(H71="5)",5,IF(H71="6)",6,IF(H71="7)",7,IF(H71="8)",8,0))))))))</f>
        <v/>
      </c>
      <c r="L72" s="0">
        <f>IF(H71="1)",J71,IF(H71="2)",J71,IF(H71="3)",J71,IF(H71="4)",J71,IF(H71="5)",J71,IF(H71="6)",J71,IF(H71="7)",J71,IF(H71="8)",J71,0))))))))</f>
        <v/>
      </c>
    </row>
    <row r="73">
      <c r="A73" s="0" t="inlineStr">
        <is>
          <t>New</t>
        </is>
      </c>
      <c r="B73" s="0" t="inlineStr">
        <is>
          <t>Item</t>
        </is>
      </c>
      <c r="C73" s="0" t="inlineStr">
        <is>
          <t>Acquired</t>
        </is>
      </c>
      <c r="D73" s="0" t="inlineStr">
        <is>
          <t>:</t>
        </is>
      </c>
      <c r="E73" s="0" t="inlineStr">
        <is>
          <t>105.00K</t>
        </is>
      </c>
      <c r="F73" s="0" t="inlineStr">
        <is>
          <t>(4,</t>
        </is>
      </c>
      <c r="G73" s="0" t="inlineStr">
        <is>
          <t>16)</t>
        </is>
      </c>
      <c r="K73" s="0">
        <f>IF(H72="1)",1,IF(H72="2)",2,IF(H72="3)",3,IF(H72="4)",4,IF(H72="5)",5,IF(H72="6)",6,IF(H72="7)",7,IF(H72="8)",8,0))))))))</f>
        <v/>
      </c>
      <c r="L73" s="0">
        <f>IF(H72="1)",J72,IF(H72="2)",J72,IF(H72="3)",J72,IF(H72="4)",J72,IF(H72="5)",J72,IF(H72="6)",J72,IF(H72="7)",J72,IF(H72="8)",J72,0))))))))</f>
        <v/>
      </c>
    </row>
    <row r="74">
      <c r="A74" s="0" t="inlineStr">
        <is>
          <t>New</t>
        </is>
      </c>
      <c r="B74" s="0" t="inlineStr">
        <is>
          <t>Item</t>
        </is>
      </c>
      <c r="C74" s="0" t="inlineStr">
        <is>
          <t>Acquired</t>
        </is>
      </c>
      <c r="D74" s="0" t="inlineStr">
        <is>
          <t>:</t>
        </is>
      </c>
      <c r="E74" s="0" t="inlineStr">
        <is>
          <t>Minor</t>
        </is>
      </c>
      <c r="F74" s="0" t="inlineStr">
        <is>
          <t>(3,</t>
        </is>
      </c>
      <c r="G74" s="0" t="inlineStr">
        <is>
          <t>6)</t>
        </is>
      </c>
      <c r="K74" s="0">
        <f>IF(H73="1)",1,IF(H73="2)",2,IF(H73="3)",3,IF(H73="4)",4,IF(H73="5)",5,IF(H73="6)",6,IF(H73="7)",7,IF(H73="8)",8,0))))))))</f>
        <v/>
      </c>
      <c r="L74" s="0">
        <f>IF(H73="1)",J73,IF(H73="2)",J73,IF(H73="3)",J73,IF(H73="4)",J73,IF(H73="5)",J73,IF(H73="6)",J73,IF(H73="7)",J73,IF(H73="8)",J73,0))))))))</f>
        <v/>
      </c>
    </row>
    <row r="75">
      <c r="A75" s="0" t="inlineStr">
        <is>
          <t>New</t>
        </is>
      </c>
      <c r="B75" s="0" t="inlineStr">
        <is>
          <t>Item</t>
        </is>
      </c>
      <c r="C75" s="0" t="inlineStr">
        <is>
          <t>Acquired</t>
        </is>
      </c>
      <c r="D75" s="0" t="inlineStr">
        <is>
          <t>:</t>
        </is>
      </c>
      <c r="E75" s="0" t="inlineStr">
        <is>
          <t>75.00K</t>
        </is>
      </c>
      <c r="F75" s="0" t="inlineStr">
        <is>
          <t>(3,</t>
        </is>
      </c>
      <c r="G75" s="0" t="inlineStr">
        <is>
          <t>21)</t>
        </is>
      </c>
      <c r="K75" s="0">
        <f>IF(H74="1)",1,IF(H74="2)",2,IF(H74="3)",3,IF(H74="4)",4,IF(H74="5)",5,IF(H74="6)",6,IF(H74="7)",7,IF(H74="8)",8,0))))))))</f>
        <v/>
      </c>
      <c r="L75" s="0">
        <f>IF(H74="1)",J74,IF(H74="2)",J74,IF(H74="3)",J74,IF(H74="4)",J74,IF(H74="5)",J74,IF(H74="6)",J74,IF(H74="7)",J74,IF(H74="8)",J74,0))))))))</f>
        <v/>
      </c>
    </row>
    <row r="76">
      <c r="A76" s="0" t="inlineStr">
        <is>
          <t>New</t>
        </is>
      </c>
      <c r="B76" s="0" t="inlineStr">
        <is>
          <t>Item</t>
        </is>
      </c>
      <c r="C76" s="0" t="inlineStr">
        <is>
          <t>Acquired</t>
        </is>
      </c>
      <c r="D76" s="0" t="inlineStr">
        <is>
          <t>:</t>
        </is>
      </c>
      <c r="E76" s="0" t="inlineStr">
        <is>
          <t>75.00K</t>
        </is>
      </c>
      <c r="F76" s="0" t="inlineStr">
        <is>
          <t>(4,</t>
        </is>
      </c>
      <c r="G76" s="0" t="inlineStr">
        <is>
          <t>25)</t>
        </is>
      </c>
      <c r="K76" s="0">
        <f>IF(H75="1)",1,IF(H75="2)",2,IF(H75="3)",3,IF(H75="4)",4,IF(H75="5)",5,IF(H75="6)",6,IF(H75="7)",7,IF(H75="8)",8,0))))))))</f>
        <v/>
      </c>
      <c r="L76" s="0">
        <f>IF(H75="1)",J75,IF(H75="2)",J75,IF(H75="3)",J75,IF(H75="4)",J75,IF(H75="5)",J75,IF(H75="6)",J75,IF(H75="7)",J75,IF(H75="8)",J75,0))))))))</f>
        <v/>
      </c>
    </row>
    <row r="77">
      <c r="A77" s="0" t="inlineStr">
        <is>
          <t>New</t>
        </is>
      </c>
      <c r="B77" s="0" t="inlineStr">
        <is>
          <t>Item</t>
        </is>
      </c>
      <c r="C77" s="0" t="inlineStr">
        <is>
          <t>Acquired</t>
        </is>
      </c>
      <c r="D77" s="0" t="inlineStr">
        <is>
          <t>:</t>
        </is>
      </c>
      <c r="E77" s="0" t="inlineStr">
        <is>
          <t>60.00K</t>
        </is>
      </c>
      <c r="F77" s="0" t="inlineStr">
        <is>
          <t>(4,</t>
        </is>
      </c>
      <c r="G77" s="0" t="inlineStr">
        <is>
          <t>18)</t>
        </is>
      </c>
      <c r="K77" s="0">
        <f>IF(H76="1)",1,IF(H76="2)",2,IF(H76="3)",3,IF(H76="4)",4,IF(H76="5)",5,IF(H76="6)",6,IF(H76="7)",7,IF(H76="8)",8,0))))))))</f>
        <v/>
      </c>
      <c r="L77" s="0">
        <f>IF(H76="1)",J76,IF(H76="2)",J76,IF(H76="3)",J76,IF(H76="4)",J76,IF(H76="5)",J76,IF(H76="6)",J76,IF(H76="7)",J76,IF(H76="8)",J76,0))))))))</f>
        <v/>
      </c>
    </row>
    <row r="78">
      <c r="A78" s="0" t="inlineStr">
        <is>
          <t>New</t>
        </is>
      </c>
      <c r="B78" s="0" t="inlineStr">
        <is>
          <t>Item</t>
        </is>
      </c>
      <c r="C78" s="0" t="inlineStr">
        <is>
          <t>Acquired</t>
        </is>
      </c>
      <c r="D78" s="0" t="inlineStr">
        <is>
          <t>:</t>
        </is>
      </c>
      <c r="E78" s="0" t="inlineStr">
        <is>
          <t>200.00K</t>
        </is>
      </c>
      <c r="F78" s="0" t="inlineStr">
        <is>
          <t>(8,</t>
        </is>
      </c>
      <c r="G78" s="0" t="inlineStr">
        <is>
          <t>1)</t>
        </is>
      </c>
      <c r="K78" s="0">
        <f>IF(H77="1)",1,IF(H77="2)",2,IF(H77="3)",3,IF(H77="4)",4,IF(H77="5)",5,IF(H77="6)",6,IF(H77="7)",7,IF(H77="8)",8,0))))))))</f>
        <v/>
      </c>
      <c r="L78" s="0">
        <f>IF(H77="1)",J77,IF(H77="2)",J77,IF(H77="3)",J77,IF(H77="4)",J77,IF(H77="5)",J77,IF(H77="6)",J77,IF(H77="7)",J77,IF(H77="8)",J77,0))))))))</f>
        <v/>
      </c>
    </row>
    <row r="79">
      <c r="A79" s="0" t="inlineStr">
        <is>
          <t>New</t>
        </is>
      </c>
      <c r="B79" s="0" t="inlineStr">
        <is>
          <t>Item</t>
        </is>
      </c>
      <c r="C79" s="0" t="inlineStr">
        <is>
          <t>Acquired</t>
        </is>
      </c>
      <c r="D79" s="0" t="inlineStr">
        <is>
          <t>:</t>
        </is>
      </c>
      <c r="E79" s="0" t="inlineStr">
        <is>
          <t>Minor</t>
        </is>
      </c>
      <c r="F79" s="0" t="inlineStr">
        <is>
          <t>(5,</t>
        </is>
      </c>
      <c r="G79" s="0" t="inlineStr">
        <is>
          <t>9)</t>
        </is>
      </c>
      <c r="K79" s="0">
        <f>IF(H78="1)",1,IF(H78="2)",2,IF(H78="3)",3,IF(H78="4)",4,IF(H78="5)",5,IF(H78="6)",6,IF(H78="7)",7,IF(H78="8)",8,0))))))))</f>
        <v/>
      </c>
      <c r="L79" s="0">
        <f>IF(H78="1)",J78,IF(H78="2)",J78,IF(H78="3)",J78,IF(H78="4)",J78,IF(H78="5)",J78,IF(H78="6)",J78,IF(H78="7)",J78,IF(H78="8)",J78,0))))))))</f>
        <v/>
      </c>
    </row>
    <row r="80">
      <c r="A80" s="0" t="inlineStr">
        <is>
          <t>New</t>
        </is>
      </c>
      <c r="B80" s="0" t="inlineStr">
        <is>
          <t>Item</t>
        </is>
      </c>
      <c r="C80" s="0" t="inlineStr">
        <is>
          <t>Acquired</t>
        </is>
      </c>
      <c r="D80" s="0" t="inlineStr">
        <is>
          <t>:</t>
        </is>
      </c>
      <c r="E80" s="0" t="inlineStr">
        <is>
          <t>60.00K</t>
        </is>
      </c>
      <c r="F80" s="0" t="inlineStr">
        <is>
          <t>(4,</t>
        </is>
      </c>
      <c r="G80" s="0" t="inlineStr">
        <is>
          <t>14)</t>
        </is>
      </c>
      <c r="K80" s="0">
        <f>IF(H79="1)",1,IF(H79="2)",2,IF(H79="3)",3,IF(H79="4)",4,IF(H79="5)",5,IF(H79="6)",6,IF(H79="7)",7,IF(H79="8)",8,0))))))))</f>
        <v/>
      </c>
      <c r="L80" s="0">
        <f>IF(H79="1)",J79,IF(H79="2)",J79,IF(H79="3)",J79,IF(H79="4)",J79,IF(H79="5)",J79,IF(H79="6)",J79,IF(H79="7)",J79,IF(H79="8)",J79,0))))))))</f>
        <v/>
      </c>
    </row>
    <row r="81">
      <c r="A81" s="0" t="inlineStr">
        <is>
          <t>New</t>
        </is>
      </c>
      <c r="B81" s="0" t="inlineStr">
        <is>
          <t>Item</t>
        </is>
      </c>
      <c r="C81" s="0" t="inlineStr">
        <is>
          <t>Acquired</t>
        </is>
      </c>
      <c r="D81" s="0" t="inlineStr">
        <is>
          <t>:</t>
        </is>
      </c>
      <c r="E81" s="0" t="inlineStr">
        <is>
          <t>37.50K</t>
        </is>
      </c>
      <c r="F81" s="0" t="inlineStr">
        <is>
          <t>(2,</t>
        </is>
      </c>
      <c r="G81" s="0" t="inlineStr">
        <is>
          <t>2)</t>
        </is>
      </c>
      <c r="K81" s="0">
        <f>IF(H80="1)",1,IF(H80="2)",2,IF(H80="3)",3,IF(H80="4)",4,IF(H80="5)",5,IF(H80="6)",6,IF(H80="7)",7,IF(H80="8)",8,0))))))))</f>
        <v/>
      </c>
      <c r="L81" s="0">
        <f>IF(H80="1)",J80,IF(H80="2)",J80,IF(H80="3)",J80,IF(H80="4)",J80,IF(H80="5)",J80,IF(H80="6)",J80,IF(H80="7)",J80,IF(H80="8)",J80,0))))))))</f>
        <v/>
      </c>
    </row>
    <row r="82">
      <c r="A82" s="0" t="inlineStr">
        <is>
          <t>New</t>
        </is>
      </c>
      <c r="B82" s="0" t="inlineStr">
        <is>
          <t>Item</t>
        </is>
      </c>
      <c r="C82" s="0" t="inlineStr">
        <is>
          <t>Acquired</t>
        </is>
      </c>
      <c r="D82" s="0" t="inlineStr">
        <is>
          <t>:</t>
        </is>
      </c>
      <c r="E82" s="0" t="inlineStr">
        <is>
          <t>60.00K</t>
        </is>
      </c>
      <c r="F82" s="0" t="inlineStr">
        <is>
          <t>(4,</t>
        </is>
      </c>
      <c r="G82" s="0" t="inlineStr">
        <is>
          <t>24)</t>
        </is>
      </c>
      <c r="K82" s="0">
        <f>IF(H81="1)",1,IF(H81="2)",2,IF(H81="3)",3,IF(H81="4)",4,IF(H81="5)",5,IF(H81="6)",6,IF(H81="7)",7,IF(H81="8)",8,0))))))))</f>
        <v/>
      </c>
      <c r="L82" s="0">
        <f>IF(H81="1)",J81,IF(H81="2)",J81,IF(H81="3)",J81,IF(H81="4)",J81,IF(H81="5)",J81,IF(H81="6)",J81,IF(H81="7)",J81,IF(H81="8)",J81,0))))))))</f>
        <v/>
      </c>
    </row>
    <row r="83">
      <c r="A83" s="0" t="inlineStr">
        <is>
          <t>New</t>
        </is>
      </c>
      <c r="B83" s="0" t="inlineStr">
        <is>
          <t>Item</t>
        </is>
      </c>
      <c r="C83" s="0" t="inlineStr">
        <is>
          <t>Acquired</t>
        </is>
      </c>
      <c r="D83" s="0" t="inlineStr">
        <is>
          <t>:</t>
        </is>
      </c>
      <c r="E83" s="0" t="inlineStr">
        <is>
          <t>Mini</t>
        </is>
      </c>
      <c r="F83" s="0" t="inlineStr">
        <is>
          <t>(8,</t>
        </is>
      </c>
      <c r="G83" s="0" t="inlineStr">
        <is>
          <t>4)</t>
        </is>
      </c>
      <c r="K83" s="0">
        <f>IF(H82="1)",1,IF(H82="2)",2,IF(H82="3)",3,IF(H82="4)",4,IF(H82="5)",5,IF(H82="6)",6,IF(H82="7)",7,IF(H82="8)",8,0))))))))</f>
        <v/>
      </c>
      <c r="L83" s="0">
        <f>IF(H82="1)",J82,IF(H82="2)",J82,IF(H82="3)",J82,IF(H82="4)",J82,IF(H82="5)",J82,IF(H82="6)",J82,IF(H82="7)",J82,IF(H82="8)",J82,0))))))))</f>
        <v/>
      </c>
    </row>
    <row r="84">
      <c r="A84" s="0" t="inlineStr">
        <is>
          <t>New</t>
        </is>
      </c>
      <c r="B84" s="0" t="inlineStr">
        <is>
          <t>Item</t>
        </is>
      </c>
      <c r="C84" s="0" t="inlineStr">
        <is>
          <t>Acquired</t>
        </is>
      </c>
      <c r="D84" s="0" t="inlineStr">
        <is>
          <t>:</t>
        </is>
      </c>
      <c r="E84" s="0" t="inlineStr">
        <is>
          <t>150.00K</t>
        </is>
      </c>
      <c r="F84" s="0" t="inlineStr">
        <is>
          <t>(7,</t>
        </is>
      </c>
      <c r="G84" s="0" t="inlineStr">
        <is>
          <t>16)</t>
        </is>
      </c>
      <c r="K84" s="0">
        <f>IF(H83="1)",1,IF(H83="2)",2,IF(H83="3)",3,IF(H83="4)",4,IF(H83="5)",5,IF(H83="6)",6,IF(H83="7)",7,IF(H83="8)",8,0))))))))</f>
        <v/>
      </c>
      <c r="L84" s="0">
        <f>IF(H83="1)",J83,IF(H83="2)",J83,IF(H83="3)",J83,IF(H83="4)",J83,IF(H83="5)",J83,IF(H83="6)",J83,IF(H83="7)",J83,IF(H83="8)",J83,0))))))))</f>
        <v/>
      </c>
    </row>
    <row r="85">
      <c r="A85" s="0" t="inlineStr">
        <is>
          <t>New</t>
        </is>
      </c>
      <c r="B85" s="0" t="inlineStr">
        <is>
          <t>Item</t>
        </is>
      </c>
      <c r="C85" s="0" t="inlineStr">
        <is>
          <t>Acquired</t>
        </is>
      </c>
      <c r="D85" s="0" t="inlineStr">
        <is>
          <t>:</t>
        </is>
      </c>
      <c r="E85" s="0" t="inlineStr">
        <is>
          <t>210.00K</t>
        </is>
      </c>
      <c r="F85" s="0" t="inlineStr">
        <is>
          <t>(7,</t>
        </is>
      </c>
      <c r="G85" s="0" t="inlineStr">
        <is>
          <t>4)</t>
        </is>
      </c>
      <c r="K85" s="0">
        <f>IF(H84="1)",1,IF(H84="2)",2,IF(H84="3)",3,IF(H84="4)",4,IF(H84="5)",5,IF(H84="6)",6,IF(H84="7)",7,IF(H84="8)",8,0))))))))</f>
        <v/>
      </c>
      <c r="L85" s="0">
        <f>IF(H84="1)",J84,IF(H84="2)",J84,IF(H84="3)",J84,IF(H84="4)",J84,IF(H84="5)",J84,IF(H84="6)",J84,IF(H84="7)",J84,IF(H84="8)",J84,0))))))))</f>
        <v/>
      </c>
    </row>
    <row r="86">
      <c r="A86" s="0" t="inlineStr">
        <is>
          <t>New</t>
        </is>
      </c>
      <c r="B86" s="0" t="inlineStr">
        <is>
          <t>Item</t>
        </is>
      </c>
      <c r="C86" s="0" t="inlineStr">
        <is>
          <t>Acquired</t>
        </is>
      </c>
      <c r="D86" s="0" t="inlineStr">
        <is>
          <t>:</t>
        </is>
      </c>
      <c r="E86" s="0" t="inlineStr">
        <is>
          <t>45.00K</t>
        </is>
      </c>
      <c r="F86" s="0" t="inlineStr">
        <is>
          <t>(3,</t>
        </is>
      </c>
      <c r="G86" s="0" t="inlineStr">
        <is>
          <t>25)</t>
        </is>
      </c>
      <c r="K86" s="0">
        <f>IF(H85="1)",1,IF(H85="2)",2,IF(H85="3)",3,IF(H85="4)",4,IF(H85="5)",5,IF(H85="6)",6,IF(H85="7)",7,IF(H85="8)",8,0))))))))</f>
        <v/>
      </c>
      <c r="L86" s="0">
        <f>IF(H85="1)",J85,IF(H85="2)",J85,IF(H85="3)",J85,IF(H85="4)",J85,IF(H85="5)",J85,IF(H85="6)",J85,IF(H85="7)",J85,IF(H85="8)",J85,0))))))))</f>
        <v/>
      </c>
    </row>
    <row r="87">
      <c r="A87" s="0" t="inlineStr">
        <is>
          <t>New</t>
        </is>
      </c>
      <c r="B87" s="0" t="inlineStr">
        <is>
          <t>Item</t>
        </is>
      </c>
      <c r="C87" s="0" t="inlineStr">
        <is>
          <t>Acquired</t>
        </is>
      </c>
      <c r="D87" s="0" t="inlineStr">
        <is>
          <t>:</t>
        </is>
      </c>
      <c r="E87" s="0" t="inlineStr">
        <is>
          <t>200.00K</t>
        </is>
      </c>
      <c r="F87" s="0" t="inlineStr">
        <is>
          <t>(8,</t>
        </is>
      </c>
      <c r="G87" s="0" t="inlineStr">
        <is>
          <t>3)</t>
        </is>
      </c>
      <c r="K87" s="0">
        <f>IF(H86="1)",1,IF(H86="2)",2,IF(H86="3)",3,IF(H86="4)",4,IF(H86="5)",5,IF(H86="6)",6,IF(H86="7)",7,IF(H86="8)",8,0))))))))</f>
        <v/>
      </c>
      <c r="L87" s="0">
        <f>IF(H86="1)",J86,IF(H86="2)",J86,IF(H86="3)",J86,IF(H86="4)",J86,IF(H86="5)",J86,IF(H86="6)",J86,IF(H86="7)",J86,IF(H86="8)",J86,0))))))))</f>
        <v/>
      </c>
    </row>
    <row r="88">
      <c r="A88" s="0" t="inlineStr">
        <is>
          <t>New</t>
        </is>
      </c>
      <c r="B88" s="0" t="inlineStr">
        <is>
          <t>Item</t>
        </is>
      </c>
      <c r="C88" s="0" t="inlineStr">
        <is>
          <t>Acquired</t>
        </is>
      </c>
      <c r="D88" s="0" t="inlineStr">
        <is>
          <t>:</t>
        </is>
      </c>
      <c r="E88" s="0" t="inlineStr">
        <is>
          <t>37.50K</t>
        </is>
      </c>
      <c r="F88" s="0" t="inlineStr">
        <is>
          <t>(2,</t>
        </is>
      </c>
      <c r="G88" s="0" t="inlineStr">
        <is>
          <t>1)</t>
        </is>
      </c>
      <c r="K88" s="0">
        <f>IF(H87="1)",1,IF(H87="2)",2,IF(H87="3)",3,IF(H87="4)",4,IF(H87="5)",5,IF(H87="6)",6,IF(H87="7)",7,IF(H87="8)",8,0))))))))</f>
        <v/>
      </c>
      <c r="L88" s="0">
        <f>IF(H87="1)",J87,IF(H87="2)",J87,IF(H87="3)",J87,IF(H87="4)",J87,IF(H87="5)",J87,IF(H87="6)",J87,IF(H87="7)",J87,IF(H87="8)",J87,0))))))))</f>
        <v/>
      </c>
    </row>
    <row r="89">
      <c r="A89" s="0" t="inlineStr">
        <is>
          <t>New</t>
        </is>
      </c>
      <c r="B89" s="0" t="inlineStr">
        <is>
          <t>Item</t>
        </is>
      </c>
      <c r="C89" s="0" t="inlineStr">
        <is>
          <t>Acquired</t>
        </is>
      </c>
      <c r="D89" s="0" t="inlineStr">
        <is>
          <t>:</t>
        </is>
      </c>
      <c r="E89" s="0" t="inlineStr">
        <is>
          <t>75.00K</t>
        </is>
      </c>
      <c r="F89" s="0" t="inlineStr">
        <is>
          <t>(4,</t>
        </is>
      </c>
      <c r="G89" s="0" t="inlineStr">
        <is>
          <t>19)</t>
        </is>
      </c>
      <c r="K89" s="0">
        <f>IF(H88="1)",1,IF(H88="2)",2,IF(H88="3)",3,IF(H88="4)",4,IF(H88="5)",5,IF(H88="6)",6,IF(H88="7)",7,IF(H88="8)",8,0))))))))</f>
        <v/>
      </c>
      <c r="L89" s="0">
        <f>IF(H88="1)",J88,IF(H88="2)",J88,IF(H88="3)",J88,IF(H88="4)",J88,IF(H88="5)",J88,IF(H88="6)",J88,IF(H88="7)",J88,IF(H88="8)",J88,0))))))))</f>
        <v/>
      </c>
    </row>
    <row r="90">
      <c r="A90" s="0" t="inlineStr">
        <is>
          <t>New</t>
        </is>
      </c>
      <c r="B90" s="0" t="inlineStr">
        <is>
          <t>Item</t>
        </is>
      </c>
      <c r="C90" s="0" t="inlineStr">
        <is>
          <t>Acquired</t>
        </is>
      </c>
      <c r="D90" s="0" t="inlineStr">
        <is>
          <t>:</t>
        </is>
      </c>
      <c r="E90" s="0" t="inlineStr">
        <is>
          <t>67.50K</t>
        </is>
      </c>
      <c r="F90" s="0" t="inlineStr">
        <is>
          <t>(5,</t>
        </is>
      </c>
      <c r="G90" s="0" t="inlineStr">
        <is>
          <t>19)</t>
        </is>
      </c>
      <c r="K90" s="0">
        <f>IF(H89="1)",1,IF(H89="2)",2,IF(H89="3)",3,IF(H89="4)",4,IF(H89="5)",5,IF(H89="6)",6,IF(H89="7)",7,IF(H89="8)",8,0))))))))</f>
        <v/>
      </c>
      <c r="L90" s="0">
        <f>IF(H89="1)",J89,IF(H89="2)",J89,IF(H89="3)",J89,IF(H89="4)",J89,IF(H89="5)",J89,IF(H89="6)",J89,IF(H89="7)",J89,IF(H89="8)",J89,0))))))))</f>
        <v/>
      </c>
    </row>
    <row r="91">
      <c r="A91" s="0" t="inlineStr">
        <is>
          <t>New</t>
        </is>
      </c>
      <c r="B91" s="0" t="inlineStr">
        <is>
          <t>Item</t>
        </is>
      </c>
      <c r="C91" s="0" t="inlineStr">
        <is>
          <t>Acquired</t>
        </is>
      </c>
      <c r="D91" s="0" t="inlineStr">
        <is>
          <t>:</t>
        </is>
      </c>
      <c r="E91" s="0" t="inlineStr">
        <is>
          <t>67.50K</t>
        </is>
      </c>
      <c r="F91" s="0" t="inlineStr">
        <is>
          <t>(5,</t>
        </is>
      </c>
      <c r="G91" s="0" t="inlineStr">
        <is>
          <t>12)</t>
        </is>
      </c>
      <c r="K91" s="0">
        <f>IF(H90="1)",1,IF(H90="2)",2,IF(H90="3)",3,IF(H90="4)",4,IF(H90="5)",5,IF(H90="6)",6,IF(H90="7)",7,IF(H90="8)",8,0))))))))</f>
        <v/>
      </c>
      <c r="L91" s="0">
        <f>IF(H90="1)",J90,IF(H90="2)",J90,IF(H90="3)",J90,IF(H90="4)",J90,IF(H90="5)",J90,IF(H90="6)",J90,IF(H90="7)",J90,IF(H90="8)",J90,0))))))))</f>
        <v/>
      </c>
    </row>
    <row r="92">
      <c r="A92" s="0" t="inlineStr">
        <is>
          <t>Line</t>
        </is>
      </c>
      <c r="B92" s="0" t="inlineStr">
        <is>
          <t>Prize</t>
        </is>
      </c>
      <c r="C92" s="0" t="inlineStr">
        <is>
          <t>Acquired</t>
        </is>
      </c>
      <c r="D92" s="0" t="inlineStr">
        <is>
          <t>:</t>
        </is>
      </c>
      <c r="E92" s="0" t="inlineStr">
        <is>
          <t>1.36M</t>
        </is>
      </c>
      <c r="F92" s="0" t="inlineStr">
        <is>
          <t>(Stage</t>
        </is>
      </c>
      <c r="G92" s="0" t="inlineStr">
        <is>
          <t>:</t>
        </is>
      </c>
      <c r="H92" s="0" t="inlineStr">
        <is>
          <t>5)</t>
        </is>
      </c>
      <c r="I92" s="0" t="inlineStr">
        <is>
          <t>-</t>
        </is>
      </c>
      <c r="J92" s="0" t="n">
        <v>1360000</v>
      </c>
      <c r="K92" s="0">
        <f>IF(H91="1)",1,IF(H91="2)",2,IF(H91="3)",3,IF(H91="4)",4,IF(H91="5)",5,IF(H91="6)",6,IF(H91="7)",7,IF(H91="8)",8,0))))))))</f>
        <v/>
      </c>
      <c r="L92" s="0">
        <f>IF(H91="1)",J91,IF(H91="2)",J91,IF(H91="3)",J91,IF(H91="4)",J91,IF(H91="5)",J91,IF(H91="6)",J91,IF(H91="7)",J91,IF(H91="8)",J91,0))))))))</f>
        <v/>
      </c>
    </row>
    <row r="93">
      <c r="A93" s="0" t="inlineStr">
        <is>
          <t>Clear</t>
        </is>
      </c>
      <c r="B93" s="0" t="inlineStr">
        <is>
          <t>Gem</t>
        </is>
      </c>
      <c r="C93" s="0" t="inlineStr">
        <is>
          <t>Acquired</t>
        </is>
      </c>
      <c r="D93" s="0" t="inlineStr">
        <is>
          <t>:</t>
        </is>
      </c>
      <c r="E93" s="0" t="n">
        <v>200</v>
      </c>
      <c r="F93" s="0" t="inlineStr">
        <is>
          <t>-&gt;</t>
        </is>
      </c>
      <c r="G93" s="0" t="n">
        <v>300</v>
      </c>
      <c r="H93" s="0" t="inlineStr">
        <is>
          <t>(Stage</t>
        </is>
      </c>
      <c r="I93" s="0" t="inlineStr">
        <is>
          <t>:</t>
        </is>
      </c>
      <c r="J93" s="0" t="inlineStr">
        <is>
          <t>5)</t>
        </is>
      </c>
      <c r="K93" s="0">
        <f>IF(H92="1)",1,IF(H92="2)",2,IF(H92="3)",3,IF(H92="4)",4,IF(H92="5)",5,IF(H92="6)",6,IF(H92="7)",7,IF(H92="8)",8,0))))))))</f>
        <v/>
      </c>
      <c r="L93" s="0">
        <f>IF(H92="1)",J92,IF(H92="2)",J92,IF(H92="3)",J92,IF(H92="4)",J92,IF(H92="5)",J92,IF(H92="6)",J92,IF(H92="7)",J92,IF(H92="8)",J92,0))))))))</f>
        <v/>
      </c>
    </row>
    <row r="94">
      <c r="A94" s="0" t="inlineStr">
        <is>
          <t>New</t>
        </is>
      </c>
      <c r="B94" s="0" t="inlineStr">
        <is>
          <t>Item</t>
        </is>
      </c>
      <c r="C94" s="0" t="inlineStr">
        <is>
          <t>Acquired</t>
        </is>
      </c>
      <c r="D94" s="0" t="inlineStr">
        <is>
          <t>:</t>
        </is>
      </c>
      <c r="E94" s="0" t="inlineStr">
        <is>
          <t>75.00K</t>
        </is>
      </c>
      <c r="F94" s="0" t="inlineStr">
        <is>
          <t>(3,</t>
        </is>
      </c>
      <c r="G94" s="0" t="inlineStr">
        <is>
          <t>24)</t>
        </is>
      </c>
      <c r="K94" s="0">
        <f>IF(H93="1)",1,IF(H93="2)",2,IF(H93="3)",3,IF(H93="4)",4,IF(H93="5)",5,IF(H93="6)",6,IF(H93="7)",7,IF(H93="8)",8,0))))))))</f>
        <v/>
      </c>
      <c r="L94" s="0">
        <f>IF(H93="1)",J93,IF(H93="2)",J93,IF(H93="3)",J93,IF(H93="4)",J93,IF(H93="5)",J93,IF(H93="6)",J93,IF(H93="7)",J93,IF(H93="8)",J93,0))))))))</f>
        <v/>
      </c>
    </row>
    <row r="95">
      <c r="A95" s="0" t="inlineStr">
        <is>
          <t>New</t>
        </is>
      </c>
      <c r="B95" s="0" t="inlineStr">
        <is>
          <t>Item</t>
        </is>
      </c>
      <c r="C95" s="0" t="inlineStr">
        <is>
          <t>Acquired</t>
        </is>
      </c>
      <c r="D95" s="0" t="inlineStr">
        <is>
          <t>:</t>
        </is>
      </c>
      <c r="E95" s="0" t="inlineStr">
        <is>
          <t>125.00K</t>
        </is>
      </c>
      <c r="F95" s="0" t="inlineStr">
        <is>
          <t>(6,</t>
        </is>
      </c>
      <c r="G95" s="0" t="inlineStr">
        <is>
          <t>24)</t>
        </is>
      </c>
      <c r="K95" s="0">
        <f>IF(H94="1)",1,IF(H94="2)",2,IF(H94="3)",3,IF(H94="4)",4,IF(H94="5)",5,IF(H94="6)",6,IF(H94="7)",7,IF(H94="8)",8,0))))))))</f>
        <v/>
      </c>
      <c r="L95" s="0">
        <f>IF(H94="1)",J94,IF(H94="2)",J94,IF(H94="3)",J94,IF(H94="4)",J94,IF(H94="5)",J94,IF(H94="6)",J94,IF(H94="7)",J94,IF(H94="8)",J94,0))))))))</f>
        <v/>
      </c>
    </row>
    <row r="96">
      <c r="A96" s="0" t="inlineStr">
        <is>
          <t>New</t>
        </is>
      </c>
      <c r="B96" s="0" t="inlineStr">
        <is>
          <t>Item</t>
        </is>
      </c>
      <c r="C96" s="0" t="inlineStr">
        <is>
          <t>Acquired</t>
        </is>
      </c>
      <c r="D96" s="0" t="inlineStr">
        <is>
          <t>:</t>
        </is>
      </c>
      <c r="E96" s="0" t="inlineStr">
        <is>
          <t>90.00K</t>
        </is>
      </c>
      <c r="F96" s="0" t="inlineStr">
        <is>
          <t>(7,</t>
        </is>
      </c>
      <c r="G96" s="0" t="inlineStr">
        <is>
          <t>24)</t>
        </is>
      </c>
      <c r="K96" s="0">
        <f>IF(H95="1)",1,IF(H95="2)",2,IF(H95="3)",3,IF(H95="4)",4,IF(H95="5)",5,IF(H95="6)",6,IF(H95="7)",7,IF(H95="8)",8,0))))))))</f>
        <v/>
      </c>
      <c r="L96" s="0">
        <f>IF(H95="1)",J95,IF(H95="2)",J95,IF(H95="3)",J95,IF(H95="4)",J95,IF(H95="5)",J95,IF(H95="6)",J95,IF(H95="7)",J95,IF(H95="8)",J95,0))))))))</f>
        <v/>
      </c>
    </row>
    <row r="97">
      <c r="A97" s="0" t="inlineStr">
        <is>
          <t>New</t>
        </is>
      </c>
      <c r="B97" s="0" t="inlineStr">
        <is>
          <t>Item</t>
        </is>
      </c>
      <c r="C97" s="0" t="inlineStr">
        <is>
          <t>Acquired</t>
        </is>
      </c>
      <c r="D97" s="0" t="inlineStr">
        <is>
          <t>:</t>
        </is>
      </c>
      <c r="E97" s="0" t="inlineStr">
        <is>
          <t>Mini</t>
        </is>
      </c>
      <c r="F97" s="0" t="inlineStr">
        <is>
          <t>(3,</t>
        </is>
      </c>
      <c r="G97" s="0" t="inlineStr">
        <is>
          <t>8)</t>
        </is>
      </c>
      <c r="K97" s="0">
        <f>IF(H96="1)",1,IF(H96="2)",2,IF(H96="3)",3,IF(H96="4)",4,IF(H96="5)",5,IF(H96="6)",6,IF(H96="7)",7,IF(H96="8)",8,0))))))))</f>
        <v/>
      </c>
      <c r="L97" s="0">
        <f>IF(H96="1)",J96,IF(H96="2)",J96,IF(H96="3)",J96,IF(H96="4)",J96,IF(H96="5)",J96,IF(H96="6)",J96,IF(H96="7)",J96,IF(H96="8)",J96,0))))))))</f>
        <v/>
      </c>
    </row>
    <row r="98">
      <c r="A98" s="0" t="inlineStr">
        <is>
          <t>New</t>
        </is>
      </c>
      <c r="B98" s="0" t="inlineStr">
        <is>
          <t>Item</t>
        </is>
      </c>
      <c r="C98" s="0" t="inlineStr">
        <is>
          <t>Acquired</t>
        </is>
      </c>
      <c r="D98" s="0" t="inlineStr">
        <is>
          <t>:</t>
        </is>
      </c>
      <c r="E98" s="0" t="inlineStr">
        <is>
          <t>105.00K</t>
        </is>
      </c>
      <c r="F98" s="0" t="inlineStr">
        <is>
          <t>(4,</t>
        </is>
      </c>
      <c r="G98" s="0" t="inlineStr">
        <is>
          <t>9)</t>
        </is>
      </c>
      <c r="K98" s="0">
        <f>IF(H97="1)",1,IF(H97="2)",2,IF(H97="3)",3,IF(H97="4)",4,IF(H97="5)",5,IF(H97="6)",6,IF(H97="7)",7,IF(H97="8)",8,0))))))))</f>
        <v/>
      </c>
      <c r="L98" s="0">
        <f>IF(H97="1)",J97,IF(H97="2)",J97,IF(H97="3)",J97,IF(H97="4)",J97,IF(H97="5)",J97,IF(H97="6)",J97,IF(H97="7)",J97,IF(H97="8)",J97,0))))))))</f>
        <v/>
      </c>
    </row>
    <row r="99">
      <c r="A99" s="0" t="inlineStr">
        <is>
          <t>New</t>
        </is>
      </c>
      <c r="B99" s="0" t="inlineStr">
        <is>
          <t>Item</t>
        </is>
      </c>
      <c r="C99" s="0" t="inlineStr">
        <is>
          <t>Acquired</t>
        </is>
      </c>
      <c r="D99" s="0" t="inlineStr">
        <is>
          <t>:</t>
        </is>
      </c>
      <c r="E99" s="0" t="inlineStr">
        <is>
          <t>70.00K</t>
        </is>
      </c>
      <c r="F99" s="0" t="inlineStr">
        <is>
          <t>(1,</t>
        </is>
      </c>
      <c r="G99" s="0" t="inlineStr">
        <is>
          <t>24)</t>
        </is>
      </c>
      <c r="K99" s="0">
        <f>IF(H98="1)",1,IF(H98="2)",2,IF(H98="3)",3,IF(H98="4)",4,IF(H98="5)",5,IF(H98="6)",6,IF(H98="7)",7,IF(H98="8)",8,0))))))))</f>
        <v/>
      </c>
      <c r="L99" s="0">
        <f>IF(H98="1)",J98,IF(H98="2)",J98,IF(H98="3)",J98,IF(H98="4)",J98,IF(H98="5)",J98,IF(H98="6)",J98,IF(H98="7)",J98,IF(H98="8)",J98,0))))))))</f>
        <v/>
      </c>
    </row>
    <row r="100">
      <c r="A100" s="0" t="inlineStr">
        <is>
          <t>Item</t>
        </is>
      </c>
      <c r="B100" s="0" t="inlineStr">
        <is>
          <t>ReSelect</t>
        </is>
      </c>
      <c r="C100" s="0" t="inlineStr">
        <is>
          <t>Failed</t>
        </is>
      </c>
      <c r="D100" s="0" t="inlineStr">
        <is>
          <t>:</t>
        </is>
      </c>
      <c r="E100" s="0" t="inlineStr">
        <is>
          <t>Attempt</t>
        </is>
      </c>
      <c r="F100" s="0" t="inlineStr">
        <is>
          <t>Count</t>
        </is>
      </c>
      <c r="G100" s="0" t="inlineStr">
        <is>
          <t>-</t>
        </is>
      </c>
      <c r="H100" s="0" t="n">
        <v>3</v>
      </c>
      <c r="K100" s="0">
        <f>IF(H99="1)",1,IF(H99="2)",2,IF(H99="3)",3,IF(H99="4)",4,IF(H99="5)",5,IF(H99="6)",6,IF(H99="7)",7,IF(H99="8)",8,0))))))))</f>
        <v/>
      </c>
      <c r="L100" s="0">
        <f>IF(H99="1)",J99,IF(H99="2)",J99,IF(H99="3)",J99,IF(H99="4)",J99,IF(H99="5)",J99,IF(H99="6)",J99,IF(H99="7)",J99,IF(H99="8)",J99,0))))))))</f>
        <v/>
      </c>
    </row>
    <row r="101">
      <c r="A101" s="0" t="inlineStr">
        <is>
          <t>New</t>
        </is>
      </c>
      <c r="B101" s="0" t="inlineStr">
        <is>
          <t>Item</t>
        </is>
      </c>
      <c r="C101" s="0" t="inlineStr">
        <is>
          <t>Acquired</t>
        </is>
      </c>
      <c r="D101" s="0" t="inlineStr">
        <is>
          <t>:</t>
        </is>
      </c>
      <c r="E101" s="0" t="inlineStr">
        <is>
          <t>175.00K</t>
        </is>
      </c>
      <c r="F101" s="0" t="inlineStr">
        <is>
          <t>(6,</t>
        </is>
      </c>
      <c r="G101" s="0" t="inlineStr">
        <is>
          <t>21)</t>
        </is>
      </c>
      <c r="K101" s="0">
        <f>IF(H100="1)",1,IF(H100="2)",2,IF(H100="3)",3,IF(H100="4)",4,IF(H100="5)",5,IF(H100="6)",6,IF(H100="7)",7,IF(H100="8)",8,0))))))))</f>
        <v/>
      </c>
      <c r="L101" s="0">
        <f>IF(H100="1)",J100,IF(H100="2)",J100,IF(H100="3)",J100,IF(H100="4)",J100,IF(H100="5)",J100,IF(H100="6)",J100,IF(H100="7)",J100,IF(H100="8)",J100,0))))))))</f>
        <v/>
      </c>
    </row>
    <row r="102">
      <c r="A102" s="0" t="inlineStr">
        <is>
          <t>New</t>
        </is>
      </c>
      <c r="B102" s="0" t="inlineStr">
        <is>
          <t>Item</t>
        </is>
      </c>
      <c r="C102" s="0" t="inlineStr">
        <is>
          <t>Acquired</t>
        </is>
      </c>
      <c r="D102" s="0" t="inlineStr">
        <is>
          <t>:</t>
        </is>
      </c>
      <c r="E102" s="0" t="inlineStr">
        <is>
          <t>67.50K</t>
        </is>
      </c>
      <c r="F102" s="0" t="inlineStr">
        <is>
          <t>(5,</t>
        </is>
      </c>
      <c r="G102" s="0" t="inlineStr">
        <is>
          <t>15)</t>
        </is>
      </c>
      <c r="K102" s="0">
        <f>IF(H101="1)",1,IF(H101="2)",2,IF(H101="3)",3,IF(H101="4)",4,IF(H101="5)",5,IF(H101="6)",6,IF(H101="7)",7,IF(H101="8)",8,0))))))))</f>
        <v/>
      </c>
      <c r="L102" s="0">
        <f>IF(H101="1)",J101,IF(H101="2)",J101,IF(H101="3)",J101,IF(H101="4)",J101,IF(H101="5)",J101,IF(H101="6)",J101,IF(H101="7)",J101,IF(H101="8)",J101,0))))))))</f>
        <v/>
      </c>
    </row>
    <row r="103">
      <c r="A103" s="0" t="inlineStr">
        <is>
          <t>New</t>
        </is>
      </c>
      <c r="B103" s="0" t="inlineStr">
        <is>
          <t>Item</t>
        </is>
      </c>
      <c r="C103" s="0" t="inlineStr">
        <is>
          <t>Acquired</t>
        </is>
      </c>
      <c r="D103" s="0" t="inlineStr">
        <is>
          <t>:</t>
        </is>
      </c>
      <c r="E103" s="0" t="inlineStr">
        <is>
          <t>75.00K</t>
        </is>
      </c>
      <c r="F103" s="0" t="inlineStr">
        <is>
          <t>(4,</t>
        </is>
      </c>
      <c r="G103" s="0" t="inlineStr">
        <is>
          <t>4)</t>
        </is>
      </c>
      <c r="K103" s="0">
        <f>IF(H102="1)",1,IF(H102="2)",2,IF(H102="3)",3,IF(H102="4)",4,IF(H102="5)",5,IF(H102="6)",6,IF(H102="7)",7,IF(H102="8)",8,0))))))))</f>
        <v/>
      </c>
      <c r="L103" s="0">
        <f>IF(H102="1)",J102,IF(H102="2)",J102,IF(H102="3)",J102,IF(H102="4)",J102,IF(H102="5)",J102,IF(H102="6)",J102,IF(H102="7)",J102,IF(H102="8)",J102,0))))))))</f>
        <v/>
      </c>
    </row>
    <row r="104">
      <c r="A104" s="0" t="inlineStr">
        <is>
          <t>Line</t>
        </is>
      </c>
      <c r="B104" s="0" t="inlineStr">
        <is>
          <t>Prize</t>
        </is>
      </c>
      <c r="C104" s="0" t="inlineStr">
        <is>
          <t>Acquired</t>
        </is>
      </c>
      <c r="D104" s="0" t="inlineStr">
        <is>
          <t>:</t>
        </is>
      </c>
      <c r="E104" s="0" t="inlineStr">
        <is>
          <t>375.00K</t>
        </is>
      </c>
      <c r="F104" s="0" t="inlineStr">
        <is>
          <t>(Stage</t>
        </is>
      </c>
      <c r="G104" s="0" t="inlineStr">
        <is>
          <t>:</t>
        </is>
      </c>
      <c r="H104" s="0" t="inlineStr">
        <is>
          <t>4)</t>
        </is>
      </c>
      <c r="I104" s="0" t="inlineStr">
        <is>
          <t>-</t>
        </is>
      </c>
      <c r="J104" s="0" t="n">
        <v>375000</v>
      </c>
      <c r="K104" s="0">
        <f>IF(H103="1)",1,IF(H103="2)",2,IF(H103="3)",3,IF(H103="4)",4,IF(H103="5)",5,IF(H103="6)",6,IF(H103="7)",7,IF(H103="8)",8,0))))))))</f>
        <v/>
      </c>
      <c r="L104" s="0">
        <f>IF(H103="1)",J103,IF(H103="2)",J103,IF(H103="3)",J103,IF(H103="4)",J103,IF(H103="5)",J103,IF(H103="6)",J103,IF(H103="7)",J103,IF(H103="8)",J103,0))))))))</f>
        <v/>
      </c>
    </row>
    <row r="105">
      <c r="A105" s="0" t="inlineStr">
        <is>
          <t>Clear</t>
        </is>
      </c>
      <c r="B105" s="0" t="inlineStr">
        <is>
          <t>Gem</t>
        </is>
      </c>
      <c r="C105" s="0" t="inlineStr">
        <is>
          <t>Acquired</t>
        </is>
      </c>
      <c r="D105" s="0" t="inlineStr">
        <is>
          <t>:</t>
        </is>
      </c>
      <c r="E105" s="0" t="n">
        <v>300</v>
      </c>
      <c r="F105" s="0" t="inlineStr">
        <is>
          <t>-&gt;</t>
        </is>
      </c>
      <c r="G105" s="0" t="n">
        <v>400</v>
      </c>
      <c r="H105" s="0" t="inlineStr">
        <is>
          <t>(Stage</t>
        </is>
      </c>
      <c r="I105" s="0" t="inlineStr">
        <is>
          <t>:</t>
        </is>
      </c>
      <c r="J105" s="0" t="inlineStr">
        <is>
          <t>4)</t>
        </is>
      </c>
      <c r="K105" s="0">
        <f>IF(H104="1)",1,IF(H104="2)",2,IF(H104="3)",3,IF(H104="4)",4,IF(H104="5)",5,IF(H104="6)",6,IF(H104="7)",7,IF(H104="8)",8,0))))))))</f>
        <v/>
      </c>
      <c r="L105" s="0">
        <f>IF(H104="1)",J104,IF(H104="2)",J104,IF(H104="3)",J104,IF(H104="4)",J104,IF(H104="5)",J104,IF(H104="6)",J104,IF(H104="7)",J104,IF(H104="8)",J104,0))))))))</f>
        <v/>
      </c>
    </row>
    <row r="106">
      <c r="A106" s="0" t="inlineStr">
        <is>
          <t>New</t>
        </is>
      </c>
      <c r="B106" s="0" t="inlineStr">
        <is>
          <t>Item</t>
        </is>
      </c>
      <c r="C106" s="0" t="inlineStr">
        <is>
          <t>Acquired</t>
        </is>
      </c>
      <c r="D106" s="0" t="inlineStr">
        <is>
          <t>:</t>
        </is>
      </c>
      <c r="E106" s="0" t="inlineStr">
        <is>
          <t>Mini</t>
        </is>
      </c>
      <c r="F106" s="0" t="inlineStr">
        <is>
          <t>(2,</t>
        </is>
      </c>
      <c r="G106" s="0" t="inlineStr">
        <is>
          <t>24)</t>
        </is>
      </c>
      <c r="K106" s="0">
        <f>IF(H105="1)",1,IF(H105="2)",2,IF(H105="3)",3,IF(H105="4)",4,IF(H105="5)",5,IF(H105="6)",6,IF(H105="7)",7,IF(H105="8)",8,0))))))))</f>
        <v/>
      </c>
      <c r="L106" s="0">
        <f>IF(H105="1)",J105,IF(H105="2)",J105,IF(H105="3)",J105,IF(H105="4)",J105,IF(H105="5)",J105,IF(H105="6)",J105,IF(H105="7)",J105,IF(H105="8)",J105,0))))))))</f>
        <v/>
      </c>
    </row>
    <row r="107">
      <c r="A107" s="0" t="inlineStr">
        <is>
          <t>New</t>
        </is>
      </c>
      <c r="B107" s="0" t="inlineStr">
        <is>
          <t>Item</t>
        </is>
      </c>
      <c r="C107" s="0" t="inlineStr">
        <is>
          <t>Acquired</t>
        </is>
      </c>
      <c r="D107" s="0" t="inlineStr">
        <is>
          <t>:</t>
        </is>
      </c>
      <c r="E107" s="0" t="inlineStr">
        <is>
          <t>70.00K</t>
        </is>
      </c>
      <c r="F107" s="0" t="inlineStr">
        <is>
          <t>(1,</t>
        </is>
      </c>
      <c r="G107" s="0" t="inlineStr">
        <is>
          <t>2)</t>
        </is>
      </c>
      <c r="K107" s="0">
        <f>IF(H106="1)",1,IF(H106="2)",2,IF(H106="3)",3,IF(H106="4)",4,IF(H106="5)",5,IF(H106="6)",6,IF(H106="7)",7,IF(H106="8)",8,0))))))))</f>
        <v/>
      </c>
      <c r="L107" s="0">
        <f>IF(H106="1)",J106,IF(H106="2)",J106,IF(H106="3)",J106,IF(H106="4)",J106,IF(H106="5)",J106,IF(H106="6)",J106,IF(H106="7)",J106,IF(H106="8)",J106,0))))))))</f>
        <v/>
      </c>
    </row>
    <row r="108">
      <c r="A108" s="0" t="inlineStr">
        <is>
          <t>New</t>
        </is>
      </c>
      <c r="B108" s="0" t="inlineStr">
        <is>
          <t>Item</t>
        </is>
      </c>
      <c r="C108" s="0" t="inlineStr">
        <is>
          <t>Acquired</t>
        </is>
      </c>
      <c r="D108" s="0" t="inlineStr">
        <is>
          <t>:</t>
        </is>
      </c>
      <c r="E108" s="0" t="inlineStr">
        <is>
          <t>125.00K</t>
        </is>
      </c>
      <c r="F108" s="0" t="inlineStr">
        <is>
          <t>(6,</t>
        </is>
      </c>
      <c r="G108" s="0" t="inlineStr">
        <is>
          <t>18)</t>
        </is>
      </c>
      <c r="K108" s="0">
        <f>IF(H107="1)",1,IF(H107="2)",2,IF(H107="3)",3,IF(H107="4)",4,IF(H107="5)",5,IF(H107="6)",6,IF(H107="7)",7,IF(H107="8)",8,0))))))))</f>
        <v/>
      </c>
      <c r="L108" s="0">
        <f>IF(H107="1)",J107,IF(H107="2)",J107,IF(H107="3)",J107,IF(H107="4)",J107,IF(H107="5)",J107,IF(H107="6)",J107,IF(H107="7)",J107,IF(H107="8)",J107,0))))))))</f>
        <v/>
      </c>
    </row>
    <row r="109">
      <c r="A109" s="0" t="inlineStr">
        <is>
          <t>New</t>
        </is>
      </c>
      <c r="B109" s="0" t="inlineStr">
        <is>
          <t>Item</t>
        </is>
      </c>
      <c r="C109" s="0" t="inlineStr">
        <is>
          <t>Acquired</t>
        </is>
      </c>
      <c r="D109" s="0" t="inlineStr">
        <is>
          <t>:</t>
        </is>
      </c>
      <c r="E109" s="0" t="inlineStr">
        <is>
          <t>30.00K</t>
        </is>
      </c>
      <c r="F109" s="0" t="inlineStr">
        <is>
          <t>(1,</t>
        </is>
      </c>
      <c r="G109" s="0" t="inlineStr">
        <is>
          <t>21)</t>
        </is>
      </c>
      <c r="K109" s="0">
        <f>IF(H108="1)",1,IF(H108="2)",2,IF(H108="3)",3,IF(H108="4)",4,IF(H108="5)",5,IF(H108="6)",6,IF(H108="7)",7,IF(H108="8)",8,0))))))))</f>
        <v/>
      </c>
      <c r="L109" s="0">
        <f>IF(H108="1)",J108,IF(H108="2)",J108,IF(H108="3)",J108,IF(H108="4)",J108,IF(H108="5)",J108,IF(H108="6)",J108,IF(H108="7)",J108,IF(H108="8)",J108,0))))))))</f>
        <v/>
      </c>
    </row>
    <row r="110">
      <c r="A110" s="0" t="inlineStr">
        <is>
          <t>New</t>
        </is>
      </c>
      <c r="B110" s="0" t="inlineStr">
        <is>
          <t>Item</t>
        </is>
      </c>
      <c r="C110" s="0" t="inlineStr">
        <is>
          <t>Acquired</t>
        </is>
      </c>
      <c r="D110" s="0" t="inlineStr">
        <is>
          <t>:</t>
        </is>
      </c>
      <c r="E110" s="0" t="inlineStr">
        <is>
          <t>62.50K</t>
        </is>
      </c>
      <c r="F110" s="0" t="inlineStr">
        <is>
          <t>(2,</t>
        </is>
      </c>
      <c r="G110" s="0" t="inlineStr">
        <is>
          <t>10)</t>
        </is>
      </c>
      <c r="K110" s="0">
        <f>IF(H109="1)",1,IF(H109="2)",2,IF(H109="3)",3,IF(H109="4)",4,IF(H109="5)",5,IF(H109="6)",6,IF(H109="7)",7,IF(H109="8)",8,0))))))))</f>
        <v/>
      </c>
      <c r="L110" s="0">
        <f>IF(H109="1)",J109,IF(H109="2)",J109,IF(H109="3)",J109,IF(H109="4)",J109,IF(H109="5)",J109,IF(H109="6)",J109,IF(H109="7)",J109,IF(H109="8)",J109,0))))))))</f>
        <v/>
      </c>
    </row>
    <row r="111">
      <c r="A111" s="0" t="inlineStr">
        <is>
          <t>New</t>
        </is>
      </c>
      <c r="B111" s="0" t="inlineStr">
        <is>
          <t>Item</t>
        </is>
      </c>
      <c r="C111" s="0" t="inlineStr">
        <is>
          <t>Acquired</t>
        </is>
      </c>
      <c r="D111" s="0" t="inlineStr">
        <is>
          <t>:</t>
        </is>
      </c>
      <c r="E111" s="0" t="inlineStr">
        <is>
          <t>Major</t>
        </is>
      </c>
      <c r="F111" s="0" t="inlineStr">
        <is>
          <t>(7,</t>
        </is>
      </c>
      <c r="G111" s="0" t="inlineStr">
        <is>
          <t>1)</t>
        </is>
      </c>
      <c r="K111" s="0">
        <f>IF(H110="1)",1,IF(H110="2)",2,IF(H110="3)",3,IF(H110="4)",4,IF(H110="5)",5,IF(H110="6)",6,IF(H110="7)",7,IF(H110="8)",8,0))))))))</f>
        <v/>
      </c>
      <c r="L111" s="0">
        <f>IF(H110="1)",J110,IF(H110="2)",J110,IF(H110="3)",J110,IF(H110="4)",J110,IF(H110="5)",J110,IF(H110="6)",J110,IF(H110="7)",J110,IF(H110="8)",J110,0))))))))</f>
        <v/>
      </c>
    </row>
    <row r="112">
      <c r="A112" s="0" t="inlineStr">
        <is>
          <t>New</t>
        </is>
      </c>
      <c r="B112" s="0" t="inlineStr">
        <is>
          <t>Item</t>
        </is>
      </c>
      <c r="C112" s="0" t="inlineStr">
        <is>
          <t>Acquired</t>
        </is>
      </c>
      <c r="D112" s="0" t="inlineStr">
        <is>
          <t>:</t>
        </is>
      </c>
      <c r="E112" s="0" t="inlineStr">
        <is>
          <t>75.00K</t>
        </is>
      </c>
      <c r="F112" s="0" t="inlineStr">
        <is>
          <t>(6,</t>
        </is>
      </c>
      <c r="G112" s="0" t="inlineStr">
        <is>
          <t>6)</t>
        </is>
      </c>
      <c r="K112" s="0">
        <f>IF(H111="1)",1,IF(H111="2)",2,IF(H111="3)",3,IF(H111="4)",4,IF(H111="5)",5,IF(H111="6)",6,IF(H111="7)",7,IF(H111="8)",8,0))))))))</f>
        <v/>
      </c>
      <c r="L112" s="0">
        <f>IF(H111="1)",J111,IF(H111="2)",J111,IF(H111="3)",J111,IF(H111="4)",J111,IF(H111="5)",J111,IF(H111="6)",J111,IF(H111="7)",J111,IF(H111="8)",J111,0))))))))</f>
        <v/>
      </c>
    </row>
    <row r="113">
      <c r="A113" s="0" t="inlineStr">
        <is>
          <t>New</t>
        </is>
      </c>
      <c r="B113" s="0" t="inlineStr">
        <is>
          <t>Item</t>
        </is>
      </c>
      <c r="C113" s="0" t="inlineStr">
        <is>
          <t>Acquired</t>
        </is>
      </c>
      <c r="D113" s="0" t="inlineStr">
        <is>
          <t>:</t>
        </is>
      </c>
      <c r="E113" s="0" t="inlineStr">
        <is>
          <t>150.00K</t>
        </is>
      </c>
      <c r="F113" s="0" t="inlineStr">
        <is>
          <t>(7,</t>
        </is>
      </c>
      <c r="G113" s="0" t="inlineStr">
        <is>
          <t>15)</t>
        </is>
      </c>
      <c r="K113" s="0">
        <f>IF(H112="1)",1,IF(H112="2)",2,IF(H112="3)",3,IF(H112="4)",4,IF(H112="5)",5,IF(H112="6)",6,IF(H112="7)",7,IF(H112="8)",8,0))))))))</f>
        <v/>
      </c>
      <c r="L113" s="0">
        <f>IF(H112="1)",J112,IF(H112="2)",J112,IF(H112="3)",J112,IF(H112="4)",J112,IF(H112="5)",J112,IF(H112="6)",J112,IF(H112="7)",J112,IF(H112="8)",J112,0))))))))</f>
        <v/>
      </c>
    </row>
    <row r="114">
      <c r="A114" s="0" t="inlineStr">
        <is>
          <t>New</t>
        </is>
      </c>
      <c r="B114" s="0" t="inlineStr">
        <is>
          <t>Item</t>
        </is>
      </c>
      <c r="C114" s="0" t="inlineStr">
        <is>
          <t>Acquired</t>
        </is>
      </c>
      <c r="D114" s="0" t="inlineStr">
        <is>
          <t>:</t>
        </is>
      </c>
      <c r="E114" s="0" t="inlineStr">
        <is>
          <t>112.50K</t>
        </is>
      </c>
      <c r="F114" s="0" t="inlineStr">
        <is>
          <t>(5,</t>
        </is>
      </c>
      <c r="G114" s="0" t="inlineStr">
        <is>
          <t>24)</t>
        </is>
      </c>
      <c r="K114" s="0">
        <f>IF(H113="1)",1,IF(H113="2)",2,IF(H113="3)",3,IF(H113="4)",4,IF(H113="5)",5,IF(H113="6)",6,IF(H113="7)",7,IF(H113="8)",8,0))))))))</f>
        <v/>
      </c>
      <c r="L114" s="0">
        <f>IF(H113="1)",J113,IF(H113="2)",J113,IF(H113="3)",J113,IF(H113="4)",J113,IF(H113="5)",J113,IF(H113="6)",J113,IF(H113="7)",J113,IF(H113="8)",J113,0))))))))</f>
        <v/>
      </c>
    </row>
    <row r="115">
      <c r="A115" s="0" t="inlineStr">
        <is>
          <t>New</t>
        </is>
      </c>
      <c r="B115" s="0" t="inlineStr">
        <is>
          <t>Item</t>
        </is>
      </c>
      <c r="C115" s="0" t="inlineStr">
        <is>
          <t>Acquired</t>
        </is>
      </c>
      <c r="D115" s="0" t="inlineStr">
        <is>
          <t>:</t>
        </is>
      </c>
      <c r="E115" s="0" t="inlineStr">
        <is>
          <t>Mini</t>
        </is>
      </c>
      <c r="F115" s="0" t="inlineStr">
        <is>
          <t>(1,</t>
        </is>
      </c>
      <c r="G115" s="0" t="inlineStr">
        <is>
          <t>19)</t>
        </is>
      </c>
      <c r="K115" s="0">
        <f>IF(H114="1)",1,IF(H114="2)",2,IF(H114="3)",3,IF(H114="4)",4,IF(H114="5)",5,IF(H114="6)",6,IF(H114="7)",7,IF(H114="8)",8,0))))))))</f>
        <v/>
      </c>
      <c r="L115" s="0">
        <f>IF(H114="1)",J114,IF(H114="2)",J114,IF(H114="3)",J114,IF(H114="4)",J114,IF(H114="5)",J114,IF(H114="6)",J114,IF(H114="7)",J114,IF(H114="8)",J114,0))))))))</f>
        <v/>
      </c>
    </row>
    <row r="116">
      <c r="A116" s="0" t="inlineStr">
        <is>
          <t>New</t>
        </is>
      </c>
      <c r="B116" s="0" t="inlineStr">
        <is>
          <t>Item</t>
        </is>
      </c>
      <c r="C116" s="0" t="inlineStr">
        <is>
          <t>Acquired</t>
        </is>
      </c>
      <c r="D116" s="0" t="inlineStr">
        <is>
          <t>:</t>
        </is>
      </c>
      <c r="E116" s="0" t="inlineStr">
        <is>
          <t>125.00K</t>
        </is>
      </c>
      <c r="F116" s="0" t="inlineStr">
        <is>
          <t>(6,</t>
        </is>
      </c>
      <c r="G116" s="0" t="inlineStr">
        <is>
          <t>2)</t>
        </is>
      </c>
      <c r="K116" s="0">
        <f>IF(H115="1)",1,IF(H115="2)",2,IF(H115="3)",3,IF(H115="4)",4,IF(H115="5)",5,IF(H115="6)",6,IF(H115="7)",7,IF(H115="8)",8,0))))))))</f>
        <v/>
      </c>
      <c r="L116" s="0">
        <f>IF(H115="1)",J115,IF(H115="2)",J115,IF(H115="3)",J115,IF(H115="4)",J115,IF(H115="5)",J115,IF(H115="6)",J115,IF(H115="7)",J115,IF(H115="8)",J115,0))))))))</f>
        <v/>
      </c>
    </row>
    <row r="117">
      <c r="A117" s="0" t="inlineStr">
        <is>
          <t>New</t>
        </is>
      </c>
      <c r="B117" s="0" t="inlineStr">
        <is>
          <t>Item</t>
        </is>
      </c>
      <c r="C117" s="0" t="inlineStr">
        <is>
          <t>Acquired</t>
        </is>
      </c>
      <c r="D117" s="0" t="inlineStr">
        <is>
          <t>:</t>
        </is>
      </c>
      <c r="E117" s="0" t="inlineStr">
        <is>
          <t>45.00K</t>
        </is>
      </c>
      <c r="F117" s="0" t="inlineStr">
        <is>
          <t>(3,</t>
        </is>
      </c>
      <c r="G117" s="0" t="inlineStr">
        <is>
          <t>16)</t>
        </is>
      </c>
      <c r="K117" s="0">
        <f>IF(H116="1)",1,IF(H116="2)",2,IF(H116="3)",3,IF(H116="4)",4,IF(H116="5)",5,IF(H116="6)",6,IF(H116="7)",7,IF(H116="8)",8,0))))))))</f>
        <v/>
      </c>
      <c r="L117" s="0">
        <f>IF(H116="1)",J116,IF(H116="2)",J116,IF(H116="3)",J116,IF(H116="4)",J116,IF(H116="5)",J116,IF(H116="6)",J116,IF(H116="7)",J116,IF(H116="8)",J116,0))))))))</f>
        <v/>
      </c>
    </row>
    <row r="118">
      <c r="A118" s="0" t="inlineStr">
        <is>
          <t>New</t>
        </is>
      </c>
      <c r="B118" s="0" t="inlineStr">
        <is>
          <t>Item</t>
        </is>
      </c>
      <c r="C118" s="0" t="inlineStr">
        <is>
          <t>Acquired</t>
        </is>
      </c>
      <c r="D118" s="0" t="inlineStr">
        <is>
          <t>:</t>
        </is>
      </c>
      <c r="E118" s="0" t="inlineStr">
        <is>
          <t>125.00K</t>
        </is>
      </c>
      <c r="F118" s="0" t="inlineStr">
        <is>
          <t>(6,</t>
        </is>
      </c>
      <c r="G118" s="0" t="inlineStr">
        <is>
          <t>8)</t>
        </is>
      </c>
      <c r="K118" s="0">
        <f>IF(H117="1)",1,IF(H117="2)",2,IF(H117="3)",3,IF(H117="4)",4,IF(H117="5)",5,IF(H117="6)",6,IF(H117="7)",7,IF(H117="8)",8,0))))))))</f>
        <v/>
      </c>
      <c r="L118" s="0">
        <f>IF(H117="1)",J117,IF(H117="2)",J117,IF(H117="3)",J117,IF(H117="4)",J117,IF(H117="5)",J117,IF(H117="6)",J117,IF(H117="7)",J117,IF(H117="8)",J117,0))))))))</f>
        <v/>
      </c>
    </row>
    <row r="119">
      <c r="A119" s="0" t="inlineStr">
        <is>
          <t>New</t>
        </is>
      </c>
      <c r="B119" s="0" t="inlineStr">
        <is>
          <t>Item</t>
        </is>
      </c>
      <c r="C119" s="0" t="inlineStr">
        <is>
          <t>Acquired</t>
        </is>
      </c>
      <c r="D119" s="0" t="inlineStr">
        <is>
          <t>:</t>
        </is>
      </c>
      <c r="E119" s="0" t="inlineStr">
        <is>
          <t>280.00K</t>
        </is>
      </c>
      <c r="F119" s="0" t="inlineStr">
        <is>
          <t>(8,</t>
        </is>
      </c>
      <c r="G119" s="0" t="inlineStr">
        <is>
          <t>15)</t>
        </is>
      </c>
      <c r="K119" s="0">
        <f>IF(H118="1)",1,IF(H118="2)",2,IF(H118="3)",3,IF(H118="4)",4,IF(H118="5)",5,IF(H118="6)",6,IF(H118="7)",7,IF(H118="8)",8,0))))))))</f>
        <v/>
      </c>
      <c r="L119" s="0">
        <f>IF(H118="1)",J118,IF(H118="2)",J118,IF(H118="3)",J118,IF(H118="4)",J118,IF(H118="5)",J118,IF(H118="6)",J118,IF(H118="7)",J118,IF(H118="8)",J118,0))))))))</f>
        <v/>
      </c>
    </row>
    <row r="120">
      <c r="A120" s="0" t="inlineStr">
        <is>
          <t>New</t>
        </is>
      </c>
      <c r="B120" s="0" t="inlineStr">
        <is>
          <t>Item</t>
        </is>
      </c>
      <c r="C120" s="0" t="inlineStr">
        <is>
          <t>Acquired</t>
        </is>
      </c>
      <c r="D120" s="0" t="inlineStr">
        <is>
          <t>:</t>
        </is>
      </c>
      <c r="E120" s="0" t="inlineStr">
        <is>
          <t>60.00K</t>
        </is>
      </c>
      <c r="F120" s="0" t="inlineStr">
        <is>
          <t>(4,</t>
        </is>
      </c>
      <c r="G120" s="0" t="inlineStr">
        <is>
          <t>15)</t>
        </is>
      </c>
      <c r="K120" s="0">
        <f>IF(H119="1)",1,IF(H119="2)",2,IF(H119="3)",3,IF(H119="4)",4,IF(H119="5)",5,IF(H119="6)",6,IF(H119="7)",7,IF(H119="8)",8,0))))))))</f>
        <v/>
      </c>
      <c r="L120" s="0">
        <f>IF(H119="1)",J119,IF(H119="2)",J119,IF(H119="3)",J119,IF(H119="4)",J119,IF(H119="5)",J119,IF(H119="6)",J119,IF(H119="7)",J119,IF(H119="8)",J119,0))))))))</f>
        <v/>
      </c>
    </row>
    <row r="121">
      <c r="A121" s="0" t="inlineStr">
        <is>
          <t>New</t>
        </is>
      </c>
      <c r="B121" s="0" t="inlineStr">
        <is>
          <t>Item</t>
        </is>
      </c>
      <c r="C121" s="0" t="inlineStr">
        <is>
          <t>Acquired</t>
        </is>
      </c>
      <c r="D121" s="0" t="inlineStr">
        <is>
          <t>:</t>
        </is>
      </c>
      <c r="E121" s="0" t="inlineStr">
        <is>
          <t>45.00K</t>
        </is>
      </c>
      <c r="F121" s="0" t="inlineStr">
        <is>
          <t>(3,</t>
        </is>
      </c>
      <c r="G121" s="0" t="inlineStr">
        <is>
          <t>3)</t>
        </is>
      </c>
      <c r="K121" s="0">
        <f>IF(H120="1)",1,IF(H120="2)",2,IF(H120="3)",3,IF(H120="4)",4,IF(H120="5)",5,IF(H120="6)",6,IF(H120="7)",7,IF(H120="8)",8,0))))))))</f>
        <v/>
      </c>
      <c r="L121" s="0">
        <f>IF(H120="1)",J120,IF(H120="2)",J120,IF(H120="3)",J120,IF(H120="4)",J120,IF(H120="5)",J120,IF(H120="6)",J120,IF(H120="7)",J120,IF(H120="8)",J120,0))))))))</f>
        <v/>
      </c>
    </row>
    <row r="122">
      <c r="A122" s="0" t="inlineStr">
        <is>
          <t>New</t>
        </is>
      </c>
      <c r="B122" s="0" t="inlineStr">
        <is>
          <t>Item</t>
        </is>
      </c>
      <c r="C122" s="0" t="inlineStr">
        <is>
          <t>Acquired</t>
        </is>
      </c>
      <c r="D122" s="0" t="inlineStr">
        <is>
          <t>:</t>
        </is>
      </c>
      <c r="E122" s="0" t="inlineStr">
        <is>
          <t>60.00K</t>
        </is>
      </c>
      <c r="F122" s="0" t="inlineStr">
        <is>
          <t>(4,</t>
        </is>
      </c>
      <c r="G122" s="0" t="inlineStr">
        <is>
          <t>19)</t>
        </is>
      </c>
      <c r="K122" s="0">
        <f>IF(H121="1)",1,IF(H121="2)",2,IF(H121="3)",3,IF(H121="4)",4,IF(H121="5)",5,IF(H121="6)",6,IF(H121="7)",7,IF(H121="8)",8,0))))))))</f>
        <v/>
      </c>
      <c r="L122" s="0">
        <f>IF(H121="1)",J121,IF(H121="2)",J121,IF(H121="3)",J121,IF(H121="4)",J121,IF(H121="5)",J121,IF(H121="6)",J121,IF(H121="7)",J121,IF(H121="8)",J121,0))))))))</f>
        <v/>
      </c>
    </row>
    <row r="123">
      <c r="A123" s="0" t="inlineStr">
        <is>
          <t>New</t>
        </is>
      </c>
      <c r="B123" s="0" t="inlineStr">
        <is>
          <t>Item</t>
        </is>
      </c>
      <c r="C123" s="0" t="inlineStr">
        <is>
          <t>Acquired</t>
        </is>
      </c>
      <c r="D123" s="0" t="inlineStr">
        <is>
          <t>:</t>
        </is>
      </c>
      <c r="E123" s="0" t="inlineStr">
        <is>
          <t>75.00K</t>
        </is>
      </c>
      <c r="F123" s="0" t="inlineStr">
        <is>
          <t>(4,</t>
        </is>
      </c>
      <c r="G123" s="0" t="inlineStr">
        <is>
          <t>8)</t>
        </is>
      </c>
      <c r="K123" s="0">
        <f>IF(H122="1)",1,IF(H122="2)",2,IF(H122="3)",3,IF(H122="4)",4,IF(H122="5)",5,IF(H122="6)",6,IF(H122="7)",7,IF(H122="8)",8,0))))))))</f>
        <v/>
      </c>
      <c r="L123" s="0">
        <f>IF(H122="1)",J122,IF(H122="2)",J122,IF(H122="3)",J122,IF(H122="4)",J122,IF(H122="5)",J122,IF(H122="6)",J122,IF(H122="7)",J122,IF(H122="8)",J122,0))))))))</f>
        <v/>
      </c>
    </row>
    <row r="124">
      <c r="A124" s="0" t="inlineStr">
        <is>
          <t>New</t>
        </is>
      </c>
      <c r="B124" s="0" t="inlineStr">
        <is>
          <t>Item</t>
        </is>
      </c>
      <c r="C124" s="0" t="inlineStr">
        <is>
          <t>Acquired</t>
        </is>
      </c>
      <c r="D124" s="0" t="inlineStr">
        <is>
          <t>:</t>
        </is>
      </c>
      <c r="E124" s="0" t="inlineStr">
        <is>
          <t>30.00K</t>
        </is>
      </c>
      <c r="F124" s="0" t="inlineStr">
        <is>
          <t>(1,</t>
        </is>
      </c>
      <c r="G124" s="0" t="inlineStr">
        <is>
          <t>14)</t>
        </is>
      </c>
      <c r="K124" s="0">
        <f>IF(H123="1)",1,IF(H123="2)",2,IF(H123="3)",3,IF(H123="4)",4,IF(H123="5)",5,IF(H123="6)",6,IF(H123="7)",7,IF(H123="8)",8,0))))))))</f>
        <v/>
      </c>
      <c r="L124" s="0">
        <f>IF(H123="1)",J123,IF(H123="2)",J123,IF(H123="3)",J123,IF(H123="4)",J123,IF(H123="5)",J123,IF(H123="6)",J123,IF(H123="7)",J123,IF(H123="8)",J123,0))))))))</f>
        <v/>
      </c>
    </row>
    <row r="125">
      <c r="A125" s="0" t="inlineStr">
        <is>
          <t>New</t>
        </is>
      </c>
      <c r="B125" s="0" t="inlineStr">
        <is>
          <t>Item</t>
        </is>
      </c>
      <c r="C125" s="0" t="inlineStr">
        <is>
          <t>Acquired</t>
        </is>
      </c>
      <c r="D125" s="0" t="inlineStr">
        <is>
          <t>:</t>
        </is>
      </c>
      <c r="E125" s="0" t="inlineStr">
        <is>
          <t>75.00K</t>
        </is>
      </c>
      <c r="F125" s="0" t="inlineStr">
        <is>
          <t>(4,</t>
        </is>
      </c>
      <c r="G125" s="0" t="inlineStr">
        <is>
          <t>16)</t>
        </is>
      </c>
      <c r="K125" s="0">
        <f>IF(H124="1)",1,IF(H124="2)",2,IF(H124="3)",3,IF(H124="4)",4,IF(H124="5)",5,IF(H124="6)",6,IF(H124="7)",7,IF(H124="8)",8,0))))))))</f>
        <v/>
      </c>
      <c r="L125" s="0">
        <f>IF(H124="1)",J124,IF(H124="2)",J124,IF(H124="3)",J124,IF(H124="4)",J124,IF(H124="5)",J124,IF(H124="6)",J124,IF(H124="7)",J124,IF(H124="8)",J124,0))))))))</f>
        <v/>
      </c>
    </row>
    <row r="126">
      <c r="A126" s="0" t="inlineStr">
        <is>
          <t>New</t>
        </is>
      </c>
      <c r="B126" s="0" t="inlineStr">
        <is>
          <t>Item</t>
        </is>
      </c>
      <c r="C126" s="0" t="inlineStr">
        <is>
          <t>Acquired</t>
        </is>
      </c>
      <c r="D126" s="0" t="inlineStr">
        <is>
          <t>:</t>
        </is>
      </c>
      <c r="E126" s="0" t="inlineStr">
        <is>
          <t>75.00K</t>
        </is>
      </c>
      <c r="F126" s="0" t="inlineStr">
        <is>
          <t>(4,</t>
        </is>
      </c>
      <c r="G126" s="0" t="inlineStr">
        <is>
          <t>7)</t>
        </is>
      </c>
      <c r="K126" s="0">
        <f>IF(H125="1)",1,IF(H125="2)",2,IF(H125="3)",3,IF(H125="4)",4,IF(H125="5)",5,IF(H125="6)",6,IF(H125="7)",7,IF(H125="8)",8,0))))))))</f>
        <v/>
      </c>
      <c r="L126" s="0">
        <f>IF(H125="1)",J125,IF(H125="2)",J125,IF(H125="3)",J125,IF(H125="4)",J125,IF(H125="5)",J125,IF(H125="6)",J125,IF(H125="7)",J125,IF(H125="8)",J125,0))))))))</f>
        <v/>
      </c>
    </row>
    <row r="127">
      <c r="A127" s="0" t="inlineStr">
        <is>
          <t>New</t>
        </is>
      </c>
      <c r="B127" s="0" t="inlineStr">
        <is>
          <t>Item</t>
        </is>
      </c>
      <c r="C127" s="0" t="inlineStr">
        <is>
          <t>Acquired</t>
        </is>
      </c>
      <c r="D127" s="0" t="inlineStr">
        <is>
          <t>:</t>
        </is>
      </c>
      <c r="E127" s="0" t="inlineStr">
        <is>
          <t>125.00K</t>
        </is>
      </c>
      <c r="F127" s="0" t="inlineStr">
        <is>
          <t>(6,</t>
        </is>
      </c>
      <c r="G127" s="0" t="inlineStr">
        <is>
          <t>22)</t>
        </is>
      </c>
      <c r="K127" s="0">
        <f>IF(H126="1)",1,IF(H126="2)",2,IF(H126="3)",3,IF(H126="4)",4,IF(H126="5)",5,IF(H126="6)",6,IF(H126="7)",7,IF(H126="8)",8,0))))))))</f>
        <v/>
      </c>
      <c r="L127" s="0">
        <f>IF(H126="1)",J126,IF(H126="2)",J126,IF(H126="3)",J126,IF(H126="4)",J126,IF(H126="5)",J126,IF(H126="6)",J126,IF(H126="7)",J126,IF(H126="8)",J126,0))))))))</f>
        <v/>
      </c>
    </row>
    <row r="128">
      <c r="A128" s="0" t="inlineStr">
        <is>
          <t>Line</t>
        </is>
      </c>
      <c r="B128" s="0" t="inlineStr">
        <is>
          <t>Prize</t>
        </is>
      </c>
      <c r="C128" s="0" t="inlineStr">
        <is>
          <t>Acquired</t>
        </is>
      </c>
      <c r="D128" s="0" t="inlineStr">
        <is>
          <t>:</t>
        </is>
      </c>
      <c r="E128" s="0" t="inlineStr">
        <is>
          <t>575.00K</t>
        </is>
      </c>
      <c r="F128" s="0" t="inlineStr">
        <is>
          <t>(Stage</t>
        </is>
      </c>
      <c r="G128" s="0" t="inlineStr">
        <is>
          <t>:</t>
        </is>
      </c>
      <c r="H128" s="0" t="inlineStr">
        <is>
          <t>6)</t>
        </is>
      </c>
      <c r="I128" s="0" t="inlineStr">
        <is>
          <t>-</t>
        </is>
      </c>
      <c r="J128" s="0" t="n">
        <v>575000</v>
      </c>
      <c r="K128" s="0">
        <f>IF(H127="1)",1,IF(H127="2)",2,IF(H127="3)",3,IF(H127="4)",4,IF(H127="5)",5,IF(H127="6)",6,IF(H127="7)",7,IF(H127="8)",8,0))))))))</f>
        <v/>
      </c>
      <c r="L128" s="0">
        <f>IF(H127="1)",J127,IF(H127="2)",J127,IF(H127="3)",J127,IF(H127="4)",J127,IF(H127="5)",J127,IF(H127="6)",J127,IF(H127="7)",J127,IF(H127="8)",J127,0))))))))</f>
        <v/>
      </c>
    </row>
    <row r="129">
      <c r="A129" s="0" t="inlineStr">
        <is>
          <t>Clear</t>
        </is>
      </c>
      <c r="B129" s="0" t="inlineStr">
        <is>
          <t>Gem</t>
        </is>
      </c>
      <c r="C129" s="0" t="inlineStr">
        <is>
          <t>Acquired</t>
        </is>
      </c>
      <c r="D129" s="0" t="inlineStr">
        <is>
          <t>:</t>
        </is>
      </c>
      <c r="E129" s="0" t="n">
        <v>400</v>
      </c>
      <c r="F129" s="0" t="inlineStr">
        <is>
          <t>-&gt;</t>
        </is>
      </c>
      <c r="G129" s="0" t="n">
        <v>500</v>
      </c>
      <c r="H129" s="0" t="inlineStr">
        <is>
          <t>(Stage</t>
        </is>
      </c>
      <c r="I129" s="0" t="inlineStr">
        <is>
          <t>:</t>
        </is>
      </c>
      <c r="J129" s="0" t="inlineStr">
        <is>
          <t>6)</t>
        </is>
      </c>
      <c r="K129" s="0">
        <f>IF(H128="1)",1,IF(H128="2)",2,IF(H128="3)",3,IF(H128="4)",4,IF(H128="5)",5,IF(H128="6)",6,IF(H128="7)",7,IF(H128="8)",8,0))))))))</f>
        <v/>
      </c>
      <c r="L129" s="0">
        <f>IF(H128="1)",J128,IF(H128="2)",J128,IF(H128="3)",J128,IF(H128="4)",J128,IF(H128="5)",J128,IF(H128="6)",J128,IF(H128="7)",J128,IF(H128="8)",J128,0))))))))</f>
        <v/>
      </c>
    </row>
    <row r="130">
      <c r="A130" s="0" t="inlineStr">
        <is>
          <t>New</t>
        </is>
      </c>
      <c r="B130" s="0" t="inlineStr">
        <is>
          <t>Item</t>
        </is>
      </c>
      <c r="C130" s="0" t="inlineStr">
        <is>
          <t>Acquired</t>
        </is>
      </c>
      <c r="D130" s="0" t="inlineStr">
        <is>
          <t>:</t>
        </is>
      </c>
      <c r="E130" s="0" t="inlineStr">
        <is>
          <t>Mini</t>
        </is>
      </c>
      <c r="F130" s="0" t="inlineStr">
        <is>
          <t>(6,</t>
        </is>
      </c>
      <c r="G130" s="0" t="inlineStr">
        <is>
          <t>5)</t>
        </is>
      </c>
      <c r="K130" s="0">
        <f>IF(H129="1)",1,IF(H129="2)",2,IF(H129="3)",3,IF(H129="4)",4,IF(H129="5)",5,IF(H129="6)",6,IF(H129="7)",7,IF(H129="8)",8,0))))))))</f>
        <v/>
      </c>
      <c r="L130" s="0">
        <f>IF(H129="1)",J129,IF(H129="2)",J129,IF(H129="3)",J129,IF(H129="4)",J129,IF(H129="5)",J129,IF(H129="6)",J129,IF(H129="7)",J129,IF(H129="8)",J129,0))))))))</f>
        <v/>
      </c>
    </row>
    <row r="131">
      <c r="A131" s="0" t="inlineStr">
        <is>
          <t>New</t>
        </is>
      </c>
      <c r="B131" s="0" t="inlineStr">
        <is>
          <t>Item</t>
        </is>
      </c>
      <c r="C131" s="0" t="inlineStr">
        <is>
          <t>Acquired</t>
        </is>
      </c>
      <c r="D131" s="0" t="inlineStr">
        <is>
          <t>:</t>
        </is>
      </c>
      <c r="E131" s="0" t="inlineStr">
        <is>
          <t>50.00K</t>
        </is>
      </c>
      <c r="F131" s="0" t="inlineStr">
        <is>
          <t>(1,</t>
        </is>
      </c>
      <c r="G131" s="0" t="inlineStr">
        <is>
          <t>8)</t>
        </is>
      </c>
      <c r="K131" s="0">
        <f>IF(H130="1)",1,IF(H130="2)",2,IF(H130="3)",3,IF(H130="4)",4,IF(H130="5)",5,IF(H130="6)",6,IF(H130="7)",7,IF(H130="8)",8,0))))))))</f>
        <v/>
      </c>
      <c r="L131" s="0">
        <f>IF(H130="1)",J130,IF(H130="2)",J130,IF(H130="3)",J130,IF(H130="4)",J130,IF(H130="5)",J130,IF(H130="6)",J130,IF(H130="7)",J130,IF(H130="8)",J130,0))))))))</f>
        <v/>
      </c>
    </row>
    <row r="132">
      <c r="A132" s="0" t="inlineStr">
        <is>
          <t>New</t>
        </is>
      </c>
      <c r="B132" s="0" t="inlineStr">
        <is>
          <t>Item</t>
        </is>
      </c>
      <c r="C132" s="0" t="inlineStr">
        <is>
          <t>Acquired</t>
        </is>
      </c>
      <c r="D132" s="0" t="inlineStr">
        <is>
          <t>:</t>
        </is>
      </c>
      <c r="E132" s="0" t="inlineStr">
        <is>
          <t>125.00K</t>
        </is>
      </c>
      <c r="F132" s="0" t="inlineStr">
        <is>
          <t>(6,</t>
        </is>
      </c>
      <c r="G132" s="0" t="inlineStr">
        <is>
          <t>12)</t>
        </is>
      </c>
      <c r="K132" s="0">
        <f>IF(H131="1)",1,IF(H131="2)",2,IF(H131="3)",3,IF(H131="4)",4,IF(H131="5)",5,IF(H131="6)",6,IF(H131="7)",7,IF(H131="8)",8,0))))))))</f>
        <v/>
      </c>
      <c r="L132" s="0">
        <f>IF(H131="1)",J131,IF(H131="2)",J131,IF(H131="3)",J131,IF(H131="4)",J131,IF(H131="5)",J131,IF(H131="6)",J131,IF(H131="7)",J131,IF(H131="8)",J131,0))))))))</f>
        <v/>
      </c>
    </row>
    <row r="133">
      <c r="A133" s="0" t="inlineStr">
        <is>
          <t>New</t>
        </is>
      </c>
      <c r="B133" s="0" t="inlineStr">
        <is>
          <t>Item</t>
        </is>
      </c>
      <c r="C133" s="0" t="inlineStr">
        <is>
          <t>Acquired</t>
        </is>
      </c>
      <c r="D133" s="0" t="inlineStr">
        <is>
          <t>:</t>
        </is>
      </c>
      <c r="E133" s="0" t="inlineStr">
        <is>
          <t>75.00K</t>
        </is>
      </c>
      <c r="F133" s="0" t="inlineStr">
        <is>
          <t>(4,</t>
        </is>
      </c>
      <c r="G133" s="0" t="inlineStr">
        <is>
          <t>1)</t>
        </is>
      </c>
      <c r="K133" s="0">
        <f>IF(H132="1)",1,IF(H132="2)",2,IF(H132="3)",3,IF(H132="4)",4,IF(H132="5)",5,IF(H132="6)",6,IF(H132="7)",7,IF(H132="8)",8,0))))))))</f>
        <v/>
      </c>
      <c r="L133" s="0">
        <f>IF(H132="1)",J132,IF(H132="2)",J132,IF(H132="3)",J132,IF(H132="4)",J132,IF(H132="5)",J132,IF(H132="6)",J132,IF(H132="7)",J132,IF(H132="8)",J132,0))))))))</f>
        <v/>
      </c>
    </row>
    <row r="134">
      <c r="A134" s="0" t="inlineStr">
        <is>
          <t>New</t>
        </is>
      </c>
      <c r="B134" s="0" t="inlineStr">
        <is>
          <t>Item</t>
        </is>
      </c>
      <c r="C134" s="0" t="inlineStr">
        <is>
          <t>Acquired</t>
        </is>
      </c>
      <c r="D134" s="0" t="inlineStr">
        <is>
          <t>:</t>
        </is>
      </c>
      <c r="E134" s="0" t="inlineStr">
        <is>
          <t>125.00K</t>
        </is>
      </c>
      <c r="F134" s="0" t="inlineStr">
        <is>
          <t>(6,</t>
        </is>
      </c>
      <c r="G134" s="0" t="inlineStr">
        <is>
          <t>22)</t>
        </is>
      </c>
      <c r="K134" s="0">
        <f>IF(H133="1)",1,IF(H133="2)",2,IF(H133="3)",3,IF(H133="4)",4,IF(H133="5)",5,IF(H133="6)",6,IF(H133="7)",7,IF(H133="8)",8,0))))))))</f>
        <v/>
      </c>
      <c r="L134" s="0">
        <f>IF(H133="1)",J133,IF(H133="2)",J133,IF(H133="3)",J133,IF(H133="4)",J133,IF(H133="5)",J133,IF(H133="6)",J133,IF(H133="7)",J133,IF(H133="8)",J133,0))))))))</f>
        <v/>
      </c>
    </row>
    <row r="135">
      <c r="A135" s="0" t="inlineStr">
        <is>
          <t>Item</t>
        </is>
      </c>
      <c r="B135" s="0" t="inlineStr">
        <is>
          <t>ReSelect</t>
        </is>
      </c>
      <c r="C135" s="0" t="inlineStr">
        <is>
          <t>Failed</t>
        </is>
      </c>
      <c r="D135" s="0" t="inlineStr">
        <is>
          <t>:</t>
        </is>
      </c>
      <c r="E135" s="0" t="inlineStr">
        <is>
          <t>Attempt</t>
        </is>
      </c>
      <c r="F135" s="0" t="inlineStr">
        <is>
          <t>Count</t>
        </is>
      </c>
      <c r="G135" s="0" t="inlineStr">
        <is>
          <t>-</t>
        </is>
      </c>
      <c r="H135" s="0" t="n">
        <v>3</v>
      </c>
      <c r="K135" s="0">
        <f>IF(H134="1)",1,IF(H134="2)",2,IF(H134="3)",3,IF(H134="4)",4,IF(H134="5)",5,IF(H134="6)",6,IF(H134="7)",7,IF(H134="8)",8,0))))))))</f>
        <v/>
      </c>
      <c r="L135" s="0">
        <f>IF(H134="1)",J134,IF(H134="2)",J134,IF(H134="3)",J134,IF(H134="4)",J134,IF(H134="5)",J134,IF(H134="6)",J134,IF(H134="7)",J134,IF(H134="8)",J134,0))))))))</f>
        <v/>
      </c>
    </row>
    <row r="136">
      <c r="A136" s="0" t="inlineStr">
        <is>
          <t>New</t>
        </is>
      </c>
      <c r="B136" s="0" t="inlineStr">
        <is>
          <t>Item</t>
        </is>
      </c>
      <c r="C136" s="0" t="inlineStr">
        <is>
          <t>Acquired</t>
        </is>
      </c>
      <c r="D136" s="0" t="inlineStr">
        <is>
          <t>:</t>
        </is>
      </c>
      <c r="E136" s="0" t="inlineStr">
        <is>
          <t>30.00K</t>
        </is>
      </c>
      <c r="F136" s="0" t="inlineStr">
        <is>
          <t>(1,</t>
        </is>
      </c>
      <c r="G136" s="0" t="inlineStr">
        <is>
          <t>1)</t>
        </is>
      </c>
      <c r="K136" s="0">
        <f>IF(H135="1)",1,IF(H135="2)",2,IF(H135="3)",3,IF(H135="4)",4,IF(H135="5)",5,IF(H135="6)",6,IF(H135="7)",7,IF(H135="8)",8,0))))))))</f>
        <v/>
      </c>
      <c r="L136" s="0">
        <f>IF(H135="1)",J135,IF(H135="2)",J135,IF(H135="3)",J135,IF(H135="4)",J135,IF(H135="5)",J135,IF(H135="6)",J135,IF(H135="7)",J135,IF(H135="8)",J135,0))))))))</f>
        <v/>
      </c>
    </row>
    <row r="137">
      <c r="A137" s="0" t="inlineStr">
        <is>
          <t>Line</t>
        </is>
      </c>
      <c r="B137" s="0" t="inlineStr">
        <is>
          <t>Prize</t>
        </is>
      </c>
      <c r="C137" s="0" t="inlineStr">
        <is>
          <t>Acquired</t>
        </is>
      </c>
      <c r="D137" s="0" t="inlineStr">
        <is>
          <t>:</t>
        </is>
      </c>
      <c r="E137" s="0" t="inlineStr">
        <is>
          <t>150.00K</t>
        </is>
      </c>
      <c r="F137" s="0" t="inlineStr">
        <is>
          <t>(Stage</t>
        </is>
      </c>
      <c r="G137" s="0" t="inlineStr">
        <is>
          <t>:</t>
        </is>
      </c>
      <c r="H137" s="0" t="inlineStr">
        <is>
          <t>1)</t>
        </is>
      </c>
      <c r="I137" s="0" t="inlineStr">
        <is>
          <t>-</t>
        </is>
      </c>
      <c r="J137" s="0" t="n">
        <v>150000</v>
      </c>
      <c r="K137" s="0">
        <f>IF(H136="1)",1,IF(H136="2)",2,IF(H136="3)",3,IF(H136="4)",4,IF(H136="5)",5,IF(H136="6)",6,IF(H136="7)",7,IF(H136="8)",8,0))))))))</f>
        <v/>
      </c>
      <c r="L137" s="0">
        <f>IF(H136="1)",J136,IF(H136="2)",J136,IF(H136="3)",J136,IF(H136="4)",J136,IF(H136="5)",J136,IF(H136="6)",J136,IF(H136="7)",J136,IF(H136="8)",J136,0))))))))</f>
        <v/>
      </c>
    </row>
    <row r="138">
      <c r="A138" s="0" t="inlineStr">
        <is>
          <t>Clear</t>
        </is>
      </c>
      <c r="B138" s="0" t="inlineStr">
        <is>
          <t>Gem</t>
        </is>
      </c>
      <c r="C138" s="0" t="inlineStr">
        <is>
          <t>Acquired</t>
        </is>
      </c>
      <c r="D138" s="0" t="inlineStr">
        <is>
          <t>:</t>
        </is>
      </c>
      <c r="E138" s="0" t="n">
        <v>500</v>
      </c>
      <c r="F138" s="0" t="inlineStr">
        <is>
          <t>-&gt;</t>
        </is>
      </c>
      <c r="G138" s="0" t="n">
        <v>600</v>
      </c>
      <c r="H138" s="0" t="inlineStr">
        <is>
          <t>(Stage</t>
        </is>
      </c>
      <c r="I138" s="0" t="inlineStr">
        <is>
          <t>:</t>
        </is>
      </c>
      <c r="J138" s="0" t="inlineStr">
        <is>
          <t>1)</t>
        </is>
      </c>
      <c r="K138" s="0">
        <f>IF(H137="1)",1,IF(H137="2)",2,IF(H137="3)",3,IF(H137="4)",4,IF(H137="5)",5,IF(H137="6)",6,IF(H137="7)",7,IF(H137="8)",8,0))))))))</f>
        <v/>
      </c>
      <c r="L138" s="0">
        <f>IF(H137="1)",J137,IF(H137="2)",J137,IF(H137="3)",J137,IF(H137="4)",J137,IF(H137="5)",J137,IF(H137="6)",J137,IF(H137="7)",J137,IF(H137="8)",J137,0))))))))</f>
        <v/>
      </c>
    </row>
    <row r="139">
      <c r="A139" s="0" t="inlineStr">
        <is>
          <t>New</t>
        </is>
      </c>
      <c r="B139" s="0" t="inlineStr">
        <is>
          <t>Item</t>
        </is>
      </c>
      <c r="C139" s="0" t="inlineStr">
        <is>
          <t>Acquired</t>
        </is>
      </c>
      <c r="D139" s="0" t="inlineStr">
        <is>
          <t>:</t>
        </is>
      </c>
      <c r="E139" s="0" t="inlineStr">
        <is>
          <t>120.00K</t>
        </is>
      </c>
      <c r="F139" s="0" t="inlineStr">
        <is>
          <t>(8,</t>
        </is>
      </c>
      <c r="G139" s="0" t="inlineStr">
        <is>
          <t>23)</t>
        </is>
      </c>
      <c r="K139" s="0">
        <f>IF(H138="1)",1,IF(H138="2)",2,IF(H138="3)",3,IF(H138="4)",4,IF(H138="5)",5,IF(H138="6)",6,IF(H138="7)",7,IF(H138="8)",8,0))))))))</f>
        <v/>
      </c>
      <c r="L139" s="0">
        <f>IF(H138="1)",J138,IF(H138="2)",J138,IF(H138="3)",J138,IF(H138="4)",J138,IF(H138="5)",J138,IF(H138="6)",J138,IF(H138="7)",J138,IF(H138="8)",J138,0))))))))</f>
        <v/>
      </c>
    </row>
    <row r="140">
      <c r="A140" s="0" t="inlineStr">
        <is>
          <t>New</t>
        </is>
      </c>
      <c r="B140" s="0" t="inlineStr">
        <is>
          <t>Item</t>
        </is>
      </c>
      <c r="C140" s="0" t="inlineStr">
        <is>
          <t>Acquired</t>
        </is>
      </c>
      <c r="D140" s="0" t="inlineStr">
        <is>
          <t>:</t>
        </is>
      </c>
      <c r="E140" s="0" t="inlineStr">
        <is>
          <t>112.50K</t>
        </is>
      </c>
      <c r="F140" s="0" t="inlineStr">
        <is>
          <t>(5,</t>
        </is>
      </c>
      <c r="G140" s="0" t="inlineStr">
        <is>
          <t>20)</t>
        </is>
      </c>
      <c r="K140" s="0">
        <f>IF(H139="1)",1,IF(H139="2)",2,IF(H139="3)",3,IF(H139="4)",4,IF(H139="5)",5,IF(H139="6)",6,IF(H139="7)",7,IF(H139="8)",8,0))))))))</f>
        <v/>
      </c>
      <c r="L140" s="0">
        <f>IF(H139="1)",J139,IF(H139="2)",J139,IF(H139="3)",J139,IF(H139="4)",J139,IF(H139="5)",J139,IF(H139="6)",J139,IF(H139="7)",J139,IF(H139="8)",J139,0))))))))</f>
        <v/>
      </c>
    </row>
    <row r="141">
      <c r="A141" s="0" t="inlineStr">
        <is>
          <t>New</t>
        </is>
      </c>
      <c r="B141" s="0" t="inlineStr">
        <is>
          <t>Item</t>
        </is>
      </c>
      <c r="C141" s="0" t="inlineStr">
        <is>
          <t>Acquired</t>
        </is>
      </c>
      <c r="D141" s="0" t="inlineStr">
        <is>
          <t>:</t>
        </is>
      </c>
      <c r="E141" s="0" t="inlineStr">
        <is>
          <t>70.00K</t>
        </is>
      </c>
      <c r="F141" s="0" t="inlineStr">
        <is>
          <t>(1,</t>
        </is>
      </c>
      <c r="G141" s="0" t="inlineStr">
        <is>
          <t>25)</t>
        </is>
      </c>
      <c r="K141" s="0">
        <f>IF(H140="1)",1,IF(H140="2)",2,IF(H140="3)",3,IF(H140="4)",4,IF(H140="5)",5,IF(H140="6)",6,IF(H140="7)",7,IF(H140="8)",8,0))))))))</f>
        <v/>
      </c>
      <c r="L141" s="0">
        <f>IF(H140="1)",J140,IF(H140="2)",J140,IF(H140="3)",J140,IF(H140="4)",J140,IF(H140="5)",J140,IF(H140="6)",J140,IF(H140="7)",J140,IF(H140="8)",J140,0))))))))</f>
        <v/>
      </c>
    </row>
    <row r="142">
      <c r="A142" s="0" t="inlineStr">
        <is>
          <t>New</t>
        </is>
      </c>
      <c r="B142" s="0" t="inlineStr">
        <is>
          <t>Item</t>
        </is>
      </c>
      <c r="C142" s="0" t="inlineStr">
        <is>
          <t>Acquired</t>
        </is>
      </c>
      <c r="D142" s="0" t="inlineStr">
        <is>
          <t>:</t>
        </is>
      </c>
      <c r="E142" s="0" t="inlineStr">
        <is>
          <t>75.00K</t>
        </is>
      </c>
      <c r="F142" s="0" t="inlineStr">
        <is>
          <t>(6,</t>
        </is>
      </c>
      <c r="G142" s="0" t="inlineStr">
        <is>
          <t>9)</t>
        </is>
      </c>
      <c r="K142" s="0">
        <f>IF(H141="1)",1,IF(H141="2)",2,IF(H141="3)",3,IF(H141="4)",4,IF(H141="5)",5,IF(H141="6)",6,IF(H141="7)",7,IF(H141="8)",8,0))))))))</f>
        <v/>
      </c>
      <c r="L142" s="0">
        <f>IF(H141="1)",J141,IF(H141="2)",J141,IF(H141="3)",J141,IF(H141="4)",J141,IF(H141="5)",J141,IF(H141="6)",J141,IF(H141="7)",J141,IF(H141="8)",J141,0))))))))</f>
        <v/>
      </c>
    </row>
    <row r="143">
      <c r="A143" s="0" t="inlineStr">
        <is>
          <t>New</t>
        </is>
      </c>
      <c r="B143" s="0" t="inlineStr">
        <is>
          <t>Item</t>
        </is>
      </c>
      <c r="C143" s="0" t="inlineStr">
        <is>
          <t>Acquired</t>
        </is>
      </c>
      <c r="D143" s="0" t="inlineStr">
        <is>
          <t>:</t>
        </is>
      </c>
      <c r="E143" s="0" t="inlineStr">
        <is>
          <t>70.00K</t>
        </is>
      </c>
      <c r="F143" s="0" t="inlineStr">
        <is>
          <t>(1,</t>
        </is>
      </c>
      <c r="G143" s="0" t="inlineStr">
        <is>
          <t>18)</t>
        </is>
      </c>
      <c r="K143" s="0">
        <f>IF(H142="1)",1,IF(H142="2)",2,IF(H142="3)",3,IF(H142="4)",4,IF(H142="5)",5,IF(H142="6)",6,IF(H142="7)",7,IF(H142="8)",8,0))))))))</f>
        <v/>
      </c>
      <c r="L143" s="0">
        <f>IF(H142="1)",J142,IF(H142="2)",J142,IF(H142="3)",J142,IF(H142="4)",J142,IF(H142="5)",J142,IF(H142="6)",J142,IF(H142="7)",J142,IF(H142="8)",J142,0))))))))</f>
        <v/>
      </c>
    </row>
    <row r="144">
      <c r="A144" s="0" t="inlineStr">
        <is>
          <t>New</t>
        </is>
      </c>
      <c r="B144" s="0" t="inlineStr">
        <is>
          <t>Item</t>
        </is>
      </c>
      <c r="C144" s="0" t="inlineStr">
        <is>
          <t>Acquired</t>
        </is>
      </c>
      <c r="D144" s="0" t="inlineStr">
        <is>
          <t>:</t>
        </is>
      </c>
      <c r="E144" s="0" t="inlineStr">
        <is>
          <t>200.00K</t>
        </is>
      </c>
      <c r="F144" s="0" t="inlineStr">
        <is>
          <t>(8,</t>
        </is>
      </c>
      <c r="G144" s="0" t="inlineStr">
        <is>
          <t>12)</t>
        </is>
      </c>
      <c r="K144" s="0">
        <f>IF(H143="1)",1,IF(H143="2)",2,IF(H143="3)",3,IF(H143="4)",4,IF(H143="5)",5,IF(H143="6)",6,IF(H143="7)",7,IF(H143="8)",8,0))))))))</f>
        <v/>
      </c>
      <c r="L144" s="0">
        <f>IF(H143="1)",J143,IF(H143="2)",J143,IF(H143="3)",J143,IF(H143="4)",J143,IF(H143="5)",J143,IF(H143="6)",J143,IF(H143="7)",J143,IF(H143="8)",J143,0))))))))</f>
        <v/>
      </c>
    </row>
    <row r="145">
      <c r="A145" s="0" t="inlineStr">
        <is>
          <t>New</t>
        </is>
      </c>
      <c r="B145" s="0" t="inlineStr">
        <is>
          <t>Item</t>
        </is>
      </c>
      <c r="C145" s="0" t="inlineStr">
        <is>
          <t>Acquired</t>
        </is>
      </c>
      <c r="D145" s="0" t="inlineStr">
        <is>
          <t>:</t>
        </is>
      </c>
      <c r="E145" s="0" t="inlineStr">
        <is>
          <t>90.00K</t>
        </is>
      </c>
      <c r="F145" s="0" t="inlineStr">
        <is>
          <t>(7,</t>
        </is>
      </c>
      <c r="G145" s="0" t="inlineStr">
        <is>
          <t>2)</t>
        </is>
      </c>
      <c r="K145" s="0">
        <f>IF(H144="1)",1,IF(H144="2)",2,IF(H144="3)",3,IF(H144="4)",4,IF(H144="5)",5,IF(H144="6)",6,IF(H144="7)",7,IF(H144="8)",8,0))))))))</f>
        <v/>
      </c>
      <c r="L145" s="0">
        <f>IF(H144="1)",J144,IF(H144="2)",J144,IF(H144="3)",J144,IF(H144="4)",J144,IF(H144="5)",J144,IF(H144="6)",J144,IF(H144="7)",J144,IF(H144="8)",J144,0))))))))</f>
        <v/>
      </c>
    </row>
    <row r="146">
      <c r="A146" s="0" t="inlineStr">
        <is>
          <t>New</t>
        </is>
      </c>
      <c r="B146" s="0" t="inlineStr">
        <is>
          <t>Item</t>
        </is>
      </c>
      <c r="C146" s="0" t="inlineStr">
        <is>
          <t>Acquired</t>
        </is>
      </c>
      <c r="D146" s="0" t="inlineStr">
        <is>
          <t>:</t>
        </is>
      </c>
      <c r="E146" s="0" t="inlineStr">
        <is>
          <t>157.50K</t>
        </is>
      </c>
      <c r="F146" s="0" t="inlineStr">
        <is>
          <t>(5,</t>
        </is>
      </c>
      <c r="G146" s="0" t="inlineStr">
        <is>
          <t>16)</t>
        </is>
      </c>
      <c r="K146" s="0">
        <f>IF(H145="1)",1,IF(H145="2)",2,IF(H145="3)",3,IF(H145="4)",4,IF(H145="5)",5,IF(H145="6)",6,IF(H145="7)",7,IF(H145="8)",8,0))))))))</f>
        <v/>
      </c>
      <c r="L146" s="0">
        <f>IF(H145="1)",J145,IF(H145="2)",J145,IF(H145="3)",J145,IF(H145="4)",J145,IF(H145="5)",J145,IF(H145="6)",J145,IF(H145="7)",J145,IF(H145="8)",J145,0))))))))</f>
        <v/>
      </c>
    </row>
    <row r="147">
      <c r="A147" s="0" t="inlineStr">
        <is>
          <t>New</t>
        </is>
      </c>
      <c r="B147" s="0" t="inlineStr">
        <is>
          <t>Item</t>
        </is>
      </c>
      <c r="C147" s="0" t="inlineStr">
        <is>
          <t>Acquired</t>
        </is>
      </c>
      <c r="D147" s="0" t="inlineStr">
        <is>
          <t>:</t>
        </is>
      </c>
      <c r="E147" s="0" t="inlineStr">
        <is>
          <t>75.00K</t>
        </is>
      </c>
      <c r="F147" s="0" t="inlineStr">
        <is>
          <t>(4,</t>
        </is>
      </c>
      <c r="G147" s="0" t="inlineStr">
        <is>
          <t>21)</t>
        </is>
      </c>
      <c r="K147" s="0">
        <f>IF(H146="1)",1,IF(H146="2)",2,IF(H146="3)",3,IF(H146="4)",4,IF(H146="5)",5,IF(H146="6)",6,IF(H146="7)",7,IF(H146="8)",8,0))))))))</f>
        <v/>
      </c>
      <c r="L147" s="0">
        <f>IF(H146="1)",J146,IF(H146="2)",J146,IF(H146="3)",J146,IF(H146="4)",J146,IF(H146="5)",J146,IF(H146="6)",J146,IF(H146="7)",J146,IF(H146="8)",J146,0))))))))</f>
        <v/>
      </c>
    </row>
    <row r="148">
      <c r="A148" s="0" t="inlineStr">
        <is>
          <t>New</t>
        </is>
      </c>
      <c r="B148" s="0" t="inlineStr">
        <is>
          <t>Item</t>
        </is>
      </c>
      <c r="C148" s="0" t="inlineStr">
        <is>
          <t>Acquired</t>
        </is>
      </c>
      <c r="D148" s="0" t="inlineStr">
        <is>
          <t>:</t>
        </is>
      </c>
      <c r="E148" s="0" t="inlineStr">
        <is>
          <t>280.00K</t>
        </is>
      </c>
      <c r="F148" s="0" t="inlineStr">
        <is>
          <t>(8,</t>
        </is>
      </c>
      <c r="G148" s="0" t="inlineStr">
        <is>
          <t>11)</t>
        </is>
      </c>
      <c r="K148" s="0">
        <f>IF(H147="1)",1,IF(H147="2)",2,IF(H147="3)",3,IF(H147="4)",4,IF(H147="5)",5,IF(H147="6)",6,IF(H147="7)",7,IF(H147="8)",8,0))))))))</f>
        <v/>
      </c>
      <c r="L148" s="0">
        <f>IF(H147="1)",J147,IF(H147="2)",J147,IF(H147="3)",J147,IF(H147="4)",J147,IF(H147="5)",J147,IF(H147="6)",J147,IF(H147="7)",J147,IF(H147="8)",J147,0))))))))</f>
        <v/>
      </c>
    </row>
    <row r="149">
      <c r="A149" s="0" t="inlineStr">
        <is>
          <t>Item</t>
        </is>
      </c>
      <c r="B149" s="0" t="inlineStr">
        <is>
          <t>ReSelect</t>
        </is>
      </c>
      <c r="C149" s="0" t="inlineStr">
        <is>
          <t>Failed</t>
        </is>
      </c>
      <c r="D149" s="0" t="inlineStr">
        <is>
          <t>:</t>
        </is>
      </c>
      <c r="E149" s="0" t="inlineStr">
        <is>
          <t>Attempt</t>
        </is>
      </c>
      <c r="F149" s="0" t="inlineStr">
        <is>
          <t>Count</t>
        </is>
      </c>
      <c r="G149" s="0" t="inlineStr">
        <is>
          <t>-</t>
        </is>
      </c>
      <c r="H149" s="0" t="n">
        <v>3</v>
      </c>
      <c r="K149" s="0">
        <f>IF(H148="1)",1,IF(H148="2)",2,IF(H148="3)",3,IF(H148="4)",4,IF(H148="5)",5,IF(H148="6)",6,IF(H148="7)",7,IF(H148="8)",8,0))))))))</f>
        <v/>
      </c>
      <c r="L149" s="0">
        <f>IF(H148="1)",J148,IF(H148="2)",J148,IF(H148="3)",J148,IF(H148="4)",J148,IF(H148="5)",J148,IF(H148="6)",J148,IF(H148="7)",J148,IF(H148="8)",J148,0))))))))</f>
        <v/>
      </c>
    </row>
    <row r="150">
      <c r="A150" s="0" t="inlineStr">
        <is>
          <t>New</t>
        </is>
      </c>
      <c r="B150" s="0" t="inlineStr">
        <is>
          <t>Item</t>
        </is>
      </c>
      <c r="C150" s="0" t="inlineStr">
        <is>
          <t>Acquired</t>
        </is>
      </c>
      <c r="D150" s="0" t="inlineStr">
        <is>
          <t>:</t>
        </is>
      </c>
      <c r="E150" s="0" t="inlineStr">
        <is>
          <t>112.50K</t>
        </is>
      </c>
      <c r="F150" s="0" t="inlineStr">
        <is>
          <t>(5,</t>
        </is>
      </c>
      <c r="G150" s="0" t="inlineStr">
        <is>
          <t>21)</t>
        </is>
      </c>
      <c r="K150" s="0">
        <f>IF(H149="1)",1,IF(H149="2)",2,IF(H149="3)",3,IF(H149="4)",4,IF(H149="5)",5,IF(H149="6)",6,IF(H149="7)",7,IF(H149="8)",8,0))))))))</f>
        <v/>
      </c>
      <c r="L150" s="0">
        <f>IF(H149="1)",J149,IF(H149="2)",J149,IF(H149="3)",J149,IF(H149="4)",J149,IF(H149="5)",J149,IF(H149="6)",J149,IF(H149="7)",J149,IF(H149="8)",J149,0))))))))</f>
        <v/>
      </c>
    </row>
    <row r="151">
      <c r="A151" s="0" t="inlineStr">
        <is>
          <t>New</t>
        </is>
      </c>
      <c r="B151" s="0" t="inlineStr">
        <is>
          <t>Item</t>
        </is>
      </c>
      <c r="C151" s="0" t="inlineStr">
        <is>
          <t>Acquired</t>
        </is>
      </c>
      <c r="D151" s="0" t="inlineStr">
        <is>
          <t>:</t>
        </is>
      </c>
      <c r="E151" s="0" t="inlineStr">
        <is>
          <t>Minor</t>
        </is>
      </c>
      <c r="F151" s="0" t="inlineStr">
        <is>
          <t>(4,</t>
        </is>
      </c>
      <c r="G151" s="0" t="inlineStr">
        <is>
          <t>12)</t>
        </is>
      </c>
      <c r="K151" s="0">
        <f>IF(H150="1)",1,IF(H150="2)",2,IF(H150="3)",3,IF(H150="4)",4,IF(H150="5)",5,IF(H150="6)",6,IF(H150="7)",7,IF(H150="8)",8,0))))))))</f>
        <v/>
      </c>
      <c r="L151" s="0">
        <f>IF(H150="1)",J150,IF(H150="2)",J150,IF(H150="3)",J150,IF(H150="4)",J150,IF(H150="5)",J150,IF(H150="6)",J150,IF(H150="7)",J150,IF(H150="8)",J150,0))))))))</f>
        <v/>
      </c>
    </row>
    <row r="152">
      <c r="A152" s="0" t="inlineStr">
        <is>
          <t>Item</t>
        </is>
      </c>
      <c r="B152" s="0" t="inlineStr">
        <is>
          <t>ReSelect</t>
        </is>
      </c>
      <c r="C152" s="0" t="inlineStr">
        <is>
          <t>Failed</t>
        </is>
      </c>
      <c r="D152" s="0" t="inlineStr">
        <is>
          <t>:</t>
        </is>
      </c>
      <c r="E152" s="0" t="inlineStr">
        <is>
          <t>Attempt</t>
        </is>
      </c>
      <c r="F152" s="0" t="inlineStr">
        <is>
          <t>Count</t>
        </is>
      </c>
      <c r="G152" s="0" t="inlineStr">
        <is>
          <t>-</t>
        </is>
      </c>
      <c r="H152" s="0" t="n">
        <v>3</v>
      </c>
      <c r="K152" s="0">
        <f>IF(H151="1)",1,IF(H151="2)",2,IF(H151="3)",3,IF(H151="4)",4,IF(H151="5)",5,IF(H151="6)",6,IF(H151="7)",7,IF(H151="8)",8,0))))))))</f>
        <v/>
      </c>
      <c r="L152" s="0">
        <f>IF(H151="1)",J151,IF(H151="2)",J151,IF(H151="3)",J151,IF(H151="4)",J151,IF(H151="5)",J151,IF(H151="6)",J151,IF(H151="7)",J151,IF(H151="8)",J151,0))))))))</f>
        <v/>
      </c>
    </row>
    <row r="153">
      <c r="A153" s="0" t="inlineStr">
        <is>
          <t>New</t>
        </is>
      </c>
      <c r="B153" s="0" t="inlineStr">
        <is>
          <t>Item</t>
        </is>
      </c>
      <c r="C153" s="0" t="inlineStr">
        <is>
          <t>Acquired</t>
        </is>
      </c>
      <c r="D153" s="0" t="inlineStr">
        <is>
          <t>:</t>
        </is>
      </c>
      <c r="E153" s="0" t="inlineStr">
        <is>
          <t>30.00K</t>
        </is>
      </c>
      <c r="F153" s="0" t="inlineStr">
        <is>
          <t>(1,</t>
        </is>
      </c>
      <c r="G153" s="0" t="inlineStr">
        <is>
          <t>20)</t>
        </is>
      </c>
      <c r="K153" s="0">
        <f>IF(H152="1)",1,IF(H152="2)",2,IF(H152="3)",3,IF(H152="4)",4,IF(H152="5)",5,IF(H152="6)",6,IF(H152="7)",7,IF(H152="8)",8,0))))))))</f>
        <v/>
      </c>
      <c r="L153" s="0">
        <f>IF(H152="1)",J152,IF(H152="2)",J152,IF(H152="3)",J152,IF(H152="4)",J152,IF(H152="5)",J152,IF(H152="6)",J152,IF(H152="7)",J152,IF(H152="8)",J152,0))))))))</f>
        <v/>
      </c>
    </row>
    <row r="154">
      <c r="A154" s="0" t="inlineStr">
        <is>
          <t>New</t>
        </is>
      </c>
      <c r="B154" s="0" t="inlineStr">
        <is>
          <t>Item</t>
        </is>
      </c>
      <c r="C154" s="0" t="inlineStr">
        <is>
          <t>Acquired</t>
        </is>
      </c>
      <c r="D154" s="0" t="inlineStr">
        <is>
          <t>:</t>
        </is>
      </c>
      <c r="E154" s="0" t="inlineStr">
        <is>
          <t>45.00K</t>
        </is>
      </c>
      <c r="F154" s="0" t="inlineStr">
        <is>
          <t>(3,</t>
        </is>
      </c>
      <c r="G154" s="0" t="inlineStr">
        <is>
          <t>23)</t>
        </is>
      </c>
      <c r="K154" s="0">
        <f>IF(H153="1)",1,IF(H153="2)",2,IF(H153="3)",3,IF(H153="4)",4,IF(H153="5)",5,IF(H153="6)",6,IF(H153="7)",7,IF(H153="8)",8,0))))))))</f>
        <v/>
      </c>
      <c r="L154" s="0">
        <f>IF(H153="1)",J153,IF(H153="2)",J153,IF(H153="3)",J153,IF(H153="4)",J153,IF(H153="5)",J153,IF(H153="6)",J153,IF(H153="7)",J153,IF(H153="8)",J153,0))))))))</f>
        <v/>
      </c>
    </row>
    <row r="155">
      <c r="A155" s="0" t="inlineStr">
        <is>
          <t>New</t>
        </is>
      </c>
      <c r="B155" s="0" t="inlineStr">
        <is>
          <t>Item</t>
        </is>
      </c>
      <c r="C155" s="0" t="inlineStr">
        <is>
          <t>Acquired</t>
        </is>
      </c>
      <c r="D155" s="0" t="inlineStr">
        <is>
          <t>:</t>
        </is>
      </c>
      <c r="E155" s="0" t="inlineStr">
        <is>
          <t>200.00K</t>
        </is>
      </c>
      <c r="F155" s="0" t="inlineStr">
        <is>
          <t>(8,</t>
        </is>
      </c>
      <c r="G155" s="0" t="inlineStr">
        <is>
          <t>18)</t>
        </is>
      </c>
      <c r="K155" s="0">
        <f>IF(H154="1)",1,IF(H154="2)",2,IF(H154="3)",3,IF(H154="4)",4,IF(H154="5)",5,IF(H154="6)",6,IF(H154="7)",7,IF(H154="8)",8,0))))))))</f>
        <v/>
      </c>
      <c r="L155" s="0">
        <f>IF(H154="1)",J154,IF(H154="2)",J154,IF(H154="3)",J154,IF(H154="4)",J154,IF(H154="5)",J154,IF(H154="6)",J154,IF(H154="7)",J154,IF(H154="8)",J154,0))))))))</f>
        <v/>
      </c>
    </row>
    <row r="156">
      <c r="A156" s="0" t="inlineStr">
        <is>
          <t>New</t>
        </is>
      </c>
      <c r="B156" s="0" t="inlineStr">
        <is>
          <t>Item</t>
        </is>
      </c>
      <c r="C156" s="0" t="inlineStr">
        <is>
          <t>Acquired</t>
        </is>
      </c>
      <c r="D156" s="0" t="inlineStr">
        <is>
          <t>:</t>
        </is>
      </c>
      <c r="E156" s="0" t="inlineStr">
        <is>
          <t>62.50K</t>
        </is>
      </c>
      <c r="F156" s="0" t="inlineStr">
        <is>
          <t>(2,</t>
        </is>
      </c>
      <c r="G156" s="0" t="inlineStr">
        <is>
          <t>16)</t>
        </is>
      </c>
      <c r="K156" s="0">
        <f>IF(H155="1)",1,IF(H155="2)",2,IF(H155="3)",3,IF(H155="4)",4,IF(H155="5)",5,IF(H155="6)",6,IF(H155="7)",7,IF(H155="8)",8,0))))))))</f>
        <v/>
      </c>
      <c r="L156" s="0">
        <f>IF(H155="1)",J155,IF(H155="2)",J155,IF(H155="3)",J155,IF(H155="4)",J155,IF(H155="5)",J155,IF(H155="6)",J155,IF(H155="7)",J155,IF(H155="8)",J155,0))))))))</f>
        <v/>
      </c>
    </row>
    <row r="157">
      <c r="A157" s="0" t="inlineStr">
        <is>
          <t>New</t>
        </is>
      </c>
      <c r="B157" s="0" t="inlineStr">
        <is>
          <t>Item</t>
        </is>
      </c>
      <c r="C157" s="0" t="inlineStr">
        <is>
          <t>Acquired</t>
        </is>
      </c>
      <c r="D157" s="0" t="inlineStr">
        <is>
          <t>:</t>
        </is>
      </c>
      <c r="E157" s="0" t="inlineStr">
        <is>
          <t>45.00K</t>
        </is>
      </c>
      <c r="F157" s="0" t="inlineStr">
        <is>
          <t>(3,</t>
        </is>
      </c>
      <c r="G157" s="0" t="inlineStr">
        <is>
          <t>2)</t>
        </is>
      </c>
      <c r="K157" s="0">
        <f>IF(H156="1)",1,IF(H156="2)",2,IF(H156="3)",3,IF(H156="4)",4,IF(H156="5)",5,IF(H156="6)",6,IF(H156="7)",7,IF(H156="8)",8,0))))))))</f>
        <v/>
      </c>
      <c r="L157" s="0">
        <f>IF(H156="1)",J156,IF(H156="2)",J156,IF(H156="3)",J156,IF(H156="4)",J156,IF(H156="5)",J156,IF(H156="6)",J156,IF(H156="7)",J156,IF(H156="8)",J156,0))))))))</f>
        <v/>
      </c>
    </row>
    <row r="158">
      <c r="A158" s="0" t="inlineStr">
        <is>
          <t>New</t>
        </is>
      </c>
      <c r="B158" s="0" t="inlineStr">
        <is>
          <t>Item</t>
        </is>
      </c>
      <c r="C158" s="0" t="inlineStr">
        <is>
          <t>Acquired</t>
        </is>
      </c>
      <c r="D158" s="0" t="inlineStr">
        <is>
          <t>:</t>
        </is>
      </c>
      <c r="E158" s="0" t="inlineStr">
        <is>
          <t>75.00K</t>
        </is>
      </c>
      <c r="F158" s="0" t="inlineStr">
        <is>
          <t>(3,</t>
        </is>
      </c>
      <c r="G158" s="0" t="inlineStr">
        <is>
          <t>18)</t>
        </is>
      </c>
      <c r="K158" s="0">
        <f>IF(H157="1)",1,IF(H157="2)",2,IF(H157="3)",3,IF(H157="4)",4,IF(H157="5)",5,IF(H157="6)",6,IF(H157="7)",7,IF(H157="8)",8,0))))))))</f>
        <v/>
      </c>
      <c r="L158" s="0">
        <f>IF(H157="1)",J157,IF(H157="2)",J157,IF(H157="3)",J157,IF(H157="4)",J157,IF(H157="5)",J157,IF(H157="6)",J157,IF(H157="7)",J157,IF(H157="8)",J157,0))))))))</f>
        <v/>
      </c>
    </row>
    <row r="159">
      <c r="A159" s="0" t="inlineStr">
        <is>
          <t>Line</t>
        </is>
      </c>
      <c r="B159" s="0" t="inlineStr">
        <is>
          <t>Prize</t>
        </is>
      </c>
      <c r="C159" s="0" t="inlineStr">
        <is>
          <t>Acquired</t>
        </is>
      </c>
      <c r="D159" s="0" t="inlineStr">
        <is>
          <t>:</t>
        </is>
      </c>
      <c r="E159" s="0" t="inlineStr">
        <is>
          <t>1.06M</t>
        </is>
      </c>
      <c r="F159" s="0" t="inlineStr">
        <is>
          <t>(Stage</t>
        </is>
      </c>
      <c r="G159" s="0" t="inlineStr">
        <is>
          <t>:</t>
        </is>
      </c>
      <c r="H159" s="0" t="inlineStr">
        <is>
          <t>3)</t>
        </is>
      </c>
      <c r="I159" s="0" t="inlineStr">
        <is>
          <t>-</t>
        </is>
      </c>
      <c r="J159" s="0" t="n">
        <v>1065000</v>
      </c>
      <c r="K159" s="0">
        <f>IF(H158="1)",1,IF(H158="2)",2,IF(H158="3)",3,IF(H158="4)",4,IF(H158="5)",5,IF(H158="6)",6,IF(H158="7)",7,IF(H158="8)",8,0))))))))</f>
        <v/>
      </c>
      <c r="L159" s="0">
        <f>IF(H158="1)",J158,IF(H158="2)",J158,IF(H158="3)",J158,IF(H158="4)",J158,IF(H158="5)",J158,IF(H158="6)",J158,IF(H158="7)",J158,IF(H158="8)",J158,0))))))))</f>
        <v/>
      </c>
    </row>
    <row r="160">
      <c r="A160" s="0" t="inlineStr">
        <is>
          <t>Clear</t>
        </is>
      </c>
      <c r="B160" s="0" t="inlineStr">
        <is>
          <t>Gem</t>
        </is>
      </c>
      <c r="C160" s="0" t="inlineStr">
        <is>
          <t>Acquired</t>
        </is>
      </c>
      <c r="D160" s="0" t="inlineStr">
        <is>
          <t>:</t>
        </is>
      </c>
      <c r="E160" s="0" t="n">
        <v>600</v>
      </c>
      <c r="F160" s="0" t="inlineStr">
        <is>
          <t>-&gt;</t>
        </is>
      </c>
      <c r="G160" s="0" t="n">
        <v>700</v>
      </c>
      <c r="H160" s="0" t="inlineStr">
        <is>
          <t>(Stage</t>
        </is>
      </c>
      <c r="I160" s="0" t="inlineStr">
        <is>
          <t>:</t>
        </is>
      </c>
      <c r="J160" s="0" t="inlineStr">
        <is>
          <t>3)</t>
        </is>
      </c>
      <c r="K160" s="0">
        <f>IF(H159="1)",1,IF(H159="2)",2,IF(H159="3)",3,IF(H159="4)",4,IF(H159="5)",5,IF(H159="6)",6,IF(H159="7)",7,IF(H159="8)",8,0))))))))</f>
        <v/>
      </c>
      <c r="L160" s="0">
        <f>IF(H159="1)",J159,IF(H159="2)",J159,IF(H159="3)",J159,IF(H159="4)",J159,IF(H159="5)",J159,IF(H159="6)",J159,IF(H159="7)",J159,IF(H159="8)",J159,0))))))))</f>
        <v/>
      </c>
    </row>
    <row r="161">
      <c r="A161" s="0" t="inlineStr">
        <is>
          <t>New</t>
        </is>
      </c>
      <c r="B161" s="0" t="inlineStr">
        <is>
          <t>Item</t>
        </is>
      </c>
      <c r="C161" s="0" t="inlineStr">
        <is>
          <t>Acquired</t>
        </is>
      </c>
      <c r="D161" s="0" t="inlineStr">
        <is>
          <t>:</t>
        </is>
      </c>
      <c r="E161" s="0" t="inlineStr">
        <is>
          <t>60.00K</t>
        </is>
      </c>
      <c r="F161" s="0" t="inlineStr">
        <is>
          <t>(4,</t>
        </is>
      </c>
      <c r="G161" s="0" t="inlineStr">
        <is>
          <t>4)</t>
        </is>
      </c>
      <c r="K161" s="0">
        <f>IF(H160="1)",1,IF(H160="2)",2,IF(H160="3)",3,IF(H160="4)",4,IF(H160="5)",5,IF(H160="6)",6,IF(H160="7)",7,IF(H160="8)",8,0))))))))</f>
        <v/>
      </c>
      <c r="L161" s="0">
        <f>IF(H160="1)",J160,IF(H160="2)",J160,IF(H160="3)",J160,IF(H160="4)",J160,IF(H160="5)",J160,IF(H160="6)",J160,IF(H160="7)",J160,IF(H160="8)",J160,0))))))))</f>
        <v/>
      </c>
    </row>
    <row r="162">
      <c r="A162" s="0" t="inlineStr">
        <is>
          <t>New</t>
        </is>
      </c>
      <c r="B162" s="0" t="inlineStr">
        <is>
          <t>Item</t>
        </is>
      </c>
      <c r="C162" s="0" t="inlineStr">
        <is>
          <t>Acquired</t>
        </is>
      </c>
      <c r="D162" s="0" t="inlineStr">
        <is>
          <t>:</t>
        </is>
      </c>
      <c r="E162" s="0" t="inlineStr">
        <is>
          <t>45.00K</t>
        </is>
      </c>
      <c r="F162" s="0" t="inlineStr">
        <is>
          <t>(3,</t>
        </is>
      </c>
      <c r="G162" s="0" t="inlineStr">
        <is>
          <t>23)</t>
        </is>
      </c>
      <c r="K162" s="0">
        <f>IF(H161="1)",1,IF(H161="2)",2,IF(H161="3)",3,IF(H161="4)",4,IF(H161="5)",5,IF(H161="6)",6,IF(H161="7)",7,IF(H161="8)",8,0))))))))</f>
        <v/>
      </c>
      <c r="L162" s="0">
        <f>IF(H161="1)",J161,IF(H161="2)",J161,IF(H161="3)",J161,IF(H161="4)",J161,IF(H161="5)",J161,IF(H161="6)",J161,IF(H161="7)",J161,IF(H161="8)",J161,0))))))))</f>
        <v/>
      </c>
    </row>
    <row r="163">
      <c r="A163" s="0" t="inlineStr">
        <is>
          <t>New</t>
        </is>
      </c>
      <c r="B163" s="0" t="inlineStr">
        <is>
          <t>Item</t>
        </is>
      </c>
      <c r="C163" s="0" t="inlineStr">
        <is>
          <t>Acquired</t>
        </is>
      </c>
      <c r="D163" s="0" t="inlineStr">
        <is>
          <t>:</t>
        </is>
      </c>
      <c r="E163" s="0" t="inlineStr">
        <is>
          <t>120.00K</t>
        </is>
      </c>
      <c r="F163" s="0" t="inlineStr">
        <is>
          <t>(8,</t>
        </is>
      </c>
      <c r="G163" s="0" t="inlineStr">
        <is>
          <t>17)</t>
        </is>
      </c>
      <c r="K163" s="0">
        <f>IF(H162="1)",1,IF(H162="2)",2,IF(H162="3)",3,IF(H162="4)",4,IF(H162="5)",5,IF(H162="6)",6,IF(H162="7)",7,IF(H162="8)",8,0))))))))</f>
        <v/>
      </c>
      <c r="L163" s="0">
        <f>IF(H162="1)",J162,IF(H162="2)",J162,IF(H162="3)",J162,IF(H162="4)",J162,IF(H162="5)",J162,IF(H162="6)",J162,IF(H162="7)",J162,IF(H162="8)",J162,0))))))))</f>
        <v/>
      </c>
    </row>
    <row r="164">
      <c r="A164" s="0" t="inlineStr">
        <is>
          <t>New</t>
        </is>
      </c>
      <c r="B164" s="0" t="inlineStr">
        <is>
          <t>Item</t>
        </is>
      </c>
      <c r="C164" s="0" t="inlineStr">
        <is>
          <t>Acquired</t>
        </is>
      </c>
      <c r="D164" s="0" t="inlineStr">
        <is>
          <t>:</t>
        </is>
      </c>
      <c r="E164" s="0" t="inlineStr">
        <is>
          <t>280.00K</t>
        </is>
      </c>
      <c r="F164" s="0" t="inlineStr">
        <is>
          <t>(8,</t>
        </is>
      </c>
      <c r="G164" s="0" t="inlineStr">
        <is>
          <t>6)</t>
        </is>
      </c>
      <c r="K164" s="0">
        <f>IF(H163="1)",1,IF(H163="2)",2,IF(H163="3)",3,IF(H163="4)",4,IF(H163="5)",5,IF(H163="6)",6,IF(H163="7)",7,IF(H163="8)",8,0))))))))</f>
        <v/>
      </c>
      <c r="L164" s="0">
        <f>IF(H163="1)",J163,IF(H163="2)",J163,IF(H163="3)",J163,IF(H163="4)",J163,IF(H163="5)",J163,IF(H163="6)",J163,IF(H163="7)",J163,IF(H163="8)",J163,0))))))))</f>
        <v/>
      </c>
    </row>
    <row r="165">
      <c r="A165" s="0" t="inlineStr">
        <is>
          <t>New</t>
        </is>
      </c>
      <c r="B165" s="0" t="inlineStr">
        <is>
          <t>Item</t>
        </is>
      </c>
      <c r="C165" s="0" t="inlineStr">
        <is>
          <t>Acquired</t>
        </is>
      </c>
      <c r="D165" s="0" t="inlineStr">
        <is>
          <t>:</t>
        </is>
      </c>
      <c r="E165" s="0" t="inlineStr">
        <is>
          <t>Major</t>
        </is>
      </c>
      <c r="F165" s="0" t="inlineStr">
        <is>
          <t>(3,</t>
        </is>
      </c>
      <c r="G165" s="0" t="inlineStr">
        <is>
          <t>25)</t>
        </is>
      </c>
      <c r="K165" s="0">
        <f>IF(H164="1)",1,IF(H164="2)",2,IF(H164="3)",3,IF(H164="4)",4,IF(H164="5)",5,IF(H164="6)",6,IF(H164="7)",7,IF(H164="8)",8,0))))))))</f>
        <v/>
      </c>
      <c r="L165" s="0">
        <f>IF(H164="1)",J164,IF(H164="2)",J164,IF(H164="3)",J164,IF(H164="4)",J164,IF(H164="5)",J164,IF(H164="6)",J164,IF(H164="7)",J164,IF(H164="8)",J164,0))))))))</f>
        <v/>
      </c>
    </row>
    <row r="166">
      <c r="A166" s="0" t="inlineStr">
        <is>
          <t>New</t>
        </is>
      </c>
      <c r="B166" s="0" t="inlineStr">
        <is>
          <t>Item</t>
        </is>
      </c>
      <c r="C166" s="0" t="inlineStr">
        <is>
          <t>Acquired</t>
        </is>
      </c>
      <c r="D166" s="0" t="inlineStr">
        <is>
          <t>:</t>
        </is>
      </c>
      <c r="E166" s="0" t="inlineStr">
        <is>
          <t>Mini</t>
        </is>
      </c>
      <c r="F166" s="0" t="inlineStr">
        <is>
          <t>(5,</t>
        </is>
      </c>
      <c r="G166" s="0" t="inlineStr">
        <is>
          <t>8)</t>
        </is>
      </c>
      <c r="K166" s="0">
        <f>IF(H165="1)",1,IF(H165="2)",2,IF(H165="3)",3,IF(H165="4)",4,IF(H165="5)",5,IF(H165="6)",6,IF(H165="7)",7,IF(H165="8)",8,0))))))))</f>
        <v/>
      </c>
      <c r="L166" s="0">
        <f>IF(H165="1)",J165,IF(H165="2)",J165,IF(H165="3)",J165,IF(H165="4)",J165,IF(H165="5)",J165,IF(H165="6)",J165,IF(H165="7)",J165,IF(H165="8)",J165,0))))))))</f>
        <v/>
      </c>
    </row>
    <row r="167">
      <c r="A167" s="0" t="inlineStr">
        <is>
          <t>New</t>
        </is>
      </c>
      <c r="B167" s="0" t="inlineStr">
        <is>
          <t>Item</t>
        </is>
      </c>
      <c r="C167" s="0" t="inlineStr">
        <is>
          <t>Acquired</t>
        </is>
      </c>
      <c r="D167" s="0" t="inlineStr">
        <is>
          <t>:</t>
        </is>
      </c>
      <c r="E167" s="0" t="inlineStr">
        <is>
          <t>112.50K</t>
        </is>
      </c>
      <c r="F167" s="0" t="inlineStr">
        <is>
          <t>(5,</t>
        </is>
      </c>
      <c r="G167" s="0" t="inlineStr">
        <is>
          <t>19)</t>
        </is>
      </c>
      <c r="K167" s="0">
        <f>IF(H166="1)",1,IF(H166="2)",2,IF(H166="3)",3,IF(H166="4)",4,IF(H166="5)",5,IF(H166="6)",6,IF(H166="7)",7,IF(H166="8)",8,0))))))))</f>
        <v/>
      </c>
      <c r="L167" s="0">
        <f>IF(H166="1)",J166,IF(H166="2)",J166,IF(H166="3)",J166,IF(H166="4)",J166,IF(H166="5)",J166,IF(H166="6)",J166,IF(H166="7)",J166,IF(H166="8)",J166,0))))))))</f>
        <v/>
      </c>
    </row>
    <row r="168">
      <c r="A168" s="0" t="inlineStr">
        <is>
          <t>New</t>
        </is>
      </c>
      <c r="B168" s="0" t="inlineStr">
        <is>
          <t>Item</t>
        </is>
      </c>
      <c r="C168" s="0" t="inlineStr">
        <is>
          <t>Acquired</t>
        </is>
      </c>
      <c r="D168" s="0" t="inlineStr">
        <is>
          <t>:</t>
        </is>
      </c>
      <c r="E168" s="0" t="inlineStr">
        <is>
          <t>62.50K</t>
        </is>
      </c>
      <c r="F168" s="0" t="inlineStr">
        <is>
          <t>(2,</t>
        </is>
      </c>
      <c r="G168" s="0" t="inlineStr">
        <is>
          <t>3)</t>
        </is>
      </c>
      <c r="K168" s="0">
        <f>IF(H167="1)",1,IF(H167="2)",2,IF(H167="3)",3,IF(H167="4)",4,IF(H167="5)",5,IF(H167="6)",6,IF(H167="7)",7,IF(H167="8)",8,0))))))))</f>
        <v/>
      </c>
      <c r="L168" s="0">
        <f>IF(H167="1)",J167,IF(H167="2)",J167,IF(H167="3)",J167,IF(H167="4)",J167,IF(H167="5)",J167,IF(H167="6)",J167,IF(H167="7)",J167,IF(H167="8)",J167,0))))))))</f>
        <v/>
      </c>
    </row>
    <row r="169">
      <c r="A169" s="0" t="inlineStr">
        <is>
          <t>New</t>
        </is>
      </c>
      <c r="B169" s="0" t="inlineStr">
        <is>
          <t>Item</t>
        </is>
      </c>
      <c r="C169" s="0" t="inlineStr">
        <is>
          <t>Acquired</t>
        </is>
      </c>
      <c r="D169" s="0" t="inlineStr">
        <is>
          <t>:</t>
        </is>
      </c>
      <c r="E169" s="0" t="inlineStr">
        <is>
          <t>30.00K</t>
        </is>
      </c>
      <c r="F169" s="0" t="inlineStr">
        <is>
          <t>(1,</t>
        </is>
      </c>
      <c r="G169" s="0" t="inlineStr">
        <is>
          <t>10)</t>
        </is>
      </c>
      <c r="K169" s="0">
        <f>IF(H168="1)",1,IF(H168="2)",2,IF(H168="3)",3,IF(H168="4)",4,IF(H168="5)",5,IF(H168="6)",6,IF(H168="7)",7,IF(H168="8)",8,0))))))))</f>
        <v/>
      </c>
      <c r="L169" s="0">
        <f>IF(H168="1)",J168,IF(H168="2)",J168,IF(H168="3)",J168,IF(H168="4)",J168,IF(H168="5)",J168,IF(H168="6)",J168,IF(H168="7)",J168,IF(H168="8)",J168,0))))))))</f>
        <v/>
      </c>
    </row>
    <row r="170">
      <c r="A170" s="0" t="inlineStr">
        <is>
          <t>New</t>
        </is>
      </c>
      <c r="B170" s="0" t="inlineStr">
        <is>
          <t>Item</t>
        </is>
      </c>
      <c r="C170" s="0" t="inlineStr">
        <is>
          <t>Acquired</t>
        </is>
      </c>
      <c r="D170" s="0" t="inlineStr">
        <is>
          <t>:</t>
        </is>
      </c>
      <c r="E170" s="0" t="inlineStr">
        <is>
          <t>50.00K</t>
        </is>
      </c>
      <c r="F170" s="0" t="inlineStr">
        <is>
          <t>(1,</t>
        </is>
      </c>
      <c r="G170" s="0" t="inlineStr">
        <is>
          <t>24)</t>
        </is>
      </c>
      <c r="K170" s="0">
        <f>IF(H169="1)",1,IF(H169="2)",2,IF(H169="3)",3,IF(H169="4)",4,IF(H169="5)",5,IF(H169="6)",6,IF(H169="7)",7,IF(H169="8)",8,0))))))))</f>
        <v/>
      </c>
      <c r="L170" s="0">
        <f>IF(H169="1)",J169,IF(H169="2)",J169,IF(H169="3)",J169,IF(H169="4)",J169,IF(H169="5)",J169,IF(H169="6)",J169,IF(H169="7)",J169,IF(H169="8)",J169,0))))))))</f>
        <v/>
      </c>
    </row>
    <row r="171">
      <c r="A171" s="0" t="inlineStr">
        <is>
          <t>New</t>
        </is>
      </c>
      <c r="B171" s="0" t="inlineStr">
        <is>
          <t>Item</t>
        </is>
      </c>
      <c r="C171" s="0" t="inlineStr">
        <is>
          <t>Acquired</t>
        </is>
      </c>
      <c r="D171" s="0" t="inlineStr">
        <is>
          <t>:</t>
        </is>
      </c>
      <c r="E171" s="0" t="inlineStr">
        <is>
          <t>50.00K</t>
        </is>
      </c>
      <c r="F171" s="0" t="inlineStr">
        <is>
          <t>(1,</t>
        </is>
      </c>
      <c r="G171" s="0" t="inlineStr">
        <is>
          <t>8)</t>
        </is>
      </c>
      <c r="K171" s="0">
        <f>IF(H170="1)",1,IF(H170="2)",2,IF(H170="3)",3,IF(H170="4)",4,IF(H170="5)",5,IF(H170="6)",6,IF(H170="7)",7,IF(H170="8)",8,0))))))))</f>
        <v/>
      </c>
      <c r="L171" s="0">
        <f>IF(H170="1)",J170,IF(H170="2)",J170,IF(H170="3)",J170,IF(H170="4)",J170,IF(H170="5)",J170,IF(H170="6)",J170,IF(H170="7)",J170,IF(H170="8)",J170,0))))))))</f>
        <v/>
      </c>
    </row>
    <row r="172">
      <c r="A172" s="0" t="inlineStr">
        <is>
          <t>New</t>
        </is>
      </c>
      <c r="B172" s="0" t="inlineStr">
        <is>
          <t>Item</t>
        </is>
      </c>
      <c r="C172" s="0" t="inlineStr">
        <is>
          <t>Acquired</t>
        </is>
      </c>
      <c r="D172" s="0" t="inlineStr">
        <is>
          <t>:</t>
        </is>
      </c>
      <c r="E172" s="0" t="inlineStr">
        <is>
          <t>Mega</t>
        </is>
      </c>
      <c r="F172" s="0" t="inlineStr">
        <is>
          <t>(8,</t>
        </is>
      </c>
      <c r="G172" s="0" t="inlineStr">
        <is>
          <t>16)</t>
        </is>
      </c>
      <c r="K172" s="0">
        <f>IF(H171="1)",1,IF(H171="2)",2,IF(H171="3)",3,IF(H171="4)",4,IF(H171="5)",5,IF(H171="6)",6,IF(H171="7)",7,IF(H171="8)",8,0))))))))</f>
        <v/>
      </c>
      <c r="L172" s="0">
        <f>IF(H171="1)",J171,IF(H171="2)",J171,IF(H171="3)",J171,IF(H171="4)",J171,IF(H171="5)",J171,IF(H171="6)",J171,IF(H171="7)",J171,IF(H171="8)",J171,0))))))))</f>
        <v/>
      </c>
    </row>
    <row r="173">
      <c r="A173" s="0" t="inlineStr">
        <is>
          <t>New</t>
        </is>
      </c>
      <c r="B173" s="0" t="inlineStr">
        <is>
          <t>Item</t>
        </is>
      </c>
      <c r="C173" s="0" t="inlineStr">
        <is>
          <t>Acquired</t>
        </is>
      </c>
      <c r="D173" s="0" t="inlineStr">
        <is>
          <t>:</t>
        </is>
      </c>
      <c r="E173" s="0" t="inlineStr">
        <is>
          <t>120.00K</t>
        </is>
      </c>
      <c r="F173" s="0" t="inlineStr">
        <is>
          <t>(8,</t>
        </is>
      </c>
      <c r="G173" s="0" t="inlineStr">
        <is>
          <t>24)</t>
        </is>
      </c>
      <c r="K173" s="0">
        <f>IF(H172="1)",1,IF(H172="2)",2,IF(H172="3)",3,IF(H172="4)",4,IF(H172="5)",5,IF(H172="6)",6,IF(H172="7)",7,IF(H172="8)",8,0))))))))</f>
        <v/>
      </c>
      <c r="L173" s="0">
        <f>IF(H172="1)",J172,IF(H172="2)",J172,IF(H172="3)",J172,IF(H172="4)",J172,IF(H172="5)",J172,IF(H172="6)",J172,IF(H172="7)",J172,IF(H172="8)",J172,0))))))))</f>
        <v/>
      </c>
    </row>
    <row r="174">
      <c r="A174" s="0" t="inlineStr">
        <is>
          <t>New</t>
        </is>
      </c>
      <c r="B174" s="0" t="inlineStr">
        <is>
          <t>Item</t>
        </is>
      </c>
      <c r="C174" s="0" t="inlineStr">
        <is>
          <t>Acquired</t>
        </is>
      </c>
      <c r="D174" s="0" t="inlineStr">
        <is>
          <t>:</t>
        </is>
      </c>
      <c r="E174" s="0" t="inlineStr">
        <is>
          <t>150.00K</t>
        </is>
      </c>
      <c r="F174" s="0" t="inlineStr">
        <is>
          <t>(7,</t>
        </is>
      </c>
      <c r="G174" s="0" t="inlineStr">
        <is>
          <t>10)</t>
        </is>
      </c>
      <c r="K174" s="0">
        <f>IF(H173="1)",1,IF(H173="2)",2,IF(H173="3)",3,IF(H173="4)",4,IF(H173="5)",5,IF(H173="6)",6,IF(H173="7)",7,IF(H173="8)",8,0))))))))</f>
        <v/>
      </c>
      <c r="L174" s="0">
        <f>IF(H173="1)",J173,IF(H173="2)",J173,IF(H173="3)",J173,IF(H173="4)",J173,IF(H173="5)",J173,IF(H173="6)",J173,IF(H173="7)",J173,IF(H173="8)",J173,0))))))))</f>
        <v/>
      </c>
    </row>
    <row r="175">
      <c r="A175" s="0" t="inlineStr">
        <is>
          <t>New</t>
        </is>
      </c>
      <c r="B175" s="0" t="inlineStr">
        <is>
          <t>Item</t>
        </is>
      </c>
      <c r="C175" s="0" t="inlineStr">
        <is>
          <t>Acquired</t>
        </is>
      </c>
      <c r="D175" s="0" t="inlineStr">
        <is>
          <t>:</t>
        </is>
      </c>
      <c r="E175" s="0" t="inlineStr">
        <is>
          <t>157.50K</t>
        </is>
      </c>
      <c r="F175" s="0" t="inlineStr">
        <is>
          <t>(5,</t>
        </is>
      </c>
      <c r="G175" s="0" t="inlineStr">
        <is>
          <t>9)</t>
        </is>
      </c>
      <c r="K175" s="0">
        <f>IF(H174="1)",1,IF(H174="2)",2,IF(H174="3)",3,IF(H174="4)",4,IF(H174="5)",5,IF(H174="6)",6,IF(H174="7)",7,IF(H174="8)",8,0))))))))</f>
        <v/>
      </c>
      <c r="L175" s="0">
        <f>IF(H174="1)",J174,IF(H174="2)",J174,IF(H174="3)",J174,IF(H174="4)",J174,IF(H174="5)",J174,IF(H174="6)",J174,IF(H174="7)",J174,IF(H174="8)",J174,0))))))))</f>
        <v/>
      </c>
    </row>
    <row r="176">
      <c r="A176" s="0" t="inlineStr">
        <is>
          <t>New</t>
        </is>
      </c>
      <c r="B176" s="0" t="inlineStr">
        <is>
          <t>Item</t>
        </is>
      </c>
      <c r="C176" s="0" t="inlineStr">
        <is>
          <t>Acquired</t>
        </is>
      </c>
      <c r="D176" s="0" t="inlineStr">
        <is>
          <t>:</t>
        </is>
      </c>
      <c r="E176" s="0" t="inlineStr">
        <is>
          <t>45.00K</t>
        </is>
      </c>
      <c r="F176" s="0" t="inlineStr">
        <is>
          <t>(3,</t>
        </is>
      </c>
      <c r="G176" s="0" t="inlineStr">
        <is>
          <t>10)</t>
        </is>
      </c>
      <c r="K176" s="0">
        <f>IF(H175="1)",1,IF(H175="2)",2,IF(H175="3)",3,IF(H175="4)",4,IF(H175="5)",5,IF(H175="6)",6,IF(H175="7)",7,IF(H175="8)",8,0))))))))</f>
        <v/>
      </c>
      <c r="L176" s="0">
        <f>IF(H175="1)",J175,IF(H175="2)",J175,IF(H175="3)",J175,IF(H175="4)",J175,IF(H175="5)",J175,IF(H175="6)",J175,IF(H175="7)",J175,IF(H175="8)",J175,0))))))))</f>
        <v/>
      </c>
    </row>
    <row r="177">
      <c r="A177" s="0" t="inlineStr">
        <is>
          <t>New</t>
        </is>
      </c>
      <c r="B177" s="0" t="inlineStr">
        <is>
          <t>Item</t>
        </is>
      </c>
      <c r="C177" s="0" t="inlineStr">
        <is>
          <t>Acquired</t>
        </is>
      </c>
      <c r="D177" s="0" t="inlineStr">
        <is>
          <t>:</t>
        </is>
      </c>
      <c r="E177" s="0" t="inlineStr">
        <is>
          <t>175.00K</t>
        </is>
      </c>
      <c r="F177" s="0" t="inlineStr">
        <is>
          <t>(6,</t>
        </is>
      </c>
      <c r="G177" s="0" t="inlineStr">
        <is>
          <t>4)</t>
        </is>
      </c>
      <c r="K177" s="0">
        <f>IF(H176="1)",1,IF(H176="2)",2,IF(H176="3)",3,IF(H176="4)",4,IF(H176="5)",5,IF(H176="6)",6,IF(H176="7)",7,IF(H176="8)",8,0))))))))</f>
        <v/>
      </c>
      <c r="L177" s="0">
        <f>IF(H176="1)",J176,IF(H176="2)",J176,IF(H176="3)",J176,IF(H176="4)",J176,IF(H176="5)",J176,IF(H176="6)",J176,IF(H176="7)",J176,IF(H176="8)",J176,0))))))))</f>
        <v/>
      </c>
    </row>
    <row r="178">
      <c r="A178" s="0" t="inlineStr">
        <is>
          <t>New</t>
        </is>
      </c>
      <c r="B178" s="0" t="inlineStr">
        <is>
          <t>Item</t>
        </is>
      </c>
      <c r="C178" s="0" t="inlineStr">
        <is>
          <t>Acquired</t>
        </is>
      </c>
      <c r="D178" s="0" t="inlineStr">
        <is>
          <t>:</t>
        </is>
      </c>
      <c r="E178" s="0" t="inlineStr">
        <is>
          <t>45.00K</t>
        </is>
      </c>
      <c r="F178" s="0" t="inlineStr">
        <is>
          <t>(3,</t>
        </is>
      </c>
      <c r="G178" s="0" t="inlineStr">
        <is>
          <t>9)</t>
        </is>
      </c>
      <c r="K178" s="0">
        <f>IF(H177="1)",1,IF(H177="2)",2,IF(H177="3)",3,IF(H177="4)",4,IF(H177="5)",5,IF(H177="6)",6,IF(H177="7)",7,IF(H177="8)",8,0))))))))</f>
        <v/>
      </c>
      <c r="L178" s="0">
        <f>IF(H177="1)",J177,IF(H177="2)",J177,IF(H177="3)",J177,IF(H177="4)",J177,IF(H177="5)",J177,IF(H177="6)",J177,IF(H177="7)",J177,IF(H177="8)",J177,0))))))))</f>
        <v/>
      </c>
    </row>
    <row r="179">
      <c r="A179" s="0" t="inlineStr">
        <is>
          <t>New</t>
        </is>
      </c>
      <c r="B179" s="0" t="inlineStr">
        <is>
          <t>Item</t>
        </is>
      </c>
      <c r="C179" s="0" t="inlineStr">
        <is>
          <t>Acquired</t>
        </is>
      </c>
      <c r="D179" s="0" t="inlineStr">
        <is>
          <t>:</t>
        </is>
      </c>
      <c r="E179" s="0" t="inlineStr">
        <is>
          <t>50.00K</t>
        </is>
      </c>
      <c r="F179" s="0" t="inlineStr">
        <is>
          <t>(1,</t>
        </is>
      </c>
      <c r="G179" s="0" t="inlineStr">
        <is>
          <t>9)</t>
        </is>
      </c>
      <c r="K179" s="0">
        <f>IF(H178="1)",1,IF(H178="2)",2,IF(H178="3)",3,IF(H178="4)",4,IF(H178="5)",5,IF(H178="6)",6,IF(H178="7)",7,IF(H178="8)",8,0))))))))</f>
        <v/>
      </c>
      <c r="L179" s="0">
        <f>IF(H178="1)",J178,IF(H178="2)",J178,IF(H178="3)",J178,IF(H178="4)",J178,IF(H178="5)",J178,IF(H178="6)",J178,IF(H178="7)",J178,IF(H178="8)",J178,0))))))))</f>
        <v/>
      </c>
    </row>
    <row r="180">
      <c r="A180" s="0" t="inlineStr">
        <is>
          <t>Item</t>
        </is>
      </c>
      <c r="B180" s="0" t="inlineStr">
        <is>
          <t>ReSelect</t>
        </is>
      </c>
      <c r="C180" s="0" t="inlineStr">
        <is>
          <t>Failed</t>
        </is>
      </c>
      <c r="D180" s="0" t="inlineStr">
        <is>
          <t>:</t>
        </is>
      </c>
      <c r="E180" s="0" t="inlineStr">
        <is>
          <t>Attempt</t>
        </is>
      </c>
      <c r="F180" s="0" t="inlineStr">
        <is>
          <t>Count</t>
        </is>
      </c>
      <c r="G180" s="0" t="inlineStr">
        <is>
          <t>-</t>
        </is>
      </c>
      <c r="H180" s="0" t="n">
        <v>3</v>
      </c>
      <c r="K180" s="0">
        <f>IF(H179="1)",1,IF(H179="2)",2,IF(H179="3)",3,IF(H179="4)",4,IF(H179="5)",5,IF(H179="6)",6,IF(H179="7)",7,IF(H179="8)",8,0))))))))</f>
        <v/>
      </c>
      <c r="L180" s="0">
        <f>IF(H179="1)",J179,IF(H179="2)",J179,IF(H179="3)",J179,IF(H179="4)",J179,IF(H179="5)",J179,IF(H179="6)",J179,IF(H179="7)",J179,IF(H179="8)",J179,0))))))))</f>
        <v/>
      </c>
    </row>
    <row r="181">
      <c r="A181" s="0" t="inlineStr">
        <is>
          <t>New</t>
        </is>
      </c>
      <c r="B181" s="0" t="inlineStr">
        <is>
          <t>Item</t>
        </is>
      </c>
      <c r="C181" s="0" t="inlineStr">
        <is>
          <t>Acquired</t>
        </is>
      </c>
      <c r="D181" s="0" t="inlineStr">
        <is>
          <t>:</t>
        </is>
      </c>
      <c r="E181" s="0" t="inlineStr">
        <is>
          <t>45.00K</t>
        </is>
      </c>
      <c r="F181" s="0" t="inlineStr">
        <is>
          <t>(3,</t>
        </is>
      </c>
      <c r="G181" s="0" t="inlineStr">
        <is>
          <t>21)</t>
        </is>
      </c>
      <c r="K181" s="0">
        <f>IF(H180="1)",1,IF(H180="2)",2,IF(H180="3)",3,IF(H180="4)",4,IF(H180="5)",5,IF(H180="6)",6,IF(H180="7)",7,IF(H180="8)",8,0))))))))</f>
        <v/>
      </c>
      <c r="L181" s="0">
        <f>IF(H180="1)",J180,IF(H180="2)",J180,IF(H180="3)",J180,IF(H180="4)",J180,IF(H180="5)",J180,IF(H180="6)",J180,IF(H180="7)",J180,IF(H180="8)",J180,0))))))))</f>
        <v/>
      </c>
    </row>
    <row r="182">
      <c r="A182" s="0" t="inlineStr">
        <is>
          <t>New</t>
        </is>
      </c>
      <c r="B182" s="0" t="inlineStr">
        <is>
          <t>Item</t>
        </is>
      </c>
      <c r="C182" s="0" t="inlineStr">
        <is>
          <t>Acquired</t>
        </is>
      </c>
      <c r="D182" s="0" t="inlineStr">
        <is>
          <t>:</t>
        </is>
      </c>
      <c r="E182" s="0" t="inlineStr">
        <is>
          <t>67.50K</t>
        </is>
      </c>
      <c r="F182" s="0" t="inlineStr">
        <is>
          <t>(5,</t>
        </is>
      </c>
      <c r="G182" s="0" t="inlineStr">
        <is>
          <t>14)</t>
        </is>
      </c>
      <c r="K182" s="0">
        <f>IF(H181="1)",1,IF(H181="2)",2,IF(H181="3)",3,IF(H181="4)",4,IF(H181="5)",5,IF(H181="6)",6,IF(H181="7)",7,IF(H181="8)",8,0))))))))</f>
        <v/>
      </c>
      <c r="L182" s="0">
        <f>IF(H181="1)",J181,IF(H181="2)",J181,IF(H181="3)",J181,IF(H181="4)",J181,IF(H181="5)",J181,IF(H181="6)",J181,IF(H181="7)",J181,IF(H181="8)",J181,0))))))))</f>
        <v/>
      </c>
    </row>
    <row r="183">
      <c r="A183" s="0" t="inlineStr">
        <is>
          <t>New</t>
        </is>
      </c>
      <c r="B183" s="0" t="inlineStr">
        <is>
          <t>Item</t>
        </is>
      </c>
      <c r="C183" s="0" t="inlineStr">
        <is>
          <t>Acquired</t>
        </is>
      </c>
      <c r="D183" s="0" t="inlineStr">
        <is>
          <t>:</t>
        </is>
      </c>
      <c r="E183" s="0" t="inlineStr">
        <is>
          <t>105.00K</t>
        </is>
      </c>
      <c r="F183" s="0" t="inlineStr">
        <is>
          <t>(3,</t>
        </is>
      </c>
      <c r="G183" s="0" t="inlineStr">
        <is>
          <t>14)</t>
        </is>
      </c>
      <c r="K183" s="0">
        <f>IF(H182="1)",1,IF(H182="2)",2,IF(H182="3)",3,IF(H182="4)",4,IF(H182="5)",5,IF(H182="6)",6,IF(H182="7)",7,IF(H182="8)",8,0))))))))</f>
        <v/>
      </c>
      <c r="L183" s="0">
        <f>IF(H182="1)",J182,IF(H182="2)",J182,IF(H182="3)",J182,IF(H182="4)",J182,IF(H182="5)",J182,IF(H182="6)",J182,IF(H182="7)",J182,IF(H182="8)",J182,0))))))))</f>
        <v/>
      </c>
    </row>
    <row r="184">
      <c r="A184" s="0" t="inlineStr">
        <is>
          <t>New</t>
        </is>
      </c>
      <c r="B184" s="0" t="inlineStr">
        <is>
          <t>Item</t>
        </is>
      </c>
      <c r="C184" s="0" t="inlineStr">
        <is>
          <t>Acquired</t>
        </is>
      </c>
      <c r="D184" s="0" t="inlineStr">
        <is>
          <t>:</t>
        </is>
      </c>
      <c r="E184" s="0" t="inlineStr">
        <is>
          <t>62.50K</t>
        </is>
      </c>
      <c r="F184" s="0" t="inlineStr">
        <is>
          <t>(2,</t>
        </is>
      </c>
      <c r="G184" s="0" t="inlineStr">
        <is>
          <t>23)</t>
        </is>
      </c>
      <c r="K184" s="0">
        <f>IF(H183="1)",1,IF(H183="2)",2,IF(H183="3)",3,IF(H183="4)",4,IF(H183="5)",5,IF(H183="6)",6,IF(H183="7)",7,IF(H183="8)",8,0))))))))</f>
        <v/>
      </c>
      <c r="L184" s="0">
        <f>IF(H183="1)",J183,IF(H183="2)",J183,IF(H183="3)",J183,IF(H183="4)",J183,IF(H183="5)",J183,IF(H183="6)",J183,IF(H183="7)",J183,IF(H183="8)",J183,0))))))))</f>
        <v/>
      </c>
    </row>
    <row r="185">
      <c r="A185" s="0" t="inlineStr">
        <is>
          <t>New</t>
        </is>
      </c>
      <c r="B185" s="0" t="inlineStr">
        <is>
          <t>Item</t>
        </is>
      </c>
      <c r="C185" s="0" t="inlineStr">
        <is>
          <t>Acquired</t>
        </is>
      </c>
      <c r="D185" s="0" t="inlineStr">
        <is>
          <t>:</t>
        </is>
      </c>
      <c r="E185" s="0" t="inlineStr">
        <is>
          <t>60.00K</t>
        </is>
      </c>
      <c r="F185" s="0" t="inlineStr">
        <is>
          <t>(4,</t>
        </is>
      </c>
      <c r="G185" s="0" t="inlineStr">
        <is>
          <t>9)</t>
        </is>
      </c>
      <c r="K185" s="0">
        <f>IF(H184="1)",1,IF(H184="2)",2,IF(H184="3)",3,IF(H184="4)",4,IF(H184="5)",5,IF(H184="6)",6,IF(H184="7)",7,IF(H184="8)",8,0))))))))</f>
        <v/>
      </c>
      <c r="L185" s="0">
        <f>IF(H184="1)",J184,IF(H184="2)",J184,IF(H184="3)",J184,IF(H184="4)",J184,IF(H184="5)",J184,IF(H184="6)",J184,IF(H184="7)",J184,IF(H184="8)",J184,0))))))))</f>
        <v/>
      </c>
    </row>
    <row r="186">
      <c r="A186" s="0" t="inlineStr">
        <is>
          <t>New</t>
        </is>
      </c>
      <c r="B186" s="0" t="inlineStr">
        <is>
          <t>Item</t>
        </is>
      </c>
      <c r="C186" s="0" t="inlineStr">
        <is>
          <t>Acquired</t>
        </is>
      </c>
      <c r="D186" s="0" t="inlineStr">
        <is>
          <t>:</t>
        </is>
      </c>
      <c r="E186" s="0" t="inlineStr">
        <is>
          <t>50.00K</t>
        </is>
      </c>
      <c r="F186" s="0" t="inlineStr">
        <is>
          <t>(1,</t>
        </is>
      </c>
      <c r="G186" s="0" t="inlineStr">
        <is>
          <t>22)</t>
        </is>
      </c>
      <c r="K186" s="0">
        <f>IF(H185="1)",1,IF(H185="2)",2,IF(H185="3)",3,IF(H185="4)",4,IF(H185="5)",5,IF(H185="6)",6,IF(H185="7)",7,IF(H185="8)",8,0))))))))</f>
        <v/>
      </c>
      <c r="L186" s="0">
        <f>IF(H185="1)",J185,IF(H185="2)",J185,IF(H185="3)",J185,IF(H185="4)",J185,IF(H185="5)",J185,IF(H185="6)",J185,IF(H185="7)",J185,IF(H185="8)",J185,0))))))))</f>
        <v/>
      </c>
    </row>
    <row r="187">
      <c r="A187" s="0" t="inlineStr">
        <is>
          <t>New</t>
        </is>
      </c>
      <c r="B187" s="0" t="inlineStr">
        <is>
          <t>Item</t>
        </is>
      </c>
      <c r="C187" s="0" t="inlineStr">
        <is>
          <t>Acquired</t>
        </is>
      </c>
      <c r="D187" s="0" t="inlineStr">
        <is>
          <t>:</t>
        </is>
      </c>
      <c r="E187" s="0" t="inlineStr">
        <is>
          <t>120.00K</t>
        </is>
      </c>
      <c r="F187" s="0" t="inlineStr">
        <is>
          <t>(8,</t>
        </is>
      </c>
      <c r="G187" s="0" t="inlineStr">
        <is>
          <t>9)</t>
        </is>
      </c>
      <c r="K187" s="0">
        <f>IF(H186="1)",1,IF(H186="2)",2,IF(H186="3)",3,IF(H186="4)",4,IF(H186="5)",5,IF(H186="6)",6,IF(H186="7)",7,IF(H186="8)",8,0))))))))</f>
        <v/>
      </c>
      <c r="L187" s="0">
        <f>IF(H186="1)",J186,IF(H186="2)",J186,IF(H186="3)",J186,IF(H186="4)",J186,IF(H186="5)",J186,IF(H186="6)",J186,IF(H186="7)",J186,IF(H186="8)",J186,0))))))))</f>
        <v/>
      </c>
    </row>
    <row r="188">
      <c r="A188" s="0" t="inlineStr">
        <is>
          <t>New</t>
        </is>
      </c>
      <c r="B188" s="0" t="inlineStr">
        <is>
          <t>Item</t>
        </is>
      </c>
      <c r="C188" s="0" t="inlineStr">
        <is>
          <t>Acquired</t>
        </is>
      </c>
      <c r="D188" s="0" t="inlineStr">
        <is>
          <t>:</t>
        </is>
      </c>
      <c r="E188" s="0" t="inlineStr">
        <is>
          <t>200.00K</t>
        </is>
      </c>
      <c r="F188" s="0" t="inlineStr">
        <is>
          <t>(8,</t>
        </is>
      </c>
      <c r="G188" s="0" t="inlineStr">
        <is>
          <t>7)</t>
        </is>
      </c>
      <c r="K188" s="0">
        <f>IF(H187="1)",1,IF(H187="2)",2,IF(H187="3)",3,IF(H187="4)",4,IF(H187="5)",5,IF(H187="6)",6,IF(H187="7)",7,IF(H187="8)",8,0))))))))</f>
        <v/>
      </c>
      <c r="L188" s="0">
        <f>IF(H187="1)",J187,IF(H187="2)",J187,IF(H187="3)",J187,IF(H187="4)",J187,IF(H187="5)",J187,IF(H187="6)",J187,IF(H187="7)",J187,IF(H187="8)",J187,0))))))))</f>
        <v/>
      </c>
    </row>
    <row r="189">
      <c r="A189" s="0" t="inlineStr">
        <is>
          <t>New</t>
        </is>
      </c>
      <c r="B189" s="0" t="inlineStr">
        <is>
          <t>Item</t>
        </is>
      </c>
      <c r="C189" s="0" t="inlineStr">
        <is>
          <t>Acquired</t>
        </is>
      </c>
      <c r="D189" s="0" t="inlineStr">
        <is>
          <t>:</t>
        </is>
      </c>
      <c r="E189" s="0" t="inlineStr">
        <is>
          <t>112.50K</t>
        </is>
      </c>
      <c r="F189" s="0" t="inlineStr">
        <is>
          <t>(5,</t>
        </is>
      </c>
      <c r="G189" s="0" t="inlineStr">
        <is>
          <t>18)</t>
        </is>
      </c>
      <c r="K189" s="0">
        <f>IF(H188="1)",1,IF(H188="2)",2,IF(H188="3)",3,IF(H188="4)",4,IF(H188="5)",5,IF(H188="6)",6,IF(H188="7)",7,IF(H188="8)",8,0))))))))</f>
        <v/>
      </c>
      <c r="L189" s="0">
        <f>IF(H188="1)",J188,IF(H188="2)",J188,IF(H188="3)",J188,IF(H188="4)",J188,IF(H188="5)",J188,IF(H188="6)",J188,IF(H188="7)",J188,IF(H188="8)",J188,0))))))))</f>
        <v/>
      </c>
    </row>
    <row r="190">
      <c r="A190" s="0" t="inlineStr">
        <is>
          <t>New</t>
        </is>
      </c>
      <c r="B190" s="0" t="inlineStr">
        <is>
          <t>Item</t>
        </is>
      </c>
      <c r="C190" s="0" t="inlineStr">
        <is>
          <t>Acquired</t>
        </is>
      </c>
      <c r="D190" s="0" t="inlineStr">
        <is>
          <t>:</t>
        </is>
      </c>
      <c r="E190" s="0" t="inlineStr">
        <is>
          <t>Minor</t>
        </is>
      </c>
      <c r="F190" s="0" t="inlineStr">
        <is>
          <t>(3,</t>
        </is>
      </c>
      <c r="G190" s="0" t="inlineStr">
        <is>
          <t>12)</t>
        </is>
      </c>
      <c r="K190" s="0">
        <f>IF(H189="1)",1,IF(H189="2)",2,IF(H189="3)",3,IF(H189="4)",4,IF(H189="5)",5,IF(H189="6)",6,IF(H189="7)",7,IF(H189="8)",8,0))))))))</f>
        <v/>
      </c>
      <c r="L190" s="0">
        <f>IF(H189="1)",J189,IF(H189="2)",J189,IF(H189="3)",J189,IF(H189="4)",J189,IF(H189="5)",J189,IF(H189="6)",J189,IF(H189="7)",J189,IF(H189="8)",J189,0))))))))</f>
        <v/>
      </c>
    </row>
    <row r="191">
      <c r="A191" s="0" t="inlineStr">
        <is>
          <t>New</t>
        </is>
      </c>
      <c r="B191" s="0" t="inlineStr">
        <is>
          <t>Item</t>
        </is>
      </c>
      <c r="C191" s="0" t="inlineStr">
        <is>
          <t>Acquired</t>
        </is>
      </c>
      <c r="D191" s="0" t="inlineStr">
        <is>
          <t>:</t>
        </is>
      </c>
      <c r="E191" s="0" t="inlineStr">
        <is>
          <t>120.00K</t>
        </is>
      </c>
      <c r="F191" s="0" t="inlineStr">
        <is>
          <t>(8,</t>
        </is>
      </c>
      <c r="G191" s="0" t="inlineStr">
        <is>
          <t>10)</t>
        </is>
      </c>
      <c r="K191" s="0">
        <f>IF(H190="1)",1,IF(H190="2)",2,IF(H190="3)",3,IF(H190="4)",4,IF(H190="5)",5,IF(H190="6)",6,IF(H190="7)",7,IF(H190="8)",8,0))))))))</f>
        <v/>
      </c>
      <c r="L191" s="0">
        <f>IF(H190="1)",J190,IF(H190="2)",J190,IF(H190="3)",J190,IF(H190="4)",J190,IF(H190="5)",J190,IF(H190="6)",J190,IF(H190="7)",J190,IF(H190="8)",J190,0))))))))</f>
        <v/>
      </c>
    </row>
    <row r="192">
      <c r="A192" s="0" t="inlineStr">
        <is>
          <t>New</t>
        </is>
      </c>
      <c r="B192" s="0" t="inlineStr">
        <is>
          <t>Item</t>
        </is>
      </c>
      <c r="C192" s="0" t="inlineStr">
        <is>
          <t>Acquired</t>
        </is>
      </c>
      <c r="D192" s="0" t="inlineStr">
        <is>
          <t>:</t>
        </is>
      </c>
      <c r="E192" s="0" t="inlineStr">
        <is>
          <t>Minor</t>
        </is>
      </c>
      <c r="F192" s="0" t="inlineStr">
        <is>
          <t>(5,</t>
        </is>
      </c>
      <c r="G192" s="0" t="inlineStr">
        <is>
          <t>11)</t>
        </is>
      </c>
      <c r="K192" s="0">
        <f>IF(H191="1)",1,IF(H191="2)",2,IF(H191="3)",3,IF(H191="4)",4,IF(H191="5)",5,IF(H191="6)",6,IF(H191="7)",7,IF(H191="8)",8,0))))))))</f>
        <v/>
      </c>
      <c r="L192" s="0">
        <f>IF(H191="1)",J191,IF(H191="2)",J191,IF(H191="3)",J191,IF(H191="4)",J191,IF(H191="5)",J191,IF(H191="6)",J191,IF(H191="7)",J191,IF(H191="8)",J191,0))))))))</f>
        <v/>
      </c>
    </row>
    <row r="193">
      <c r="A193" s="0" t="inlineStr">
        <is>
          <t>New</t>
        </is>
      </c>
      <c r="B193" s="0" t="inlineStr">
        <is>
          <t>Item</t>
        </is>
      </c>
      <c r="C193" s="0" t="inlineStr">
        <is>
          <t>Acquired</t>
        </is>
      </c>
      <c r="D193" s="0" t="inlineStr">
        <is>
          <t>:</t>
        </is>
      </c>
      <c r="E193" s="0" t="inlineStr">
        <is>
          <t>120.00K</t>
        </is>
      </c>
      <c r="F193" s="0" t="inlineStr">
        <is>
          <t>(8,</t>
        </is>
      </c>
      <c r="G193" s="0" t="inlineStr">
        <is>
          <t>25)</t>
        </is>
      </c>
      <c r="K193" s="0">
        <f>IF(H192="1)",1,IF(H192="2)",2,IF(H192="3)",3,IF(H192="4)",4,IF(H192="5)",5,IF(H192="6)",6,IF(H192="7)",7,IF(H192="8)",8,0))))))))</f>
        <v/>
      </c>
      <c r="L193" s="0">
        <f>IF(H192="1)",J192,IF(H192="2)",J192,IF(H192="3)",J192,IF(H192="4)",J192,IF(H192="5)",J192,IF(H192="6)",J192,IF(H192="7)",J192,IF(H192="8)",J192,0))))))))</f>
        <v/>
      </c>
    </row>
    <row r="194">
      <c r="A194" s="0" t="inlineStr">
        <is>
          <t>Line</t>
        </is>
      </c>
      <c r="B194" s="0" t="inlineStr">
        <is>
          <t>Prize</t>
        </is>
      </c>
      <c r="C194" s="0" t="inlineStr">
        <is>
          <t>Acquired</t>
        </is>
      </c>
      <c r="D194" s="0" t="inlineStr">
        <is>
          <t>:</t>
        </is>
      </c>
      <c r="E194" s="0" t="inlineStr">
        <is>
          <t>1.52M</t>
        </is>
      </c>
      <c r="F194" s="0" t="inlineStr">
        <is>
          <t>(Stage</t>
        </is>
      </c>
      <c r="G194" s="0" t="inlineStr">
        <is>
          <t>:</t>
        </is>
      </c>
      <c r="H194" s="0" t="inlineStr">
        <is>
          <t>8)</t>
        </is>
      </c>
      <c r="I194" s="0" t="inlineStr">
        <is>
          <t>-</t>
        </is>
      </c>
      <c r="J194" s="0" t="n">
        <v>1520000</v>
      </c>
      <c r="K194" s="0">
        <f>IF(H193="1)",1,IF(H193="2)",2,IF(H193="3)",3,IF(H193="4)",4,IF(H193="5)",5,IF(H193="6)",6,IF(H193="7)",7,IF(H193="8)",8,0))))))))</f>
        <v/>
      </c>
      <c r="L194" s="0">
        <f>IF(H193="1)",J193,IF(H193="2)",J193,IF(H193="3)",J193,IF(H193="4)",J193,IF(H193="5)",J193,IF(H193="6)",J193,IF(H193="7)",J193,IF(H193="8)",J193,0))))))))</f>
        <v/>
      </c>
    </row>
    <row r="195">
      <c r="A195" s="0" t="inlineStr">
        <is>
          <t>Clear</t>
        </is>
      </c>
      <c r="B195" s="0" t="inlineStr">
        <is>
          <t>Gem</t>
        </is>
      </c>
      <c r="C195" s="0" t="inlineStr">
        <is>
          <t>Acquired</t>
        </is>
      </c>
      <c r="D195" s="0" t="inlineStr">
        <is>
          <t>:</t>
        </is>
      </c>
      <c r="E195" s="0" t="n">
        <v>700</v>
      </c>
      <c r="F195" s="0" t="inlineStr">
        <is>
          <t>-&gt;</t>
        </is>
      </c>
      <c r="G195" s="0" t="n">
        <v>800</v>
      </c>
      <c r="H195" s="0" t="inlineStr">
        <is>
          <t>(Stage</t>
        </is>
      </c>
      <c r="I195" s="0" t="inlineStr">
        <is>
          <t>:</t>
        </is>
      </c>
      <c r="J195" s="0" t="inlineStr">
        <is>
          <t>8)</t>
        </is>
      </c>
      <c r="K195" s="0">
        <f>IF(H194="1)",1,IF(H194="2)",2,IF(H194="3)",3,IF(H194="4)",4,IF(H194="5)",5,IF(H194="6)",6,IF(H194="7)",7,IF(H194="8)",8,0))))))))</f>
        <v/>
      </c>
      <c r="L195" s="0">
        <f>IF(H194="1)",J194,IF(H194="2)",J194,IF(H194="3)",J194,IF(H194="4)",J194,IF(H194="5)",J194,IF(H194="6)",J194,IF(H194="7)",J194,IF(H194="8)",J194,0))))))))</f>
        <v/>
      </c>
    </row>
    <row r="196">
      <c r="A196" s="0" t="inlineStr">
        <is>
          <t>New</t>
        </is>
      </c>
      <c r="B196" s="0" t="inlineStr">
        <is>
          <t>Item</t>
        </is>
      </c>
      <c r="C196" s="0" t="inlineStr">
        <is>
          <t>Acquired</t>
        </is>
      </c>
      <c r="D196" s="0" t="inlineStr">
        <is>
          <t>:</t>
        </is>
      </c>
      <c r="E196" s="0" t="inlineStr">
        <is>
          <t>30.00K</t>
        </is>
      </c>
      <c r="F196" s="0" t="inlineStr">
        <is>
          <t>(1,</t>
        </is>
      </c>
      <c r="G196" s="0" t="inlineStr">
        <is>
          <t>6)</t>
        </is>
      </c>
      <c r="K196" s="0">
        <f>IF(H195="1)",1,IF(H195="2)",2,IF(H195="3)",3,IF(H195="4)",4,IF(H195="5)",5,IF(H195="6)",6,IF(H195="7)",7,IF(H195="8)",8,0))))))))</f>
        <v/>
      </c>
      <c r="L196" s="0">
        <f>IF(H195="1)",J195,IF(H195="2)",J195,IF(H195="3)",J195,IF(H195="4)",J195,IF(H195="5)",J195,IF(H195="6)",J195,IF(H195="7)",J195,IF(H195="8)",J195,0))))))))</f>
        <v/>
      </c>
    </row>
    <row r="197">
      <c r="A197" s="0" t="inlineStr">
        <is>
          <t>New</t>
        </is>
      </c>
      <c r="B197" s="0" t="inlineStr">
        <is>
          <t>Item</t>
        </is>
      </c>
      <c r="C197" s="0" t="inlineStr">
        <is>
          <t>Acquired</t>
        </is>
      </c>
      <c r="D197" s="0" t="inlineStr">
        <is>
          <t>:</t>
        </is>
      </c>
      <c r="E197" s="0" t="inlineStr">
        <is>
          <t>75.00K</t>
        </is>
      </c>
      <c r="F197" s="0" t="inlineStr">
        <is>
          <t>(6,</t>
        </is>
      </c>
      <c r="G197" s="0" t="inlineStr">
        <is>
          <t>8)</t>
        </is>
      </c>
      <c r="K197" s="0">
        <f>IF(H196="1)",1,IF(H196="2)",2,IF(H196="3)",3,IF(H196="4)",4,IF(H196="5)",5,IF(H196="6)",6,IF(H196="7)",7,IF(H196="8)",8,0))))))))</f>
        <v/>
      </c>
      <c r="L197" s="0">
        <f>IF(H196="1)",J196,IF(H196="2)",J196,IF(H196="3)",J196,IF(H196="4)",J196,IF(H196="5)",J196,IF(H196="6)",J196,IF(H196="7)",J196,IF(H196="8)",J196,0))))))))</f>
        <v/>
      </c>
    </row>
    <row r="198">
      <c r="A198" s="0" t="inlineStr">
        <is>
          <t>New</t>
        </is>
      </c>
      <c r="B198" s="0" t="inlineStr">
        <is>
          <t>Item</t>
        </is>
      </c>
      <c r="C198" s="0" t="inlineStr">
        <is>
          <t>Acquired</t>
        </is>
      </c>
      <c r="D198" s="0" t="inlineStr">
        <is>
          <t>:</t>
        </is>
      </c>
      <c r="E198" s="0" t="inlineStr">
        <is>
          <t>200.00K</t>
        </is>
      </c>
      <c r="F198" s="0" t="inlineStr">
        <is>
          <t>(8,</t>
        </is>
      </c>
      <c r="G198" s="0" t="inlineStr">
        <is>
          <t>20)</t>
        </is>
      </c>
      <c r="K198" s="0">
        <f>IF(H197="1)",1,IF(H197="2)",2,IF(H197="3)",3,IF(H197="4)",4,IF(H197="5)",5,IF(H197="6)",6,IF(H197="7)",7,IF(H197="8)",8,0))))))))</f>
        <v/>
      </c>
      <c r="L198" s="0">
        <f>IF(H197="1)",J197,IF(H197="2)",J197,IF(H197="3)",J197,IF(H197="4)",J197,IF(H197="5)",J197,IF(H197="6)",J197,IF(H197="7)",J197,IF(H197="8)",J197,0))))))))</f>
        <v/>
      </c>
    </row>
    <row r="199">
      <c r="A199" s="0" t="inlineStr">
        <is>
          <t>New</t>
        </is>
      </c>
      <c r="B199" s="0" t="inlineStr">
        <is>
          <t>Item</t>
        </is>
      </c>
      <c r="C199" s="0" t="inlineStr">
        <is>
          <t>Acquired</t>
        </is>
      </c>
      <c r="D199" s="0" t="inlineStr">
        <is>
          <t>:</t>
        </is>
      </c>
      <c r="E199" s="0" t="inlineStr">
        <is>
          <t>67.50K</t>
        </is>
      </c>
      <c r="F199" s="0" t="inlineStr">
        <is>
          <t>(5,</t>
        </is>
      </c>
      <c r="G199" s="0" t="inlineStr">
        <is>
          <t>10)</t>
        </is>
      </c>
      <c r="K199" s="0">
        <f>IF(H198="1)",1,IF(H198="2)",2,IF(H198="3)",3,IF(H198="4)",4,IF(H198="5)",5,IF(H198="6)",6,IF(H198="7)",7,IF(H198="8)",8,0))))))))</f>
        <v/>
      </c>
      <c r="L199" s="0">
        <f>IF(H198="1)",J198,IF(H198="2)",J198,IF(H198="3)",J198,IF(H198="4)",J198,IF(H198="5)",J198,IF(H198="6)",J198,IF(H198="7)",J198,IF(H198="8)",J198,0))))))))</f>
        <v/>
      </c>
    </row>
    <row r="200">
      <c r="A200" s="0" t="inlineStr">
        <is>
          <t>New</t>
        </is>
      </c>
      <c r="B200" s="0" t="inlineStr">
        <is>
          <t>Item</t>
        </is>
      </c>
      <c r="C200" s="0" t="inlineStr">
        <is>
          <t>Acquired</t>
        </is>
      </c>
      <c r="D200" s="0" t="inlineStr">
        <is>
          <t>:</t>
        </is>
      </c>
      <c r="E200" s="0" t="inlineStr">
        <is>
          <t>62.50K</t>
        </is>
      </c>
      <c r="F200" s="0" t="inlineStr">
        <is>
          <t>(2,</t>
        </is>
      </c>
      <c r="G200" s="0" t="inlineStr">
        <is>
          <t>11)</t>
        </is>
      </c>
      <c r="K200" s="0">
        <f>IF(H199="1)",1,IF(H199="2)",2,IF(H199="3)",3,IF(H199="4)",4,IF(H199="5)",5,IF(H199="6)",6,IF(H199="7)",7,IF(H199="8)",8,0))))))))</f>
        <v/>
      </c>
      <c r="L200" s="0">
        <f>IF(H199="1)",J199,IF(H199="2)",J199,IF(H199="3)",J199,IF(H199="4)",J199,IF(H199="5)",J199,IF(H199="6)",J199,IF(H199="7)",J199,IF(H199="8)",J199,0))))))))</f>
        <v/>
      </c>
    </row>
    <row r="201">
      <c r="A201" s="0" t="inlineStr">
        <is>
          <t>Line</t>
        </is>
      </c>
      <c r="B201" s="0" t="inlineStr">
        <is>
          <t>Prize</t>
        </is>
      </c>
      <c r="C201" s="0" t="inlineStr">
        <is>
          <t>Acquired</t>
        </is>
      </c>
      <c r="D201" s="0" t="inlineStr">
        <is>
          <t>:</t>
        </is>
      </c>
      <c r="E201" s="0" t="inlineStr">
        <is>
          <t>450.00K</t>
        </is>
      </c>
      <c r="F201" s="0" t="inlineStr">
        <is>
          <t>(Stage</t>
        </is>
      </c>
      <c r="G201" s="0" t="inlineStr">
        <is>
          <t>:</t>
        </is>
      </c>
      <c r="H201" s="0" t="inlineStr">
        <is>
          <t>2)</t>
        </is>
      </c>
      <c r="I201" s="0" t="inlineStr">
        <is>
          <t>-</t>
        </is>
      </c>
      <c r="J201" s="0" t="n">
        <v>450000</v>
      </c>
      <c r="K201" s="0">
        <f>IF(H200="1)",1,IF(H200="2)",2,IF(H200="3)",3,IF(H200="4)",4,IF(H200="5)",5,IF(H200="6)",6,IF(H200="7)",7,IF(H200="8)",8,0))))))))</f>
        <v/>
      </c>
      <c r="L201" s="0">
        <f>IF(H200="1)",J200,IF(H200="2)",J200,IF(H200="3)",J200,IF(H200="4)",J200,IF(H200="5)",J200,IF(H200="6)",J200,IF(H200="7)",J200,IF(H200="8)",J200,0))))))))</f>
        <v/>
      </c>
    </row>
    <row r="202">
      <c r="A202" s="0" t="inlineStr">
        <is>
          <t>Clear</t>
        </is>
      </c>
      <c r="B202" s="0" t="inlineStr">
        <is>
          <t>Gem</t>
        </is>
      </c>
      <c r="C202" s="0" t="inlineStr">
        <is>
          <t>Acquired</t>
        </is>
      </c>
      <c r="D202" s="0" t="inlineStr">
        <is>
          <t>:</t>
        </is>
      </c>
      <c r="E202" s="0" t="n">
        <v>800</v>
      </c>
      <c r="F202" s="0" t="inlineStr">
        <is>
          <t>-&gt;</t>
        </is>
      </c>
      <c r="G202" s="0" t="n">
        <v>900</v>
      </c>
      <c r="H202" s="0" t="inlineStr">
        <is>
          <t>(Stage</t>
        </is>
      </c>
      <c r="I202" s="0" t="inlineStr">
        <is>
          <t>:</t>
        </is>
      </c>
      <c r="J202" s="0" t="inlineStr">
        <is>
          <t>2)</t>
        </is>
      </c>
      <c r="K202" s="0">
        <f>IF(H201="1)",1,IF(H201="2)",2,IF(H201="3)",3,IF(H201="4)",4,IF(H201="5)",5,IF(H201="6)",6,IF(H201="7)",7,IF(H201="8)",8,0))))))))</f>
        <v/>
      </c>
      <c r="L202" s="0">
        <f>IF(H201="1)",J201,IF(H201="2)",J201,IF(H201="3)",J201,IF(H201="4)",J201,IF(H201="5)",J201,IF(H201="6)",J201,IF(H201="7)",J201,IF(H201="8)",J201,0))))))))</f>
        <v/>
      </c>
    </row>
    <row r="203">
      <c r="A203" s="0" t="inlineStr">
        <is>
          <t>New</t>
        </is>
      </c>
      <c r="B203" s="0" t="inlineStr">
        <is>
          <t>Item</t>
        </is>
      </c>
      <c r="C203" s="0" t="inlineStr">
        <is>
          <t>Acquired</t>
        </is>
      </c>
      <c r="D203" s="0" t="inlineStr">
        <is>
          <t>:</t>
        </is>
      </c>
      <c r="E203" s="0" t="inlineStr">
        <is>
          <t>Minor</t>
        </is>
      </c>
      <c r="F203" s="0" t="inlineStr">
        <is>
          <t>(5,</t>
        </is>
      </c>
      <c r="G203" s="0" t="inlineStr">
        <is>
          <t>12)</t>
        </is>
      </c>
      <c r="K203" s="0">
        <f>IF(H202="1)",1,IF(H202="2)",2,IF(H202="3)",3,IF(H202="4)",4,IF(H202="5)",5,IF(H202="6)",6,IF(H202="7)",7,IF(H202="8)",8,0))))))))</f>
        <v/>
      </c>
      <c r="L203" s="0">
        <f>IF(H202="1)",J202,IF(H202="2)",J202,IF(H202="3)",J202,IF(H202="4)",J202,IF(H202="5)",J202,IF(H202="6)",J202,IF(H202="7)",J202,IF(H202="8)",J202,0))))))))</f>
        <v/>
      </c>
    </row>
    <row r="204">
      <c r="A204" s="0" t="inlineStr">
        <is>
          <t>Line</t>
        </is>
      </c>
      <c r="B204" s="0" t="inlineStr">
        <is>
          <t>Prize</t>
        </is>
      </c>
      <c r="C204" s="0" t="inlineStr">
        <is>
          <t>Acquired</t>
        </is>
      </c>
      <c r="D204" s="0" t="inlineStr">
        <is>
          <t>:</t>
        </is>
      </c>
      <c r="E204" s="0" t="inlineStr">
        <is>
          <t>2.48M</t>
        </is>
      </c>
      <c r="F204" s="0" t="inlineStr">
        <is>
          <t>(Stage</t>
        </is>
      </c>
      <c r="G204" s="0" t="inlineStr">
        <is>
          <t>:</t>
        </is>
      </c>
      <c r="H204" s="0" t="inlineStr">
        <is>
          <t>5)</t>
        </is>
      </c>
      <c r="I204" s="0" t="inlineStr">
        <is>
          <t>-</t>
        </is>
      </c>
      <c r="J204" s="0" t="n">
        <v>2485000</v>
      </c>
      <c r="K204" s="0">
        <f>IF(H203="1)",1,IF(H203="2)",2,IF(H203="3)",3,IF(H203="4)",4,IF(H203="5)",5,IF(H203="6)",6,IF(H203="7)",7,IF(H203="8)",8,0))))))))</f>
        <v/>
      </c>
      <c r="L204" s="0">
        <f>IF(H203="1)",J203,IF(H203="2)",J203,IF(H203="3)",J203,IF(H203="4)",J203,IF(H203="5)",J203,IF(H203="6)",J203,IF(H203="7)",J203,IF(H203="8)",J203,0))))))))</f>
        <v/>
      </c>
    </row>
    <row r="205">
      <c r="A205" s="0" t="inlineStr">
        <is>
          <t>Clear</t>
        </is>
      </c>
      <c r="B205" s="0" t="inlineStr">
        <is>
          <t>Gem</t>
        </is>
      </c>
      <c r="C205" s="0" t="inlineStr">
        <is>
          <t>Acquired</t>
        </is>
      </c>
      <c r="D205" s="0" t="inlineStr">
        <is>
          <t>:</t>
        </is>
      </c>
      <c r="E205" s="0" t="n">
        <v>900</v>
      </c>
      <c r="F205" s="0" t="inlineStr">
        <is>
          <t>-&gt;</t>
        </is>
      </c>
      <c r="G205" s="0" t="n">
        <v>1000</v>
      </c>
      <c r="H205" s="0" t="inlineStr">
        <is>
          <t>(Stage</t>
        </is>
      </c>
      <c r="I205" s="0" t="inlineStr">
        <is>
          <t>:</t>
        </is>
      </c>
      <c r="J205" s="0" t="inlineStr">
        <is>
          <t>5)</t>
        </is>
      </c>
      <c r="K205" s="0">
        <f>IF(H204="1)",1,IF(H204="2)",2,IF(H204="3)",3,IF(H204="4)",4,IF(H204="5)",5,IF(H204="6)",6,IF(H204="7)",7,IF(H204="8)",8,0))))))))</f>
        <v/>
      </c>
      <c r="L205" s="0">
        <f>IF(H204="1)",J204,IF(H204="2)",J204,IF(H204="3)",J204,IF(H204="4)",J204,IF(H204="5)",J204,IF(H204="6)",J204,IF(H204="7)",J204,IF(H204="8)",J204,0))))))))</f>
        <v/>
      </c>
    </row>
    <row r="206">
      <c r="A206" s="0" t="inlineStr">
        <is>
          <t>New</t>
        </is>
      </c>
      <c r="B206" s="0" t="inlineStr">
        <is>
          <t>Item</t>
        </is>
      </c>
      <c r="C206" s="0" t="inlineStr">
        <is>
          <t>Acquired</t>
        </is>
      </c>
      <c r="D206" s="0" t="inlineStr">
        <is>
          <t>:</t>
        </is>
      </c>
      <c r="E206" s="0" t="inlineStr">
        <is>
          <t>37.50K</t>
        </is>
      </c>
      <c r="F206" s="0" t="inlineStr">
        <is>
          <t>(2,</t>
        </is>
      </c>
      <c r="G206" s="0" t="inlineStr">
        <is>
          <t>5)</t>
        </is>
      </c>
      <c r="K206" s="0">
        <f>IF(H205="1)",1,IF(H205="2)",2,IF(H205="3)",3,IF(H205="4)",4,IF(H205="5)",5,IF(H205="6)",6,IF(H205="7)",7,IF(H205="8)",8,0))))))))</f>
        <v/>
      </c>
      <c r="L206" s="0">
        <f>IF(H205="1)",J205,IF(H205="2)",J205,IF(H205="3)",J205,IF(H205="4)",J205,IF(H205="5)",J205,IF(H205="6)",J205,IF(H205="7)",J205,IF(H205="8)",J205,0))))))))</f>
        <v/>
      </c>
    </row>
    <row r="207">
      <c r="A207" s="0" t="inlineStr">
        <is>
          <t>New</t>
        </is>
      </c>
      <c r="B207" s="0" t="inlineStr">
        <is>
          <t>Item</t>
        </is>
      </c>
      <c r="C207" s="0" t="inlineStr">
        <is>
          <t>Acquired</t>
        </is>
      </c>
      <c r="D207" s="0" t="inlineStr">
        <is>
          <t>:</t>
        </is>
      </c>
      <c r="E207" s="0" t="inlineStr">
        <is>
          <t>37.50K</t>
        </is>
      </c>
      <c r="F207" s="0" t="inlineStr">
        <is>
          <t>(2,</t>
        </is>
      </c>
      <c r="G207" s="0" t="inlineStr">
        <is>
          <t>20)</t>
        </is>
      </c>
      <c r="K207" s="0">
        <f>IF(H206="1)",1,IF(H206="2)",2,IF(H206="3)",3,IF(H206="4)",4,IF(H206="5)",5,IF(H206="6)",6,IF(H206="7)",7,IF(H206="8)",8,0))))))))</f>
        <v/>
      </c>
      <c r="L207" s="0">
        <f>IF(H206="1)",J206,IF(H206="2)",J206,IF(H206="3)",J206,IF(H206="4)",J206,IF(H206="5)",J206,IF(H206="6)",J206,IF(H206="7)",J206,IF(H206="8)",J206,0))))))))</f>
        <v/>
      </c>
    </row>
    <row r="208">
      <c r="A208" s="0" t="inlineStr">
        <is>
          <t>New</t>
        </is>
      </c>
      <c r="B208" s="0" t="inlineStr">
        <is>
          <t>Item</t>
        </is>
      </c>
      <c r="C208" s="0" t="inlineStr">
        <is>
          <t>Acquired</t>
        </is>
      </c>
      <c r="D208" s="0" t="inlineStr">
        <is>
          <t>:</t>
        </is>
      </c>
      <c r="E208" s="0" t="inlineStr">
        <is>
          <t>75.00K</t>
        </is>
      </c>
      <c r="F208" s="0" t="inlineStr">
        <is>
          <t>(3,</t>
        </is>
      </c>
      <c r="G208" s="0" t="inlineStr">
        <is>
          <t>17)</t>
        </is>
      </c>
      <c r="K208" s="0">
        <f>IF(H207="1)",1,IF(H207="2)",2,IF(H207="3)",3,IF(H207="4)",4,IF(H207="5)",5,IF(H207="6)",6,IF(H207="7)",7,IF(H207="8)",8,0))))))))</f>
        <v/>
      </c>
      <c r="L208" s="0">
        <f>IF(H207="1)",J207,IF(H207="2)",J207,IF(H207="3)",J207,IF(H207="4)",J207,IF(H207="5)",J207,IF(H207="6)",J207,IF(H207="7)",J207,IF(H207="8)",J207,0))))))))</f>
        <v/>
      </c>
    </row>
    <row r="209">
      <c r="A209" s="0" t="inlineStr">
        <is>
          <t>New</t>
        </is>
      </c>
      <c r="B209" s="0" t="inlineStr">
        <is>
          <t>Item</t>
        </is>
      </c>
      <c r="C209" s="0" t="inlineStr">
        <is>
          <t>Acquired</t>
        </is>
      </c>
      <c r="D209" s="0" t="inlineStr">
        <is>
          <t>:</t>
        </is>
      </c>
      <c r="E209" s="0" t="inlineStr">
        <is>
          <t>Minor</t>
        </is>
      </c>
      <c r="F209" s="0" t="inlineStr">
        <is>
          <t>(6,</t>
        </is>
      </c>
      <c r="G209" s="0" t="inlineStr">
        <is>
          <t>11)</t>
        </is>
      </c>
      <c r="K209" s="0">
        <f>IF(H208="1)",1,IF(H208="2)",2,IF(H208="3)",3,IF(H208="4)",4,IF(H208="5)",5,IF(H208="6)",6,IF(H208="7)",7,IF(H208="8)",8,0))))))))</f>
        <v/>
      </c>
      <c r="L209" s="0">
        <f>IF(H208="1)",J208,IF(H208="2)",J208,IF(H208="3)",J208,IF(H208="4)",J208,IF(H208="5)",J208,IF(H208="6)",J208,IF(H208="7)",J208,IF(H208="8)",J208,0))))))))</f>
        <v/>
      </c>
    </row>
    <row r="210">
      <c r="A210" s="0" t="inlineStr">
        <is>
          <t>New</t>
        </is>
      </c>
      <c r="B210" s="0" t="inlineStr">
        <is>
          <t>Item</t>
        </is>
      </c>
      <c r="C210" s="0" t="inlineStr">
        <is>
          <t>Acquired</t>
        </is>
      </c>
      <c r="D210" s="0" t="inlineStr">
        <is>
          <t>:</t>
        </is>
      </c>
      <c r="E210" s="0" t="inlineStr">
        <is>
          <t>125.00K</t>
        </is>
      </c>
      <c r="F210" s="0" t="inlineStr">
        <is>
          <t>(6,</t>
        </is>
      </c>
      <c r="G210" s="0" t="inlineStr">
        <is>
          <t>23)</t>
        </is>
      </c>
      <c r="K210" s="0">
        <f>IF(H209="1)",1,IF(H209="2)",2,IF(H209="3)",3,IF(H209="4)",4,IF(H209="5)",5,IF(H209="6)",6,IF(H209="7)",7,IF(H209="8)",8,0))))))))</f>
        <v/>
      </c>
      <c r="L210" s="0">
        <f>IF(H209="1)",J209,IF(H209="2)",J209,IF(H209="3)",J209,IF(H209="4)",J209,IF(H209="5)",J209,IF(H209="6)",J209,IF(H209="7)",J209,IF(H209="8)",J209,0))))))))</f>
        <v/>
      </c>
    </row>
    <row r="211">
      <c r="A211" s="0" t="inlineStr">
        <is>
          <t>New</t>
        </is>
      </c>
      <c r="B211" s="0" t="inlineStr">
        <is>
          <t>Item</t>
        </is>
      </c>
      <c r="C211" s="0" t="inlineStr">
        <is>
          <t>Acquired</t>
        </is>
      </c>
      <c r="D211" s="0" t="inlineStr">
        <is>
          <t>:</t>
        </is>
      </c>
      <c r="E211" s="0" t="inlineStr">
        <is>
          <t>75.00K</t>
        </is>
      </c>
      <c r="F211" s="0" t="inlineStr">
        <is>
          <t>(4,</t>
        </is>
      </c>
      <c r="G211" s="0" t="inlineStr">
        <is>
          <t>25)</t>
        </is>
      </c>
      <c r="K211" s="0">
        <f>IF(H210="1)",1,IF(H210="2)",2,IF(H210="3)",3,IF(H210="4)",4,IF(H210="5)",5,IF(H210="6)",6,IF(H210="7)",7,IF(H210="8)",8,0))))))))</f>
        <v/>
      </c>
      <c r="L211" s="0">
        <f>IF(H210="1)",J210,IF(H210="2)",J210,IF(H210="3)",J210,IF(H210="4)",J210,IF(H210="5)",J210,IF(H210="6)",J210,IF(H210="7)",J210,IF(H210="8)",J210,0))))))))</f>
        <v/>
      </c>
    </row>
    <row r="212">
      <c r="A212" s="0" t="inlineStr">
        <is>
          <t>Line</t>
        </is>
      </c>
      <c r="B212" s="0" t="inlineStr">
        <is>
          <t>Prize</t>
        </is>
      </c>
      <c r="C212" s="0" t="inlineStr">
        <is>
          <t>Acquired</t>
        </is>
      </c>
      <c r="D212" s="0" t="inlineStr">
        <is>
          <t>:</t>
        </is>
      </c>
      <c r="E212" s="0" t="inlineStr">
        <is>
          <t>1.08M</t>
        </is>
      </c>
      <c r="F212" s="0" t="inlineStr">
        <is>
          <t>(Stage</t>
        </is>
      </c>
      <c r="G212" s="0" t="inlineStr">
        <is>
          <t>:</t>
        </is>
      </c>
      <c r="H212" s="0" t="inlineStr">
        <is>
          <t>4)</t>
        </is>
      </c>
      <c r="I212" s="0" t="inlineStr">
        <is>
          <t>-</t>
        </is>
      </c>
      <c r="J212" s="0" t="n">
        <v>1085000</v>
      </c>
      <c r="K212" s="0">
        <f>IF(H211="1)",1,IF(H211="2)",2,IF(H211="3)",3,IF(H211="4)",4,IF(H211="5)",5,IF(H211="6)",6,IF(H211="7)",7,IF(H211="8)",8,0))))))))</f>
        <v/>
      </c>
      <c r="L212" s="0">
        <f>IF(H211="1)",J211,IF(H211="2)",J211,IF(H211="3)",J211,IF(H211="4)",J211,IF(H211="5)",J211,IF(H211="6)",J211,IF(H211="7)",J211,IF(H211="8)",J211,0))))))))</f>
        <v/>
      </c>
    </row>
    <row r="213">
      <c r="A213" s="0" t="inlineStr">
        <is>
          <t>Clear</t>
        </is>
      </c>
      <c r="B213" s="0" t="inlineStr">
        <is>
          <t>Gem</t>
        </is>
      </c>
      <c r="C213" s="0" t="inlineStr">
        <is>
          <t>Acquired</t>
        </is>
      </c>
      <c r="D213" s="0" t="inlineStr">
        <is>
          <t>:</t>
        </is>
      </c>
      <c r="E213" s="0" t="n">
        <v>1000</v>
      </c>
      <c r="F213" s="0" t="inlineStr">
        <is>
          <t>-&gt;</t>
        </is>
      </c>
      <c r="G213" s="0" t="n">
        <v>1100</v>
      </c>
      <c r="H213" s="0" t="inlineStr">
        <is>
          <t>(Stage</t>
        </is>
      </c>
      <c r="I213" s="0" t="inlineStr">
        <is>
          <t>:</t>
        </is>
      </c>
      <c r="J213" s="0" t="inlineStr">
        <is>
          <t>4)</t>
        </is>
      </c>
      <c r="K213" s="0">
        <f>IF(H212="1)",1,IF(H212="2)",2,IF(H212="3)",3,IF(H212="4)",4,IF(H212="5)",5,IF(H212="6)",6,IF(H212="7)",7,IF(H212="8)",8,0))))))))</f>
        <v/>
      </c>
      <c r="L213" s="0">
        <f>IF(H212="1)",J212,IF(H212="2)",J212,IF(H212="3)",J212,IF(H212="4)",J212,IF(H212="5)",J212,IF(H212="6)",J212,IF(H212="7)",J212,IF(H212="8)",J212,0))))))))</f>
        <v/>
      </c>
    </row>
    <row r="214">
      <c r="A214" s="0" t="inlineStr">
        <is>
          <t>New</t>
        </is>
      </c>
      <c r="B214" s="0" t="inlineStr">
        <is>
          <t>Item</t>
        </is>
      </c>
      <c r="C214" s="0" t="inlineStr">
        <is>
          <t>Acquired</t>
        </is>
      </c>
      <c r="D214" s="0" t="inlineStr">
        <is>
          <t>:</t>
        </is>
      </c>
      <c r="E214" s="0" t="inlineStr">
        <is>
          <t>67.50K</t>
        </is>
      </c>
      <c r="F214" s="0" t="inlineStr">
        <is>
          <t>(5,</t>
        </is>
      </c>
      <c r="G214" s="0" t="inlineStr">
        <is>
          <t>17)</t>
        </is>
      </c>
      <c r="K214" s="0">
        <f>IF(H213="1)",1,IF(H213="2)",2,IF(H213="3)",3,IF(H213="4)",4,IF(H213="5)",5,IF(H213="6)",6,IF(H213="7)",7,IF(H213="8)",8,0))))))))</f>
        <v/>
      </c>
      <c r="L214" s="0">
        <f>IF(H213="1)",J213,IF(H213="2)",J213,IF(H213="3)",J213,IF(H213="4)",J213,IF(H213="5)",J213,IF(H213="6)",J213,IF(H213="7)",J213,IF(H213="8)",J213,0))))))))</f>
        <v/>
      </c>
    </row>
    <row r="215">
      <c r="A215" s="0" t="inlineStr">
        <is>
          <t>New</t>
        </is>
      </c>
      <c r="B215" s="0" t="inlineStr">
        <is>
          <t>Item</t>
        </is>
      </c>
      <c r="C215" s="0" t="inlineStr">
        <is>
          <t>Acquired</t>
        </is>
      </c>
      <c r="D215" s="0" t="inlineStr">
        <is>
          <t>:</t>
        </is>
      </c>
      <c r="E215" s="0" t="inlineStr">
        <is>
          <t>125.00K</t>
        </is>
      </c>
      <c r="F215" s="0" t="inlineStr">
        <is>
          <t>(6,</t>
        </is>
      </c>
      <c r="G215" s="0" t="inlineStr">
        <is>
          <t>10)</t>
        </is>
      </c>
      <c r="K215" s="0">
        <f>IF(H214="1)",1,IF(H214="2)",2,IF(H214="3)",3,IF(H214="4)",4,IF(H214="5)",5,IF(H214="6)",6,IF(H214="7)",7,IF(H214="8)",8,0))))))))</f>
        <v/>
      </c>
      <c r="L215" s="0">
        <f>IF(H214="1)",J214,IF(H214="2)",J214,IF(H214="3)",J214,IF(H214="4)",J214,IF(H214="5)",J214,IF(H214="6)",J214,IF(H214="7)",J214,IF(H214="8)",J214,0))))))))</f>
        <v/>
      </c>
    </row>
    <row r="216">
      <c r="A216" s="0" t="inlineStr">
        <is>
          <t>Item</t>
        </is>
      </c>
      <c r="B216" s="0" t="inlineStr">
        <is>
          <t>ReSelect</t>
        </is>
      </c>
      <c r="C216" s="0" t="inlineStr">
        <is>
          <t>Failed</t>
        </is>
      </c>
      <c r="D216" s="0" t="inlineStr">
        <is>
          <t>:</t>
        </is>
      </c>
      <c r="E216" s="0" t="inlineStr">
        <is>
          <t>Attempt</t>
        </is>
      </c>
      <c r="F216" s="0" t="inlineStr">
        <is>
          <t>Count</t>
        </is>
      </c>
      <c r="G216" s="0" t="inlineStr">
        <is>
          <t>-</t>
        </is>
      </c>
      <c r="H216" s="0" t="n">
        <v>3</v>
      </c>
      <c r="K216" s="0">
        <f>IF(H215="1)",1,IF(H215="2)",2,IF(H215="3)",3,IF(H215="4)",4,IF(H215="5)",5,IF(H215="6)",6,IF(H215="7)",7,IF(H215="8)",8,0))))))))</f>
        <v/>
      </c>
      <c r="L216" s="0">
        <f>IF(H215="1)",J215,IF(H215="2)",J215,IF(H215="3)",J215,IF(H215="4)",J215,IF(H215="5)",J215,IF(H215="6)",J215,IF(H215="7)",J215,IF(H215="8)",J215,0))))))))</f>
        <v/>
      </c>
    </row>
    <row r="217">
      <c r="A217" s="0" t="inlineStr">
        <is>
          <t>New</t>
        </is>
      </c>
      <c r="B217" s="0" t="inlineStr">
        <is>
          <t>Item</t>
        </is>
      </c>
      <c r="C217" s="0" t="inlineStr">
        <is>
          <t>Acquired</t>
        </is>
      </c>
      <c r="D217" s="0" t="inlineStr">
        <is>
          <t>:</t>
        </is>
      </c>
      <c r="E217" s="0" t="inlineStr">
        <is>
          <t>45.00K</t>
        </is>
      </c>
      <c r="F217" s="0" t="inlineStr">
        <is>
          <t>(3,</t>
        </is>
      </c>
      <c r="G217" s="0" t="inlineStr">
        <is>
          <t>7)</t>
        </is>
      </c>
      <c r="K217" s="0">
        <f>IF(H216="1)",1,IF(H216="2)",2,IF(H216="3)",3,IF(H216="4)",4,IF(H216="5)",5,IF(H216="6)",6,IF(H216="7)",7,IF(H216="8)",8,0))))))))</f>
        <v/>
      </c>
      <c r="L217" s="0">
        <f>IF(H216="1)",J216,IF(H216="2)",J216,IF(H216="3)",J216,IF(H216="4)",J216,IF(H216="5)",J216,IF(H216="6)",J216,IF(H216="7)",J216,IF(H216="8)",J216,0))))))))</f>
        <v/>
      </c>
    </row>
    <row r="218">
      <c r="A218" s="0" t="inlineStr">
        <is>
          <t>New</t>
        </is>
      </c>
      <c r="B218" s="0" t="inlineStr">
        <is>
          <t>Item</t>
        </is>
      </c>
      <c r="C218" s="0" t="inlineStr">
        <is>
          <t>Acquired</t>
        </is>
      </c>
      <c r="D218" s="0" t="inlineStr">
        <is>
          <t>:</t>
        </is>
      </c>
      <c r="E218" s="0" t="inlineStr">
        <is>
          <t>Major</t>
        </is>
      </c>
      <c r="F218" s="0" t="inlineStr">
        <is>
          <t>(4,</t>
        </is>
      </c>
      <c r="G218" s="0" t="inlineStr">
        <is>
          <t>9)</t>
        </is>
      </c>
      <c r="K218" s="0">
        <f>IF(H217="1)",1,IF(H217="2)",2,IF(H217="3)",3,IF(H217="4)",4,IF(H217="5)",5,IF(H217="6)",6,IF(H217="7)",7,IF(H217="8)",8,0))))))))</f>
        <v/>
      </c>
      <c r="L218" s="0">
        <f>IF(H217="1)",J217,IF(H217="2)",J217,IF(H217="3)",J217,IF(H217="4)",J217,IF(H217="5)",J217,IF(H217="6)",J217,IF(H217="7)",J217,IF(H217="8)",J217,0))))))))</f>
        <v/>
      </c>
    </row>
    <row r="219">
      <c r="A219" s="0" t="inlineStr">
        <is>
          <t>New</t>
        </is>
      </c>
      <c r="B219" s="0" t="inlineStr">
        <is>
          <t>Item</t>
        </is>
      </c>
      <c r="C219" s="0" t="inlineStr">
        <is>
          <t>Acquired</t>
        </is>
      </c>
      <c r="D219" s="0" t="inlineStr">
        <is>
          <t>:</t>
        </is>
      </c>
      <c r="E219" s="0" t="inlineStr">
        <is>
          <t>50.00K</t>
        </is>
      </c>
      <c r="F219" s="0" t="inlineStr">
        <is>
          <t>(1,</t>
        </is>
      </c>
      <c r="G219" s="0" t="inlineStr">
        <is>
          <t>2)</t>
        </is>
      </c>
      <c r="K219" s="0">
        <f>IF(H218="1)",1,IF(H218="2)",2,IF(H218="3)",3,IF(H218="4)",4,IF(H218="5)",5,IF(H218="6)",6,IF(H218="7)",7,IF(H218="8)",8,0))))))))</f>
        <v/>
      </c>
      <c r="L219" s="0">
        <f>IF(H218="1)",J218,IF(H218="2)",J218,IF(H218="3)",J218,IF(H218="4)",J218,IF(H218="5)",J218,IF(H218="6)",J218,IF(H218="7)",J218,IF(H218="8)",J218,0))))))))</f>
        <v/>
      </c>
    </row>
    <row r="220">
      <c r="A220" s="0" t="inlineStr">
        <is>
          <t>New</t>
        </is>
      </c>
      <c r="B220" s="0" t="inlineStr">
        <is>
          <t>Item</t>
        </is>
      </c>
      <c r="C220" s="0" t="inlineStr">
        <is>
          <t>Acquired</t>
        </is>
      </c>
      <c r="D220" s="0" t="inlineStr">
        <is>
          <t>:</t>
        </is>
      </c>
      <c r="E220" s="0" t="inlineStr">
        <is>
          <t>112.50K</t>
        </is>
      </c>
      <c r="F220" s="0" t="inlineStr">
        <is>
          <t>(5,</t>
        </is>
      </c>
      <c r="G220" s="0" t="inlineStr">
        <is>
          <t>8)</t>
        </is>
      </c>
      <c r="K220" s="0">
        <f>IF(H219="1)",1,IF(H219="2)",2,IF(H219="3)",3,IF(H219="4)",4,IF(H219="5)",5,IF(H219="6)",6,IF(H219="7)",7,IF(H219="8)",8,0))))))))</f>
        <v/>
      </c>
      <c r="L220" s="0">
        <f>IF(H219="1)",J219,IF(H219="2)",J219,IF(H219="3)",J219,IF(H219="4)",J219,IF(H219="5)",J219,IF(H219="6)",J219,IF(H219="7)",J219,IF(H219="8)",J219,0))))))))</f>
        <v/>
      </c>
    </row>
    <row r="221">
      <c r="A221" s="0" t="inlineStr">
        <is>
          <t>New</t>
        </is>
      </c>
      <c r="B221" s="0" t="inlineStr">
        <is>
          <t>Item</t>
        </is>
      </c>
      <c r="C221" s="0" t="inlineStr">
        <is>
          <t>Acquired</t>
        </is>
      </c>
      <c r="D221" s="0" t="inlineStr">
        <is>
          <t>:</t>
        </is>
      </c>
      <c r="E221" s="0" t="inlineStr">
        <is>
          <t>37.50K</t>
        </is>
      </c>
      <c r="F221" s="0" t="inlineStr">
        <is>
          <t>(2,</t>
        </is>
      </c>
      <c r="G221" s="0" t="inlineStr">
        <is>
          <t>10)</t>
        </is>
      </c>
      <c r="K221" s="0">
        <f>IF(H220="1)",1,IF(H220="2)",2,IF(H220="3)",3,IF(H220="4)",4,IF(H220="5)",5,IF(H220="6)",6,IF(H220="7)",7,IF(H220="8)",8,0))))))))</f>
        <v/>
      </c>
      <c r="L221" s="0">
        <f>IF(H220="1)",J220,IF(H220="2)",J220,IF(H220="3)",J220,IF(H220="4)",J220,IF(H220="5)",J220,IF(H220="6)",J220,IF(H220="7)",J220,IF(H220="8)",J220,0))))))))</f>
        <v/>
      </c>
    </row>
    <row r="222">
      <c r="A222" s="0" t="inlineStr">
        <is>
          <t>New</t>
        </is>
      </c>
      <c r="B222" s="0" t="inlineStr">
        <is>
          <t>Item</t>
        </is>
      </c>
      <c r="C222" s="0" t="inlineStr">
        <is>
          <t>Acquired</t>
        </is>
      </c>
      <c r="D222" s="0" t="inlineStr">
        <is>
          <t>:</t>
        </is>
      </c>
      <c r="E222" s="0" t="inlineStr">
        <is>
          <t>30.00K</t>
        </is>
      </c>
      <c r="F222" s="0" t="inlineStr">
        <is>
          <t>(1,</t>
        </is>
      </c>
      <c r="G222" s="0" t="inlineStr">
        <is>
          <t>14)</t>
        </is>
      </c>
      <c r="K222" s="0">
        <f>IF(H221="1)",1,IF(H221="2)",2,IF(H221="3)",3,IF(H221="4)",4,IF(H221="5)",5,IF(H221="6)",6,IF(H221="7)",7,IF(H221="8)",8,0))))))))</f>
        <v/>
      </c>
      <c r="L222" s="0">
        <f>IF(H221="1)",J221,IF(H221="2)",J221,IF(H221="3)",J221,IF(H221="4)",J221,IF(H221="5)",J221,IF(H221="6)",J221,IF(H221="7)",J221,IF(H221="8)",J221,0))))))))</f>
        <v/>
      </c>
    </row>
    <row r="223">
      <c r="A223" s="0" t="inlineStr">
        <is>
          <t>New</t>
        </is>
      </c>
      <c r="B223" s="0" t="inlineStr">
        <is>
          <t>Item</t>
        </is>
      </c>
      <c r="C223" s="0" t="inlineStr">
        <is>
          <t>Acquired</t>
        </is>
      </c>
      <c r="D223" s="0" t="inlineStr">
        <is>
          <t>:</t>
        </is>
      </c>
      <c r="E223" s="0" t="inlineStr">
        <is>
          <t>62.50K</t>
        </is>
      </c>
      <c r="F223" s="0" t="inlineStr">
        <is>
          <t>(2,</t>
        </is>
      </c>
      <c r="G223" s="0" t="inlineStr">
        <is>
          <t>15)</t>
        </is>
      </c>
      <c r="K223" s="0">
        <f>IF(H222="1)",1,IF(H222="2)",2,IF(H222="3)",3,IF(H222="4)",4,IF(H222="5)",5,IF(H222="6)",6,IF(H222="7)",7,IF(H222="8)",8,0))))))))</f>
        <v/>
      </c>
      <c r="L223" s="0">
        <f>IF(H222="1)",J222,IF(H222="2)",J222,IF(H222="3)",J222,IF(H222="4)",J222,IF(H222="5)",J222,IF(H222="6)",J222,IF(H222="7)",J222,IF(H222="8)",J222,0))))))))</f>
        <v/>
      </c>
    </row>
    <row r="224">
      <c r="A224" s="0" t="inlineStr">
        <is>
          <t>New</t>
        </is>
      </c>
      <c r="B224" s="0" t="inlineStr">
        <is>
          <t>Item</t>
        </is>
      </c>
      <c r="C224" s="0" t="inlineStr">
        <is>
          <t>Acquired</t>
        </is>
      </c>
      <c r="D224" s="0" t="inlineStr">
        <is>
          <t>:</t>
        </is>
      </c>
      <c r="E224" s="0" t="inlineStr">
        <is>
          <t>Mini</t>
        </is>
      </c>
      <c r="F224" s="0" t="inlineStr">
        <is>
          <t>(3,</t>
        </is>
      </c>
      <c r="G224" s="0" t="inlineStr">
        <is>
          <t>19)</t>
        </is>
      </c>
      <c r="K224" s="0">
        <f>IF(H223="1)",1,IF(H223="2)",2,IF(H223="3)",3,IF(H223="4)",4,IF(H223="5)",5,IF(H223="6)",6,IF(H223="7)",7,IF(H223="8)",8,0))))))))</f>
        <v/>
      </c>
      <c r="L224" s="0">
        <f>IF(H223="1)",J223,IF(H223="2)",J223,IF(H223="3)",J223,IF(H223="4)",J223,IF(H223="5)",J223,IF(H223="6)",J223,IF(H223="7)",J223,IF(H223="8)",J223,0))))))))</f>
        <v/>
      </c>
    </row>
    <row r="225">
      <c r="A225" s="0" t="inlineStr">
        <is>
          <t>New</t>
        </is>
      </c>
      <c r="B225" s="0" t="inlineStr">
        <is>
          <t>Item</t>
        </is>
      </c>
      <c r="C225" s="0" t="inlineStr">
        <is>
          <t>Acquired</t>
        </is>
      </c>
      <c r="D225" s="0" t="inlineStr">
        <is>
          <t>:</t>
        </is>
      </c>
      <c r="E225" s="0" t="inlineStr">
        <is>
          <t>90.00K</t>
        </is>
      </c>
      <c r="F225" s="0" t="inlineStr">
        <is>
          <t>(7,</t>
        </is>
      </c>
      <c r="G225" s="0" t="inlineStr">
        <is>
          <t>20)</t>
        </is>
      </c>
      <c r="K225" s="0">
        <f>IF(H224="1)",1,IF(H224="2)",2,IF(H224="3)",3,IF(H224="4)",4,IF(H224="5)",5,IF(H224="6)",6,IF(H224="7)",7,IF(H224="8)",8,0))))))))</f>
        <v/>
      </c>
      <c r="L225" s="0">
        <f>IF(H224="1)",J224,IF(H224="2)",J224,IF(H224="3)",J224,IF(H224="4)",J224,IF(H224="5)",J224,IF(H224="6)",J224,IF(H224="7)",J224,IF(H224="8)",J224,0))))))))</f>
        <v/>
      </c>
    </row>
    <row r="226">
      <c r="A226" s="0" t="inlineStr">
        <is>
          <t>New</t>
        </is>
      </c>
      <c r="B226" s="0" t="inlineStr">
        <is>
          <t>Item</t>
        </is>
      </c>
      <c r="C226" s="0" t="inlineStr">
        <is>
          <t>Acquired</t>
        </is>
      </c>
      <c r="D226" s="0" t="inlineStr">
        <is>
          <t>:</t>
        </is>
      </c>
      <c r="E226" s="0" t="inlineStr">
        <is>
          <t>67.50K</t>
        </is>
      </c>
      <c r="F226" s="0" t="inlineStr">
        <is>
          <t>(5,</t>
        </is>
      </c>
      <c r="G226" s="0" t="inlineStr">
        <is>
          <t>10)</t>
        </is>
      </c>
      <c r="K226" s="0">
        <f>IF(H225="1)",1,IF(H225="2)",2,IF(H225="3)",3,IF(H225="4)",4,IF(H225="5)",5,IF(H225="6)",6,IF(H225="7)",7,IF(H225="8)",8,0))))))))</f>
        <v/>
      </c>
      <c r="L226" s="0">
        <f>IF(H225="1)",J225,IF(H225="2)",J225,IF(H225="3)",J225,IF(H225="4)",J225,IF(H225="5)",J225,IF(H225="6)",J225,IF(H225="7)",J225,IF(H225="8)",J225,0))))))))</f>
        <v/>
      </c>
    </row>
    <row r="227">
      <c r="A227" s="0" t="inlineStr">
        <is>
          <t>New</t>
        </is>
      </c>
      <c r="B227" s="0" t="inlineStr">
        <is>
          <t>Item</t>
        </is>
      </c>
      <c r="C227" s="0" t="inlineStr">
        <is>
          <t>Acquired</t>
        </is>
      </c>
      <c r="D227" s="0" t="inlineStr">
        <is>
          <t>:</t>
        </is>
      </c>
      <c r="E227" s="0" t="inlineStr">
        <is>
          <t>87.50K</t>
        </is>
      </c>
      <c r="F227" s="0" t="inlineStr">
        <is>
          <t>(2,</t>
        </is>
      </c>
      <c r="G227" s="0" t="inlineStr">
        <is>
          <t>24)</t>
        </is>
      </c>
      <c r="K227" s="0">
        <f>IF(H226="1)",1,IF(H226="2)",2,IF(H226="3)",3,IF(H226="4)",4,IF(H226="5)",5,IF(H226="6)",6,IF(H226="7)",7,IF(H226="8)",8,0))))))))</f>
        <v/>
      </c>
      <c r="L227" s="0">
        <f>IF(H226="1)",J226,IF(H226="2)",J226,IF(H226="3)",J226,IF(H226="4)",J226,IF(H226="5)",J226,IF(H226="6)",J226,IF(H226="7)",J226,IF(H226="8)",J226,0))))))))</f>
        <v/>
      </c>
    </row>
    <row r="228">
      <c r="A228" s="0" t="inlineStr">
        <is>
          <t>New</t>
        </is>
      </c>
      <c r="B228" s="0" t="inlineStr">
        <is>
          <t>Item</t>
        </is>
      </c>
      <c r="C228" s="0" t="inlineStr">
        <is>
          <t>Acquired</t>
        </is>
      </c>
      <c r="D228" s="0" t="inlineStr">
        <is>
          <t>:</t>
        </is>
      </c>
      <c r="E228" s="0" t="inlineStr">
        <is>
          <t>45.00K</t>
        </is>
      </c>
      <c r="F228" s="0" t="inlineStr">
        <is>
          <t>(3,</t>
        </is>
      </c>
      <c r="G228" s="0" t="inlineStr">
        <is>
          <t>2)</t>
        </is>
      </c>
      <c r="K228" s="0">
        <f>IF(H227="1)",1,IF(H227="2)",2,IF(H227="3)",3,IF(H227="4)",4,IF(H227="5)",5,IF(H227="6)",6,IF(H227="7)",7,IF(H227="8)",8,0))))))))</f>
        <v/>
      </c>
      <c r="L228" s="0">
        <f>IF(H227="1)",J227,IF(H227="2)",J227,IF(H227="3)",J227,IF(H227="4)",J227,IF(H227="5)",J227,IF(H227="6)",J227,IF(H227="7)",J227,IF(H227="8)",J227,0))))))))</f>
        <v/>
      </c>
    </row>
    <row r="229">
      <c r="A229" s="0" t="inlineStr">
        <is>
          <t>New</t>
        </is>
      </c>
      <c r="B229" s="0" t="inlineStr">
        <is>
          <t>Item</t>
        </is>
      </c>
      <c r="C229" s="0" t="inlineStr">
        <is>
          <t>Acquired</t>
        </is>
      </c>
      <c r="D229" s="0" t="inlineStr">
        <is>
          <t>:</t>
        </is>
      </c>
      <c r="E229" s="0" t="inlineStr">
        <is>
          <t>30.00K</t>
        </is>
      </c>
      <c r="F229" s="0" t="inlineStr">
        <is>
          <t>(1,</t>
        </is>
      </c>
      <c r="G229" s="0" t="inlineStr">
        <is>
          <t>11)</t>
        </is>
      </c>
      <c r="K229" s="0">
        <f>IF(H228="1)",1,IF(H228="2)",2,IF(H228="3)",3,IF(H228="4)",4,IF(H228="5)",5,IF(H228="6)",6,IF(H228="7)",7,IF(H228="8)",8,0))))))))</f>
        <v/>
      </c>
      <c r="L229" s="0">
        <f>IF(H228="1)",J228,IF(H228="2)",J228,IF(H228="3)",J228,IF(H228="4)",J228,IF(H228="5)",J228,IF(H228="6)",J228,IF(H228="7)",J228,IF(H228="8)",J228,0))))))))</f>
        <v/>
      </c>
    </row>
    <row r="230">
      <c r="A230" s="0" t="inlineStr">
        <is>
          <t>New</t>
        </is>
      </c>
      <c r="B230" s="0" t="inlineStr">
        <is>
          <t>Item</t>
        </is>
      </c>
      <c r="C230" s="0" t="inlineStr">
        <is>
          <t>Acquired</t>
        </is>
      </c>
      <c r="D230" s="0" t="inlineStr">
        <is>
          <t>:</t>
        </is>
      </c>
      <c r="E230" s="0" t="inlineStr">
        <is>
          <t>37.50K</t>
        </is>
      </c>
      <c r="F230" s="0" t="inlineStr">
        <is>
          <t>(2,</t>
        </is>
      </c>
      <c r="G230" s="0" t="inlineStr">
        <is>
          <t>7)</t>
        </is>
      </c>
      <c r="K230" s="0">
        <f>IF(H229="1)",1,IF(H229="2)",2,IF(H229="3)",3,IF(H229="4)",4,IF(H229="5)",5,IF(H229="6)",6,IF(H229="7)",7,IF(H229="8)",8,0))))))))</f>
        <v/>
      </c>
      <c r="L230" s="0">
        <f>IF(H229="1)",J229,IF(H229="2)",J229,IF(H229="3)",J229,IF(H229="4)",J229,IF(H229="5)",J229,IF(H229="6)",J229,IF(H229="7)",J229,IF(H229="8)",J229,0))))))))</f>
        <v/>
      </c>
    </row>
    <row r="231">
      <c r="A231" s="0" t="inlineStr">
        <is>
          <t>Item</t>
        </is>
      </c>
      <c r="B231" s="0" t="inlineStr">
        <is>
          <t>ReSelect</t>
        </is>
      </c>
      <c r="C231" s="0" t="inlineStr">
        <is>
          <t>Failed</t>
        </is>
      </c>
      <c r="D231" s="0" t="inlineStr">
        <is>
          <t>:</t>
        </is>
      </c>
      <c r="E231" s="0" t="inlineStr">
        <is>
          <t>Attempt</t>
        </is>
      </c>
      <c r="F231" s="0" t="inlineStr">
        <is>
          <t>Count</t>
        </is>
      </c>
      <c r="G231" s="0" t="inlineStr">
        <is>
          <t>-</t>
        </is>
      </c>
      <c r="H231" s="0" t="n">
        <v>3</v>
      </c>
      <c r="K231" s="0">
        <f>IF(H230="1)",1,IF(H230="2)",2,IF(H230="3)",3,IF(H230="4)",4,IF(H230="5)",5,IF(H230="6)",6,IF(H230="7)",7,IF(H230="8)",8,0))))))))</f>
        <v/>
      </c>
      <c r="L231" s="0">
        <f>IF(H230="1)",J230,IF(H230="2)",J230,IF(H230="3)",J230,IF(H230="4)",J230,IF(H230="5)",J230,IF(H230="6)",J230,IF(H230="7)",J230,IF(H230="8)",J230,0))))))))</f>
        <v/>
      </c>
    </row>
    <row r="232">
      <c r="A232" s="0" t="inlineStr">
        <is>
          <t>New</t>
        </is>
      </c>
      <c r="B232" s="0" t="inlineStr">
        <is>
          <t>Item</t>
        </is>
      </c>
      <c r="C232" s="0" t="inlineStr">
        <is>
          <t>Acquired</t>
        </is>
      </c>
      <c r="D232" s="0" t="inlineStr">
        <is>
          <t>:</t>
        </is>
      </c>
      <c r="E232" s="0" t="inlineStr">
        <is>
          <t>Mini</t>
        </is>
      </c>
      <c r="F232" s="0" t="inlineStr">
        <is>
          <t>(6,</t>
        </is>
      </c>
      <c r="G232" s="0" t="inlineStr">
        <is>
          <t>7)</t>
        </is>
      </c>
      <c r="K232" s="0">
        <f>IF(H231="1)",1,IF(H231="2)",2,IF(H231="3)",3,IF(H231="4)",4,IF(H231="5)",5,IF(H231="6)",6,IF(H231="7)",7,IF(H231="8)",8,0))))))))</f>
        <v/>
      </c>
      <c r="L232" s="0">
        <f>IF(H231="1)",J231,IF(H231="2)",J231,IF(H231="3)",J231,IF(H231="4)",J231,IF(H231="5)",J231,IF(H231="6)",J231,IF(H231="7)",J231,IF(H231="8)",J231,0))))))))</f>
        <v/>
      </c>
    </row>
    <row r="233">
      <c r="A233" s="0" t="inlineStr">
        <is>
          <t>New</t>
        </is>
      </c>
      <c r="B233" s="0" t="inlineStr">
        <is>
          <t>Item</t>
        </is>
      </c>
      <c r="C233" s="0" t="inlineStr">
        <is>
          <t>Acquired</t>
        </is>
      </c>
      <c r="D233" s="0" t="inlineStr">
        <is>
          <t>:</t>
        </is>
      </c>
      <c r="E233" s="0" t="inlineStr">
        <is>
          <t>70.00K</t>
        </is>
      </c>
      <c r="F233" s="0" t="inlineStr">
        <is>
          <t>(1,</t>
        </is>
      </c>
      <c r="G233" s="0" t="inlineStr">
        <is>
          <t>7)</t>
        </is>
      </c>
      <c r="K233" s="0">
        <f>IF(H232="1)",1,IF(H232="2)",2,IF(H232="3)",3,IF(H232="4)",4,IF(H232="5)",5,IF(H232="6)",6,IF(H232="7)",7,IF(H232="8)",8,0))))))))</f>
        <v/>
      </c>
      <c r="L233" s="0">
        <f>IF(H232="1)",J232,IF(H232="2)",J232,IF(H232="3)",J232,IF(H232="4)",J232,IF(H232="5)",J232,IF(H232="6)",J232,IF(H232="7)",J232,IF(H232="8)",J232,0))))))))</f>
        <v/>
      </c>
    </row>
    <row r="234">
      <c r="A234" s="0" t="inlineStr">
        <is>
          <t>Line</t>
        </is>
      </c>
      <c r="B234" s="0" t="inlineStr">
        <is>
          <t>Prize</t>
        </is>
      </c>
      <c r="C234" s="0" t="inlineStr">
        <is>
          <t>Acquired</t>
        </is>
      </c>
      <c r="D234" s="0" t="inlineStr">
        <is>
          <t>:</t>
        </is>
      </c>
      <c r="E234" s="0" t="inlineStr">
        <is>
          <t>230.00K</t>
        </is>
      </c>
      <c r="F234" s="0" t="inlineStr">
        <is>
          <t>(Stage</t>
        </is>
      </c>
      <c r="G234" s="0" t="inlineStr">
        <is>
          <t>:</t>
        </is>
      </c>
      <c r="H234" s="0" t="inlineStr">
        <is>
          <t>1)</t>
        </is>
      </c>
      <c r="I234" s="0" t="inlineStr">
        <is>
          <t>-</t>
        </is>
      </c>
      <c r="J234" s="0" t="n">
        <v>230000</v>
      </c>
      <c r="K234" s="0">
        <f>IF(H233="1)",1,IF(H233="2)",2,IF(H233="3)",3,IF(H233="4)",4,IF(H233="5)",5,IF(H233="6)",6,IF(H233="7)",7,IF(H233="8)",8,0))))))))</f>
        <v/>
      </c>
      <c r="L234" s="0">
        <f>IF(H233="1)",J233,IF(H233="2)",J233,IF(H233="3)",J233,IF(H233="4)",J233,IF(H233="5)",J233,IF(H233="6)",J233,IF(H233="7)",J233,IF(H233="8)",J233,0))))))))</f>
        <v/>
      </c>
    </row>
    <row r="235">
      <c r="A235" s="0" t="inlineStr">
        <is>
          <t>Clear</t>
        </is>
      </c>
      <c r="B235" s="0" t="inlineStr">
        <is>
          <t>Gem</t>
        </is>
      </c>
      <c r="C235" s="0" t="inlineStr">
        <is>
          <t>Acquired</t>
        </is>
      </c>
      <c r="D235" s="0" t="inlineStr">
        <is>
          <t>:</t>
        </is>
      </c>
      <c r="E235" s="0" t="n">
        <v>1100</v>
      </c>
      <c r="F235" s="0" t="inlineStr">
        <is>
          <t>-&gt;</t>
        </is>
      </c>
      <c r="G235" s="0" t="n">
        <v>1200</v>
      </c>
      <c r="H235" s="0" t="inlineStr">
        <is>
          <t>(Stage</t>
        </is>
      </c>
      <c r="I235" s="0" t="inlineStr">
        <is>
          <t>:</t>
        </is>
      </c>
      <c r="J235" s="0" t="inlineStr">
        <is>
          <t>1)</t>
        </is>
      </c>
      <c r="K235" s="0">
        <f>IF(H234="1)",1,IF(H234="2)",2,IF(H234="3)",3,IF(H234="4)",4,IF(H234="5)",5,IF(H234="6)",6,IF(H234="7)",7,IF(H234="8)",8,0))))))))</f>
        <v/>
      </c>
      <c r="L235" s="0">
        <f>IF(H234="1)",J234,IF(H234="2)",J234,IF(H234="3)",J234,IF(H234="4)",J234,IF(H234="5)",J234,IF(H234="6)",J234,IF(H234="7)",J234,IF(H234="8)",J234,0))))))))</f>
        <v/>
      </c>
    </row>
    <row r="236">
      <c r="A236" s="0" t="inlineStr">
        <is>
          <t>New</t>
        </is>
      </c>
      <c r="B236" s="0" t="inlineStr">
        <is>
          <t>Item</t>
        </is>
      </c>
      <c r="C236" s="0" t="inlineStr">
        <is>
          <t>Acquired</t>
        </is>
      </c>
      <c r="D236" s="0" t="inlineStr">
        <is>
          <t>:</t>
        </is>
      </c>
      <c r="E236" s="0" t="inlineStr">
        <is>
          <t>75.00K</t>
        </is>
      </c>
      <c r="F236" s="0" t="inlineStr">
        <is>
          <t>(6,</t>
        </is>
      </c>
      <c r="G236" s="0" t="inlineStr">
        <is>
          <t>25)</t>
        </is>
      </c>
      <c r="K236" s="0">
        <f>IF(H235="1)",1,IF(H235="2)",2,IF(H235="3)",3,IF(H235="4)",4,IF(H235="5)",5,IF(H235="6)",6,IF(H235="7)",7,IF(H235="8)",8,0))))))))</f>
        <v/>
      </c>
      <c r="L236" s="0">
        <f>IF(H235="1)",J235,IF(H235="2)",J235,IF(H235="3)",J235,IF(H235="4)",J235,IF(H235="5)",J235,IF(H235="6)",J235,IF(H235="7)",J235,IF(H235="8)",J235,0))))))))</f>
        <v/>
      </c>
    </row>
    <row r="237">
      <c r="A237" s="0" t="inlineStr">
        <is>
          <t>New</t>
        </is>
      </c>
      <c r="B237" s="0" t="inlineStr">
        <is>
          <t>Item</t>
        </is>
      </c>
      <c r="C237" s="0" t="inlineStr">
        <is>
          <t>Acquired</t>
        </is>
      </c>
      <c r="D237" s="0" t="inlineStr">
        <is>
          <t>:</t>
        </is>
      </c>
      <c r="E237" s="0" t="inlineStr">
        <is>
          <t>37.50K</t>
        </is>
      </c>
      <c r="F237" s="0" t="inlineStr">
        <is>
          <t>(2,</t>
        </is>
      </c>
      <c r="G237" s="0" t="inlineStr">
        <is>
          <t>21)</t>
        </is>
      </c>
      <c r="K237" s="0">
        <f>IF(H236="1)",1,IF(H236="2)",2,IF(H236="3)",3,IF(H236="4)",4,IF(H236="5)",5,IF(H236="6)",6,IF(H236="7)",7,IF(H236="8)",8,0))))))))</f>
        <v/>
      </c>
      <c r="L237" s="0">
        <f>IF(H236="1)",J236,IF(H236="2)",J236,IF(H236="3)",J236,IF(H236="4)",J236,IF(H236="5)",J236,IF(H236="6)",J236,IF(H236="7)",J236,IF(H236="8)",J236,0))))))))</f>
        <v/>
      </c>
    </row>
    <row r="238">
      <c r="A238" s="0" t="inlineStr">
        <is>
          <t>New</t>
        </is>
      </c>
      <c r="B238" s="0" t="inlineStr">
        <is>
          <t>Item</t>
        </is>
      </c>
      <c r="C238" s="0" t="inlineStr">
        <is>
          <t>Acquired</t>
        </is>
      </c>
      <c r="D238" s="0" t="inlineStr">
        <is>
          <t>:</t>
        </is>
      </c>
      <c r="E238" s="0" t="inlineStr">
        <is>
          <t>112.50K</t>
        </is>
      </c>
      <c r="F238" s="0" t="inlineStr">
        <is>
          <t>(5,</t>
        </is>
      </c>
      <c r="G238" s="0" t="inlineStr">
        <is>
          <t>2)</t>
        </is>
      </c>
      <c r="K238" s="0">
        <f>IF(H237="1)",1,IF(H237="2)",2,IF(H237="3)",3,IF(H237="4)",4,IF(H237="5)",5,IF(H237="6)",6,IF(H237="7)",7,IF(H237="8)",8,0))))))))</f>
        <v/>
      </c>
      <c r="L238" s="0">
        <f>IF(H237="1)",J237,IF(H237="2)",J237,IF(H237="3)",J237,IF(H237="4)",J237,IF(H237="5)",J237,IF(H237="6)",J237,IF(H237="7)",J237,IF(H237="8)",J237,0))))))))</f>
        <v/>
      </c>
    </row>
    <row r="239">
      <c r="A239" s="0" t="inlineStr">
        <is>
          <t>New</t>
        </is>
      </c>
      <c r="B239" s="0" t="inlineStr">
        <is>
          <t>Item</t>
        </is>
      </c>
      <c r="C239" s="0" t="inlineStr">
        <is>
          <t>Acquired</t>
        </is>
      </c>
      <c r="D239" s="0" t="inlineStr">
        <is>
          <t>:</t>
        </is>
      </c>
      <c r="E239" s="0" t="inlineStr">
        <is>
          <t>120.00K</t>
        </is>
      </c>
      <c r="F239" s="0" t="inlineStr">
        <is>
          <t>(8,</t>
        </is>
      </c>
      <c r="G239" s="0" t="inlineStr">
        <is>
          <t>11)</t>
        </is>
      </c>
      <c r="K239" s="0">
        <f>IF(H238="1)",1,IF(H238="2)",2,IF(H238="3)",3,IF(H238="4)",4,IF(H238="5)",5,IF(H238="6)",6,IF(H238="7)",7,IF(H238="8)",8,0))))))))</f>
        <v/>
      </c>
      <c r="L239" s="0">
        <f>IF(H238="1)",J238,IF(H238="2)",J238,IF(H238="3)",J238,IF(H238="4)",J238,IF(H238="5)",J238,IF(H238="6)",J238,IF(H238="7)",J238,IF(H238="8)",J238,0))))))))</f>
        <v/>
      </c>
    </row>
    <row r="240">
      <c r="A240" s="0" t="inlineStr">
        <is>
          <t>New</t>
        </is>
      </c>
      <c r="B240" s="0" t="inlineStr">
        <is>
          <t>Item</t>
        </is>
      </c>
      <c r="C240" s="0" t="inlineStr">
        <is>
          <t>Acquired</t>
        </is>
      </c>
      <c r="D240" s="0" t="inlineStr">
        <is>
          <t>:</t>
        </is>
      </c>
      <c r="E240" s="0" t="inlineStr">
        <is>
          <t>175.00K</t>
        </is>
      </c>
      <c r="F240" s="0" t="inlineStr">
        <is>
          <t>(6,</t>
        </is>
      </c>
      <c r="G240" s="0" t="inlineStr">
        <is>
          <t>24)</t>
        </is>
      </c>
      <c r="K240" s="0">
        <f>IF(H239="1)",1,IF(H239="2)",2,IF(H239="3)",3,IF(H239="4)",4,IF(H239="5)",5,IF(H239="6)",6,IF(H239="7)",7,IF(H239="8)",8,0))))))))</f>
        <v/>
      </c>
      <c r="L240" s="0">
        <f>IF(H239="1)",J239,IF(H239="2)",J239,IF(H239="3)",J239,IF(H239="4)",J239,IF(H239="5)",J239,IF(H239="6)",J239,IF(H239="7)",J239,IF(H239="8)",J239,0))))))))</f>
        <v/>
      </c>
    </row>
    <row r="241">
      <c r="A241" s="0" t="inlineStr">
        <is>
          <t>New</t>
        </is>
      </c>
      <c r="B241" s="0" t="inlineStr">
        <is>
          <t>Item</t>
        </is>
      </c>
      <c r="C241" s="0" t="inlineStr">
        <is>
          <t>Acquired</t>
        </is>
      </c>
      <c r="D241" s="0" t="inlineStr">
        <is>
          <t>:</t>
        </is>
      </c>
      <c r="E241" s="0" t="inlineStr">
        <is>
          <t>90.00K</t>
        </is>
      </c>
      <c r="F241" s="0" t="inlineStr">
        <is>
          <t>(7,</t>
        </is>
      </c>
      <c r="G241" s="0" t="inlineStr">
        <is>
          <t>9)</t>
        </is>
      </c>
      <c r="K241" s="0">
        <f>IF(H240="1)",1,IF(H240="2)",2,IF(H240="3)",3,IF(H240="4)",4,IF(H240="5)",5,IF(H240="6)",6,IF(H240="7)",7,IF(H240="8)",8,0))))))))</f>
        <v/>
      </c>
      <c r="L241" s="0">
        <f>IF(H240="1)",J240,IF(H240="2)",J240,IF(H240="3)",J240,IF(H240="4)",J240,IF(H240="5)",J240,IF(H240="6)",J240,IF(H240="7)",J240,IF(H240="8)",J240,0))))))))</f>
        <v/>
      </c>
    </row>
    <row r="242">
      <c r="A242" s="0" t="inlineStr">
        <is>
          <t>New</t>
        </is>
      </c>
      <c r="B242" s="0" t="inlineStr">
        <is>
          <t>Item</t>
        </is>
      </c>
      <c r="C242" s="0" t="inlineStr">
        <is>
          <t>Acquired</t>
        </is>
      </c>
      <c r="D242" s="0" t="inlineStr">
        <is>
          <t>:</t>
        </is>
      </c>
      <c r="E242" s="0" t="inlineStr">
        <is>
          <t>210.00K</t>
        </is>
      </c>
      <c r="F242" s="0" t="inlineStr">
        <is>
          <t>(7,</t>
        </is>
      </c>
      <c r="G242" s="0" t="inlineStr">
        <is>
          <t>21)</t>
        </is>
      </c>
      <c r="K242" s="0">
        <f>IF(H241="1)",1,IF(H241="2)",2,IF(H241="3)",3,IF(H241="4)",4,IF(H241="5)",5,IF(H241="6)",6,IF(H241="7)",7,IF(H241="8)",8,0))))))))</f>
        <v/>
      </c>
      <c r="L242" s="0">
        <f>IF(H241="1)",J241,IF(H241="2)",J241,IF(H241="3)",J241,IF(H241="4)",J241,IF(H241="5)",J241,IF(H241="6)",J241,IF(H241="7)",J241,IF(H241="8)",J241,0))))))))</f>
        <v/>
      </c>
    </row>
    <row r="243">
      <c r="A243" s="0" t="inlineStr">
        <is>
          <t>Line</t>
        </is>
      </c>
      <c r="B243" s="0" t="inlineStr">
        <is>
          <t>Prize</t>
        </is>
      </c>
      <c r="C243" s="0" t="inlineStr">
        <is>
          <t>Acquired</t>
        </is>
      </c>
      <c r="D243" s="0" t="inlineStr">
        <is>
          <t>:</t>
        </is>
      </c>
      <c r="E243" s="0" t="inlineStr">
        <is>
          <t>690.00K</t>
        </is>
      </c>
      <c r="F243" s="0" t="inlineStr">
        <is>
          <t>(Stage</t>
        </is>
      </c>
      <c r="G243" s="0" t="inlineStr">
        <is>
          <t>:</t>
        </is>
      </c>
      <c r="H243" s="0" t="inlineStr">
        <is>
          <t>7)</t>
        </is>
      </c>
      <c r="I243" s="0" t="inlineStr">
        <is>
          <t>-</t>
        </is>
      </c>
      <c r="J243" s="0" t="n">
        <v>690000</v>
      </c>
      <c r="K243" s="0">
        <f>IF(H242="1)",1,IF(H242="2)",2,IF(H242="3)",3,IF(H242="4)",4,IF(H242="5)",5,IF(H242="6)",6,IF(H242="7)",7,IF(H242="8)",8,0))))))))</f>
        <v/>
      </c>
      <c r="L243" s="0">
        <f>IF(H242="1)",J242,IF(H242="2)",J242,IF(H242="3)",J242,IF(H242="4)",J242,IF(H242="5)",J242,IF(H242="6)",J242,IF(H242="7)",J242,IF(H242="8)",J242,0))))))))</f>
        <v/>
      </c>
    </row>
    <row r="244">
      <c r="A244" s="0" t="inlineStr">
        <is>
          <t>Clear</t>
        </is>
      </c>
      <c r="B244" s="0" t="inlineStr">
        <is>
          <t>Gem</t>
        </is>
      </c>
      <c r="C244" s="0" t="inlineStr">
        <is>
          <t>Acquired</t>
        </is>
      </c>
      <c r="D244" s="0" t="inlineStr">
        <is>
          <t>:</t>
        </is>
      </c>
      <c r="E244" s="0" t="n">
        <v>1200</v>
      </c>
      <c r="F244" s="0" t="inlineStr">
        <is>
          <t>-&gt;</t>
        </is>
      </c>
      <c r="G244" s="0" t="n">
        <v>1300</v>
      </c>
      <c r="H244" s="0" t="inlineStr">
        <is>
          <t>(Stage</t>
        </is>
      </c>
      <c r="I244" s="0" t="inlineStr">
        <is>
          <t>:</t>
        </is>
      </c>
      <c r="J244" s="0" t="inlineStr">
        <is>
          <t>7)</t>
        </is>
      </c>
      <c r="K244" s="0">
        <f>IF(H243="1)",1,IF(H243="2)",2,IF(H243="3)",3,IF(H243="4)",4,IF(H243="5)",5,IF(H243="6)",6,IF(H243="7)",7,IF(H243="8)",8,0))))))))</f>
        <v/>
      </c>
      <c r="L244" s="0">
        <f>IF(H243="1)",J243,IF(H243="2)",J243,IF(H243="3)",J243,IF(H243="4)",J243,IF(H243="5)",J243,IF(H243="6)",J243,IF(H243="7)",J243,IF(H243="8)",J243,0))))))))</f>
        <v/>
      </c>
    </row>
    <row r="245">
      <c r="A245" s="0" t="inlineStr">
        <is>
          <t>New</t>
        </is>
      </c>
      <c r="B245" s="0" t="inlineStr">
        <is>
          <t>Item</t>
        </is>
      </c>
      <c r="C245" s="0" t="inlineStr">
        <is>
          <t>Acquired</t>
        </is>
      </c>
      <c r="D245" s="0" t="inlineStr">
        <is>
          <t>:</t>
        </is>
      </c>
      <c r="E245" s="0" t="inlineStr">
        <is>
          <t>62.50K</t>
        </is>
      </c>
      <c r="F245" s="0" t="inlineStr">
        <is>
          <t>(2,</t>
        </is>
      </c>
      <c r="G245" s="0" t="inlineStr">
        <is>
          <t>2)</t>
        </is>
      </c>
      <c r="K245" s="0">
        <f>IF(H244="1)",1,IF(H244="2)",2,IF(H244="3)",3,IF(H244="4)",4,IF(H244="5)",5,IF(H244="6)",6,IF(H244="7)",7,IF(H244="8)",8,0))))))))</f>
        <v/>
      </c>
      <c r="L245" s="0">
        <f>IF(H244="1)",J244,IF(H244="2)",J244,IF(H244="3)",J244,IF(H244="4)",J244,IF(H244="5)",J244,IF(H244="6)",J244,IF(H244="7)",J244,IF(H244="8)",J244,0))))))))</f>
        <v/>
      </c>
    </row>
    <row r="246">
      <c r="A246" s="0" t="inlineStr">
        <is>
          <t>New</t>
        </is>
      </c>
      <c r="B246" s="0" t="inlineStr">
        <is>
          <t>Item</t>
        </is>
      </c>
      <c r="C246" s="0" t="inlineStr">
        <is>
          <t>Acquired</t>
        </is>
      </c>
      <c r="D246" s="0" t="inlineStr">
        <is>
          <t>:</t>
        </is>
      </c>
      <c r="E246" s="0" t="inlineStr">
        <is>
          <t>30.00K</t>
        </is>
      </c>
      <c r="F246" s="0" t="inlineStr">
        <is>
          <t>(1,</t>
        </is>
      </c>
      <c r="G246" s="0" t="inlineStr">
        <is>
          <t>7)</t>
        </is>
      </c>
      <c r="K246" s="0">
        <f>IF(H245="1)",1,IF(H245="2)",2,IF(H245="3)",3,IF(H245="4)",4,IF(H245="5)",5,IF(H245="6)",6,IF(H245="7)",7,IF(H245="8)",8,0))))))))</f>
        <v/>
      </c>
      <c r="L246" s="0">
        <f>IF(H245="1)",J245,IF(H245="2)",J245,IF(H245="3)",J245,IF(H245="4)",J245,IF(H245="5)",J245,IF(H245="6)",J245,IF(H245="7)",J245,IF(H245="8)",J245,0))))))))</f>
        <v/>
      </c>
    </row>
    <row r="247">
      <c r="A247" s="0" t="inlineStr">
        <is>
          <t>New</t>
        </is>
      </c>
      <c r="B247" s="0" t="inlineStr">
        <is>
          <t>Item</t>
        </is>
      </c>
      <c r="C247" s="0" t="inlineStr">
        <is>
          <t>Acquired</t>
        </is>
      </c>
      <c r="D247" s="0" t="inlineStr">
        <is>
          <t>:</t>
        </is>
      </c>
      <c r="E247" s="0" t="inlineStr">
        <is>
          <t>62.50K</t>
        </is>
      </c>
      <c r="F247" s="0" t="inlineStr">
        <is>
          <t>(2,</t>
        </is>
      </c>
      <c r="G247" s="0" t="inlineStr">
        <is>
          <t>3)</t>
        </is>
      </c>
      <c r="K247" s="0">
        <f>IF(H246="1)",1,IF(H246="2)",2,IF(H246="3)",3,IF(H246="4)",4,IF(H246="5)",5,IF(H246="6)",6,IF(H246="7)",7,IF(H246="8)",8,0))))))))</f>
        <v/>
      </c>
      <c r="L247" s="0">
        <f>IF(H246="1)",J246,IF(H246="2)",J246,IF(H246="3)",J246,IF(H246="4)",J246,IF(H246="5)",J246,IF(H246="6)",J246,IF(H246="7)",J246,IF(H246="8)",J246,0))))))))</f>
        <v/>
      </c>
    </row>
    <row r="248">
      <c r="A248" s="0" t="inlineStr">
        <is>
          <t>New</t>
        </is>
      </c>
      <c r="B248" s="0" t="inlineStr">
        <is>
          <t>Item</t>
        </is>
      </c>
      <c r="C248" s="0" t="inlineStr">
        <is>
          <t>Acquired</t>
        </is>
      </c>
      <c r="D248" s="0" t="inlineStr">
        <is>
          <t>:</t>
        </is>
      </c>
      <c r="E248" s="0" t="inlineStr">
        <is>
          <t>90.00K</t>
        </is>
      </c>
      <c r="F248" s="0" t="inlineStr">
        <is>
          <t>(7,</t>
        </is>
      </c>
      <c r="G248" s="0" t="inlineStr">
        <is>
          <t>2)</t>
        </is>
      </c>
      <c r="K248" s="0">
        <f>IF(H247="1)",1,IF(H247="2)",2,IF(H247="3)",3,IF(H247="4)",4,IF(H247="5)",5,IF(H247="6)",6,IF(H247="7)",7,IF(H247="8)",8,0))))))))</f>
        <v/>
      </c>
      <c r="L248" s="0">
        <f>IF(H247="1)",J247,IF(H247="2)",J247,IF(H247="3)",J247,IF(H247="4)",J247,IF(H247="5)",J247,IF(H247="6)",J247,IF(H247="7)",J247,IF(H247="8)",J247,0))))))))</f>
        <v/>
      </c>
    </row>
    <row r="249">
      <c r="A249" s="0" t="inlineStr">
        <is>
          <t>New</t>
        </is>
      </c>
      <c r="B249" s="0" t="inlineStr">
        <is>
          <t>Item</t>
        </is>
      </c>
      <c r="C249" s="0" t="inlineStr">
        <is>
          <t>Acquired</t>
        </is>
      </c>
      <c r="D249" s="0" t="inlineStr">
        <is>
          <t>:</t>
        </is>
      </c>
      <c r="E249" s="0" t="inlineStr">
        <is>
          <t>105.00K</t>
        </is>
      </c>
      <c r="F249" s="0" t="inlineStr">
        <is>
          <t>(4,</t>
        </is>
      </c>
      <c r="G249" s="0" t="inlineStr">
        <is>
          <t>21)</t>
        </is>
      </c>
      <c r="K249" s="0">
        <f>IF(H248="1)",1,IF(H248="2)",2,IF(H248="3)",3,IF(H248="4)",4,IF(H248="5)",5,IF(H248="6)",6,IF(H248="7)",7,IF(H248="8)",8,0))))))))</f>
        <v/>
      </c>
      <c r="L249" s="0">
        <f>IF(H248="1)",J248,IF(H248="2)",J248,IF(H248="3)",J248,IF(H248="4)",J248,IF(H248="5)",J248,IF(H248="6)",J248,IF(H248="7)",J248,IF(H248="8)",J248,0))))))))</f>
        <v/>
      </c>
    </row>
    <row r="250">
      <c r="A250" s="0" t="inlineStr">
        <is>
          <t>New</t>
        </is>
      </c>
      <c r="B250" s="0" t="inlineStr">
        <is>
          <t>Item</t>
        </is>
      </c>
      <c r="C250" s="0" t="inlineStr">
        <is>
          <t>Acquired</t>
        </is>
      </c>
      <c r="D250" s="0" t="inlineStr">
        <is>
          <t>:</t>
        </is>
      </c>
      <c r="E250" s="0" t="inlineStr">
        <is>
          <t>90.00K</t>
        </is>
      </c>
      <c r="F250" s="0" t="inlineStr">
        <is>
          <t>(7,</t>
        </is>
      </c>
      <c r="G250" s="0" t="inlineStr">
        <is>
          <t>16)</t>
        </is>
      </c>
      <c r="K250" s="0">
        <f>IF(H249="1)",1,IF(H249="2)",2,IF(H249="3)",3,IF(H249="4)",4,IF(H249="5)",5,IF(H249="6)",6,IF(H249="7)",7,IF(H249="8)",8,0))))))))</f>
        <v/>
      </c>
      <c r="L250" s="0">
        <f>IF(H249="1)",J249,IF(H249="2)",J249,IF(H249="3)",J249,IF(H249="4)",J249,IF(H249="5)",J249,IF(H249="6)",J249,IF(H249="7)",J249,IF(H249="8)",J249,0))))))))</f>
        <v/>
      </c>
    </row>
    <row r="251">
      <c r="A251" s="0" t="inlineStr">
        <is>
          <t>New</t>
        </is>
      </c>
      <c r="B251" s="0" t="inlineStr">
        <is>
          <t>Item</t>
        </is>
      </c>
      <c r="C251" s="0" t="inlineStr">
        <is>
          <t>Acquired</t>
        </is>
      </c>
      <c r="D251" s="0" t="inlineStr">
        <is>
          <t>:</t>
        </is>
      </c>
      <c r="E251" s="0" t="inlineStr">
        <is>
          <t>120.00K</t>
        </is>
      </c>
      <c r="F251" s="0" t="inlineStr">
        <is>
          <t>(8,</t>
        </is>
      </c>
      <c r="G251" s="0" t="inlineStr">
        <is>
          <t>10)</t>
        </is>
      </c>
      <c r="K251" s="0">
        <f>IF(H250="1)",1,IF(H250="2)",2,IF(H250="3)",3,IF(H250="4)",4,IF(H250="5)",5,IF(H250="6)",6,IF(H250="7)",7,IF(H250="8)",8,0))))))))</f>
        <v/>
      </c>
      <c r="L251" s="0">
        <f>IF(H250="1)",J250,IF(H250="2)",J250,IF(H250="3)",J250,IF(H250="4)",J250,IF(H250="5)",J250,IF(H250="6)",J250,IF(H250="7)",J250,IF(H250="8)",J250,0))))))))</f>
        <v/>
      </c>
    </row>
    <row r="252">
      <c r="A252" s="0" t="inlineStr">
        <is>
          <t>New</t>
        </is>
      </c>
      <c r="B252" s="0" t="inlineStr">
        <is>
          <t>Item</t>
        </is>
      </c>
      <c r="C252" s="0" t="inlineStr">
        <is>
          <t>Acquired</t>
        </is>
      </c>
      <c r="D252" s="0" t="inlineStr">
        <is>
          <t>:</t>
        </is>
      </c>
      <c r="E252" s="0" t="inlineStr">
        <is>
          <t>87.50K</t>
        </is>
      </c>
      <c r="F252" s="0" t="inlineStr">
        <is>
          <t>(2,</t>
        </is>
      </c>
      <c r="G252" s="0" t="inlineStr">
        <is>
          <t>19)</t>
        </is>
      </c>
      <c r="K252" s="0">
        <f>IF(H251="1)",1,IF(H251="2)",2,IF(H251="3)",3,IF(H251="4)",4,IF(H251="5)",5,IF(H251="6)",6,IF(H251="7)",7,IF(H251="8)",8,0))))))))</f>
        <v/>
      </c>
      <c r="L252" s="0">
        <f>IF(H251="1)",J251,IF(H251="2)",J251,IF(H251="3)",J251,IF(H251="4)",J251,IF(H251="5)",J251,IF(H251="6)",J251,IF(H251="7)",J251,IF(H251="8)",J251,0))))))))</f>
        <v/>
      </c>
    </row>
    <row r="253">
      <c r="A253" s="0" t="inlineStr">
        <is>
          <t>New</t>
        </is>
      </c>
      <c r="B253" s="0" t="inlineStr">
        <is>
          <t>Item</t>
        </is>
      </c>
      <c r="C253" s="0" t="inlineStr">
        <is>
          <t>Acquired</t>
        </is>
      </c>
      <c r="D253" s="0" t="inlineStr">
        <is>
          <t>:</t>
        </is>
      </c>
      <c r="E253" s="0" t="inlineStr">
        <is>
          <t>280.00K</t>
        </is>
      </c>
      <c r="F253" s="0" t="inlineStr">
        <is>
          <t>(8,</t>
        </is>
      </c>
      <c r="G253" s="0" t="inlineStr">
        <is>
          <t>25)</t>
        </is>
      </c>
      <c r="K253" s="0">
        <f>IF(H252="1)",1,IF(H252="2)",2,IF(H252="3)",3,IF(H252="4)",4,IF(H252="5)",5,IF(H252="6)",6,IF(H252="7)",7,IF(H252="8)",8,0))))))))</f>
        <v/>
      </c>
      <c r="L253" s="0">
        <f>IF(H252="1)",J252,IF(H252="2)",J252,IF(H252="3)",J252,IF(H252="4)",J252,IF(H252="5)",J252,IF(H252="6)",J252,IF(H252="7)",J252,IF(H252="8)",J252,0))))))))</f>
        <v/>
      </c>
    </row>
    <row r="254">
      <c r="A254" s="0" t="inlineStr">
        <is>
          <t>New</t>
        </is>
      </c>
      <c r="B254" s="0" t="inlineStr">
        <is>
          <t>Item</t>
        </is>
      </c>
      <c r="C254" s="0" t="inlineStr">
        <is>
          <t>Acquired</t>
        </is>
      </c>
      <c r="D254" s="0" t="inlineStr">
        <is>
          <t>:</t>
        </is>
      </c>
      <c r="E254" s="0" t="inlineStr">
        <is>
          <t>105.00K</t>
        </is>
      </c>
      <c r="F254" s="0" t="inlineStr">
        <is>
          <t>(4,</t>
        </is>
      </c>
      <c r="G254" s="0" t="inlineStr">
        <is>
          <t>10)</t>
        </is>
      </c>
      <c r="K254" s="0">
        <f>IF(H253="1)",1,IF(H253="2)",2,IF(H253="3)",3,IF(H253="4)",4,IF(H253="5)",5,IF(H253="6)",6,IF(H253="7)",7,IF(H253="8)",8,0))))))))</f>
        <v/>
      </c>
      <c r="L254" s="0">
        <f>IF(H253="1)",J253,IF(H253="2)",J253,IF(H253="3)",J253,IF(H253="4)",J253,IF(H253="5)",J253,IF(H253="6)",J253,IF(H253="7)",J253,IF(H253="8)",J253,0))))))))</f>
        <v/>
      </c>
    </row>
    <row r="255">
      <c r="A255" s="0" t="inlineStr">
        <is>
          <t>New</t>
        </is>
      </c>
      <c r="B255" s="0" t="inlineStr">
        <is>
          <t>Item</t>
        </is>
      </c>
      <c r="C255" s="0" t="inlineStr">
        <is>
          <t>Acquired</t>
        </is>
      </c>
      <c r="D255" s="0" t="inlineStr">
        <is>
          <t>:</t>
        </is>
      </c>
      <c r="E255" s="0" t="inlineStr">
        <is>
          <t>125.00K</t>
        </is>
      </c>
      <c r="F255" s="0" t="inlineStr">
        <is>
          <t>(6,</t>
        </is>
      </c>
      <c r="G255" s="0" t="inlineStr">
        <is>
          <t>21)</t>
        </is>
      </c>
      <c r="K255" s="0">
        <f>IF(H254="1)",1,IF(H254="2)",2,IF(H254="3)",3,IF(H254="4)",4,IF(H254="5)",5,IF(H254="6)",6,IF(H254="7)",7,IF(H254="8)",8,0))))))))</f>
        <v/>
      </c>
      <c r="L255" s="0">
        <f>IF(H254="1)",J254,IF(H254="2)",J254,IF(H254="3)",J254,IF(H254="4)",J254,IF(H254="5)",J254,IF(H254="6)",J254,IF(H254="7)",J254,IF(H254="8)",J254,0))))))))</f>
        <v/>
      </c>
    </row>
    <row r="256">
      <c r="A256" s="0" t="inlineStr">
        <is>
          <t>Line</t>
        </is>
      </c>
      <c r="B256" s="0" t="inlineStr">
        <is>
          <t>Prize</t>
        </is>
      </c>
      <c r="C256" s="0" t="inlineStr">
        <is>
          <t>Acquired</t>
        </is>
      </c>
      <c r="D256" s="0" t="inlineStr">
        <is>
          <t>:</t>
        </is>
      </c>
      <c r="E256" s="0" t="inlineStr">
        <is>
          <t>625.00K</t>
        </is>
      </c>
      <c r="F256" s="0" t="inlineStr">
        <is>
          <t>(Stage</t>
        </is>
      </c>
      <c r="G256" s="0" t="inlineStr">
        <is>
          <t>:</t>
        </is>
      </c>
      <c r="H256" s="0" t="inlineStr">
        <is>
          <t>6)</t>
        </is>
      </c>
      <c r="I256" s="0" t="inlineStr">
        <is>
          <t>-</t>
        </is>
      </c>
      <c r="J256" s="0" t="n">
        <v>625000</v>
      </c>
      <c r="K256" s="0">
        <f>IF(H255="1)",1,IF(H255="2)",2,IF(H255="3)",3,IF(H255="4)",4,IF(H255="5)",5,IF(H255="6)",6,IF(H255="7)",7,IF(H255="8)",8,0))))))))</f>
        <v/>
      </c>
      <c r="L256" s="0">
        <f>IF(H255="1)",J255,IF(H255="2)",J255,IF(H255="3)",J255,IF(H255="4)",J255,IF(H255="5)",J255,IF(H255="6)",J255,IF(H255="7)",J255,IF(H255="8)",J255,0))))))))</f>
        <v/>
      </c>
    </row>
    <row r="257">
      <c r="A257" s="0" t="inlineStr">
        <is>
          <t>Clear</t>
        </is>
      </c>
      <c r="B257" s="0" t="inlineStr">
        <is>
          <t>Gem</t>
        </is>
      </c>
      <c r="C257" s="0" t="inlineStr">
        <is>
          <t>Acquired</t>
        </is>
      </c>
      <c r="D257" s="0" t="inlineStr">
        <is>
          <t>:</t>
        </is>
      </c>
      <c r="E257" s="0" t="n">
        <v>1300</v>
      </c>
      <c r="F257" s="0" t="inlineStr">
        <is>
          <t>-&gt;</t>
        </is>
      </c>
      <c r="G257" s="0" t="n">
        <v>1400</v>
      </c>
      <c r="H257" s="0" t="inlineStr">
        <is>
          <t>(Stage</t>
        </is>
      </c>
      <c r="I257" s="0" t="inlineStr">
        <is>
          <t>:</t>
        </is>
      </c>
      <c r="J257" s="0" t="inlineStr">
        <is>
          <t>6)</t>
        </is>
      </c>
      <c r="K257" s="0">
        <f>IF(H256="1)",1,IF(H256="2)",2,IF(H256="3)",3,IF(H256="4)",4,IF(H256="5)",5,IF(H256="6)",6,IF(H256="7)",7,IF(H256="8)",8,0))))))))</f>
        <v/>
      </c>
      <c r="L257" s="0">
        <f>IF(H256="1)",J256,IF(H256="2)",J256,IF(H256="3)",J256,IF(H256="4)",J256,IF(H256="5)",J256,IF(H256="6)",J256,IF(H256="7)",J256,IF(H256="8)",J256,0))))))))</f>
        <v/>
      </c>
    </row>
    <row r="258">
      <c r="A258" s="0" t="inlineStr">
        <is>
          <t>New</t>
        </is>
      </c>
      <c r="B258" s="0" t="inlineStr">
        <is>
          <t>Item</t>
        </is>
      </c>
      <c r="C258" s="0" t="inlineStr">
        <is>
          <t>Acquired</t>
        </is>
      </c>
      <c r="D258" s="0" t="inlineStr">
        <is>
          <t>:</t>
        </is>
      </c>
      <c r="E258" s="0" t="inlineStr">
        <is>
          <t>67.50K</t>
        </is>
      </c>
      <c r="F258" s="0" t="inlineStr">
        <is>
          <t>(5,</t>
        </is>
      </c>
      <c r="G258" s="0" t="inlineStr">
        <is>
          <t>18)</t>
        </is>
      </c>
      <c r="K258" s="0">
        <f>IF(H257="1)",1,IF(H257="2)",2,IF(H257="3)",3,IF(H257="4)",4,IF(H257="5)",5,IF(H257="6)",6,IF(H257="7)",7,IF(H257="8)",8,0))))))))</f>
        <v/>
      </c>
      <c r="L258" s="0">
        <f>IF(H257="1)",J257,IF(H257="2)",J257,IF(H257="3)",J257,IF(H257="4)",J257,IF(H257="5)",J257,IF(H257="6)",J257,IF(H257="7)",J257,IF(H257="8)",J257,0))))))))</f>
        <v/>
      </c>
    </row>
    <row r="259">
      <c r="A259" s="0" t="inlineStr">
        <is>
          <t>New</t>
        </is>
      </c>
      <c r="B259" s="0" t="inlineStr">
        <is>
          <t>Item</t>
        </is>
      </c>
      <c r="C259" s="0" t="inlineStr">
        <is>
          <t>Acquired</t>
        </is>
      </c>
      <c r="D259" s="0" t="inlineStr">
        <is>
          <t>:</t>
        </is>
      </c>
      <c r="E259" s="0" t="inlineStr">
        <is>
          <t>50.00K</t>
        </is>
      </c>
      <c r="F259" s="0" t="inlineStr">
        <is>
          <t>(1,</t>
        </is>
      </c>
      <c r="G259" s="0" t="inlineStr">
        <is>
          <t>10)</t>
        </is>
      </c>
      <c r="K259" s="0">
        <f>IF(H258="1)",1,IF(H258="2)",2,IF(H258="3)",3,IF(H258="4)",4,IF(H258="5)",5,IF(H258="6)",6,IF(H258="7)",7,IF(H258="8)",8,0))))))))</f>
        <v/>
      </c>
      <c r="L259" s="0">
        <f>IF(H258="1)",J258,IF(H258="2)",J258,IF(H258="3)",J258,IF(H258="4)",J258,IF(H258="5)",J258,IF(H258="6)",J258,IF(H258="7)",J258,IF(H258="8)",J258,0))))))))</f>
        <v/>
      </c>
    </row>
    <row r="260">
      <c r="A260" s="0" t="inlineStr">
        <is>
          <t>New</t>
        </is>
      </c>
      <c r="B260" s="0" t="inlineStr">
        <is>
          <t>Item</t>
        </is>
      </c>
      <c r="C260" s="0" t="inlineStr">
        <is>
          <t>Acquired</t>
        </is>
      </c>
      <c r="D260" s="0" t="inlineStr">
        <is>
          <t>:</t>
        </is>
      </c>
      <c r="E260" s="0" t="inlineStr">
        <is>
          <t>Minor</t>
        </is>
      </c>
      <c r="F260" s="0" t="inlineStr">
        <is>
          <t>(6,</t>
        </is>
      </c>
      <c r="G260" s="0" t="inlineStr">
        <is>
          <t>22)</t>
        </is>
      </c>
      <c r="K260" s="0">
        <f>IF(H259="1)",1,IF(H259="2)",2,IF(H259="3)",3,IF(H259="4)",4,IF(H259="5)",5,IF(H259="6)",6,IF(H259="7)",7,IF(H259="8)",8,0))))))))</f>
        <v/>
      </c>
      <c r="L260" s="0">
        <f>IF(H259="1)",J259,IF(H259="2)",J259,IF(H259="3)",J259,IF(H259="4)",J259,IF(H259="5)",J259,IF(H259="6)",J259,IF(H259="7)",J259,IF(H259="8)",J259,0))))))))</f>
        <v/>
      </c>
    </row>
    <row r="261">
      <c r="A261" s="0" t="inlineStr">
        <is>
          <t>New</t>
        </is>
      </c>
      <c r="B261" s="0" t="inlineStr">
        <is>
          <t>Item</t>
        </is>
      </c>
      <c r="C261" s="0" t="inlineStr">
        <is>
          <t>Acquired</t>
        </is>
      </c>
      <c r="D261" s="0" t="inlineStr">
        <is>
          <t>:</t>
        </is>
      </c>
      <c r="E261" s="0" t="inlineStr">
        <is>
          <t>105.00K</t>
        </is>
      </c>
      <c r="F261" s="0" t="inlineStr">
        <is>
          <t>(4,</t>
        </is>
      </c>
      <c r="G261" s="0" t="inlineStr">
        <is>
          <t>11)</t>
        </is>
      </c>
      <c r="K261" s="0">
        <f>IF(H260="1)",1,IF(H260="2)",2,IF(H260="3)",3,IF(H260="4)",4,IF(H260="5)",5,IF(H260="6)",6,IF(H260="7)",7,IF(H260="8)",8,0))))))))</f>
        <v/>
      </c>
      <c r="L261" s="0">
        <f>IF(H260="1)",J260,IF(H260="2)",J260,IF(H260="3)",J260,IF(H260="4)",J260,IF(H260="5)",J260,IF(H260="6)",J260,IF(H260="7)",J260,IF(H260="8)",J260,0))))))))</f>
        <v/>
      </c>
    </row>
    <row r="262">
      <c r="A262" s="0" t="inlineStr">
        <is>
          <t>New</t>
        </is>
      </c>
      <c r="B262" s="0" t="inlineStr">
        <is>
          <t>Item</t>
        </is>
      </c>
      <c r="C262" s="0" t="inlineStr">
        <is>
          <t>Acquired</t>
        </is>
      </c>
      <c r="D262" s="0" t="inlineStr">
        <is>
          <t>:</t>
        </is>
      </c>
      <c r="E262" s="0" t="inlineStr">
        <is>
          <t>67.50K</t>
        </is>
      </c>
      <c r="F262" s="0" t="inlineStr">
        <is>
          <t>(5,</t>
        </is>
      </c>
      <c r="G262" s="0" t="inlineStr">
        <is>
          <t>7)</t>
        </is>
      </c>
      <c r="K262" s="0">
        <f>IF(H261="1)",1,IF(H261="2)",2,IF(H261="3)",3,IF(H261="4)",4,IF(H261="5)",5,IF(H261="6)",6,IF(H261="7)",7,IF(H261="8)",8,0))))))))</f>
        <v/>
      </c>
      <c r="L262" s="0">
        <f>IF(H261="1)",J261,IF(H261="2)",J261,IF(H261="3)",J261,IF(H261="4)",J261,IF(H261="5)",J261,IF(H261="6)",J261,IF(H261="7)",J261,IF(H261="8)",J261,0))))))))</f>
        <v/>
      </c>
    </row>
    <row r="263">
      <c r="A263" s="0" t="inlineStr">
        <is>
          <t>New</t>
        </is>
      </c>
      <c r="B263" s="0" t="inlineStr">
        <is>
          <t>Item</t>
        </is>
      </c>
      <c r="C263" s="0" t="inlineStr">
        <is>
          <t>Acquired</t>
        </is>
      </c>
      <c r="D263" s="0" t="inlineStr">
        <is>
          <t>:</t>
        </is>
      </c>
      <c r="E263" s="0" t="inlineStr">
        <is>
          <t>280.00K</t>
        </is>
      </c>
      <c r="F263" s="0" t="inlineStr">
        <is>
          <t>(8,</t>
        </is>
      </c>
      <c r="G263" s="0" t="inlineStr">
        <is>
          <t>12)</t>
        </is>
      </c>
      <c r="K263" s="0">
        <f>IF(H262="1)",1,IF(H262="2)",2,IF(H262="3)",3,IF(H262="4)",4,IF(H262="5)",5,IF(H262="6)",6,IF(H262="7)",7,IF(H262="8)",8,0))))))))</f>
        <v/>
      </c>
      <c r="L263" s="0">
        <f>IF(H262="1)",J262,IF(H262="2)",J262,IF(H262="3)",J262,IF(H262="4)",J262,IF(H262="5)",J262,IF(H262="6)",J262,IF(H262="7)",J262,IF(H262="8)",J262,0))))))))</f>
        <v/>
      </c>
    </row>
    <row r="264">
      <c r="A264" s="0" t="inlineStr">
        <is>
          <t>New</t>
        </is>
      </c>
      <c r="B264" s="0" t="inlineStr">
        <is>
          <t>Item</t>
        </is>
      </c>
      <c r="C264" s="0" t="inlineStr">
        <is>
          <t>Acquired</t>
        </is>
      </c>
      <c r="D264" s="0" t="inlineStr">
        <is>
          <t>:</t>
        </is>
      </c>
      <c r="E264" s="0" t="inlineStr">
        <is>
          <t>75.00K</t>
        </is>
      </c>
      <c r="F264" s="0" t="inlineStr">
        <is>
          <t>(4,</t>
        </is>
      </c>
      <c r="G264" s="0" t="inlineStr">
        <is>
          <t>4)</t>
        </is>
      </c>
      <c r="K264" s="0">
        <f>IF(H263="1)",1,IF(H263="2)",2,IF(H263="3)",3,IF(H263="4)",4,IF(H263="5)",5,IF(H263="6)",6,IF(H263="7)",7,IF(H263="8)",8,0))))))))</f>
        <v/>
      </c>
      <c r="L264" s="0">
        <f>IF(H263="1)",J263,IF(H263="2)",J263,IF(H263="3)",J263,IF(H263="4)",J263,IF(H263="5)",J263,IF(H263="6)",J263,IF(H263="7)",J263,IF(H263="8)",J263,0))))))))</f>
        <v/>
      </c>
    </row>
    <row r="265">
      <c r="A265" s="0" t="inlineStr">
        <is>
          <t>New</t>
        </is>
      </c>
      <c r="B265" s="0" t="inlineStr">
        <is>
          <t>Item</t>
        </is>
      </c>
      <c r="C265" s="0" t="inlineStr">
        <is>
          <t>Acquired</t>
        </is>
      </c>
      <c r="D265" s="0" t="inlineStr">
        <is>
          <t>:</t>
        </is>
      </c>
      <c r="E265" s="0" t="inlineStr">
        <is>
          <t>150.00K</t>
        </is>
      </c>
      <c r="F265" s="0" t="inlineStr">
        <is>
          <t>(7,</t>
        </is>
      </c>
      <c r="G265" s="0" t="inlineStr">
        <is>
          <t>12)</t>
        </is>
      </c>
      <c r="K265" s="0">
        <f>IF(H264="1)",1,IF(H264="2)",2,IF(H264="3)",3,IF(H264="4)",4,IF(H264="5)",5,IF(H264="6)",6,IF(H264="7)",7,IF(H264="8)",8,0))))))))</f>
        <v/>
      </c>
      <c r="L265" s="0">
        <f>IF(H264="1)",J264,IF(H264="2)",J264,IF(H264="3)",J264,IF(H264="4)",J264,IF(H264="5)",J264,IF(H264="6)",J264,IF(H264="7)",J264,IF(H264="8)",J264,0))))))))</f>
        <v/>
      </c>
    </row>
    <row r="266">
      <c r="A266" s="0" t="inlineStr">
        <is>
          <t>New</t>
        </is>
      </c>
      <c r="B266" s="0" t="inlineStr">
        <is>
          <t>Item</t>
        </is>
      </c>
      <c r="C266" s="0" t="inlineStr">
        <is>
          <t>Acquired</t>
        </is>
      </c>
      <c r="D266" s="0" t="inlineStr">
        <is>
          <t>:</t>
        </is>
      </c>
      <c r="E266" s="0" t="inlineStr">
        <is>
          <t>210.00K</t>
        </is>
      </c>
      <c r="F266" s="0" t="inlineStr">
        <is>
          <t>(7,</t>
        </is>
      </c>
      <c r="G266" s="0" t="inlineStr">
        <is>
          <t>7)</t>
        </is>
      </c>
      <c r="K266" s="0">
        <f>IF(H265="1)",1,IF(H265="2)",2,IF(H265="3)",3,IF(H265="4)",4,IF(H265="5)",5,IF(H265="6)",6,IF(H265="7)",7,IF(H265="8)",8,0))))))))</f>
        <v/>
      </c>
      <c r="L266" s="0">
        <f>IF(H265="1)",J265,IF(H265="2)",J265,IF(H265="3)",J265,IF(H265="4)",J265,IF(H265="5)",J265,IF(H265="6)",J265,IF(H265="7)",J265,IF(H265="8)",J265,0))))))))</f>
        <v/>
      </c>
    </row>
    <row r="267">
      <c r="A267" s="0" t="inlineStr">
        <is>
          <t>New</t>
        </is>
      </c>
      <c r="B267" s="0" t="inlineStr">
        <is>
          <t>Item</t>
        </is>
      </c>
      <c r="C267" s="0" t="inlineStr">
        <is>
          <t>Acquired</t>
        </is>
      </c>
      <c r="D267" s="0" t="inlineStr">
        <is>
          <t>:</t>
        </is>
      </c>
      <c r="E267" s="0" t="inlineStr">
        <is>
          <t>280.00K</t>
        </is>
      </c>
      <c r="F267" s="0" t="inlineStr">
        <is>
          <t>(8,</t>
        </is>
      </c>
      <c r="G267" s="0" t="inlineStr">
        <is>
          <t>24)</t>
        </is>
      </c>
      <c r="K267" s="0">
        <f>IF(H266="1)",1,IF(H266="2)",2,IF(H266="3)",3,IF(H266="4)",4,IF(H266="5)",5,IF(H266="6)",6,IF(H266="7)",7,IF(H266="8)",8,0))))))))</f>
        <v/>
      </c>
      <c r="L267" s="0">
        <f>IF(H266="1)",J266,IF(H266="2)",J266,IF(H266="3)",J266,IF(H266="4)",J266,IF(H266="5)",J266,IF(H266="6)",J266,IF(H266="7)",J266,IF(H266="8)",J266,0))))))))</f>
        <v/>
      </c>
    </row>
    <row r="268">
      <c r="A268" s="0" t="inlineStr">
        <is>
          <t>Item</t>
        </is>
      </c>
      <c r="B268" s="0" t="inlineStr">
        <is>
          <t>ReSelect</t>
        </is>
      </c>
      <c r="C268" s="0" t="inlineStr">
        <is>
          <t>Failed</t>
        </is>
      </c>
      <c r="D268" s="0" t="inlineStr">
        <is>
          <t>:</t>
        </is>
      </c>
      <c r="E268" s="0" t="inlineStr">
        <is>
          <t>Attempt</t>
        </is>
      </c>
      <c r="F268" s="0" t="inlineStr">
        <is>
          <t>Count</t>
        </is>
      </c>
      <c r="G268" s="0" t="inlineStr">
        <is>
          <t>-</t>
        </is>
      </c>
      <c r="H268" s="0" t="n">
        <v>3</v>
      </c>
      <c r="K268" s="0">
        <f>IF(H267="1)",1,IF(H267="2)",2,IF(H267="3)",3,IF(H267="4)",4,IF(H267="5)",5,IF(H267="6)",6,IF(H267="7)",7,IF(H267="8)",8,0))))))))</f>
        <v/>
      </c>
      <c r="L268" s="0">
        <f>IF(H267="1)",J267,IF(H267="2)",J267,IF(H267="3)",J267,IF(H267="4)",J267,IF(H267="5)",J267,IF(H267="6)",J267,IF(H267="7)",J267,IF(H267="8)",J267,0))))))))</f>
        <v/>
      </c>
    </row>
    <row r="269">
      <c r="A269" s="0" t="inlineStr">
        <is>
          <t>New</t>
        </is>
      </c>
      <c r="B269" s="0" t="inlineStr">
        <is>
          <t>Item</t>
        </is>
      </c>
      <c r="C269" s="0" t="inlineStr">
        <is>
          <t>Acquired</t>
        </is>
      </c>
      <c r="D269" s="0" t="inlineStr">
        <is>
          <t>:</t>
        </is>
      </c>
      <c r="E269" s="0" t="inlineStr">
        <is>
          <t>175.00K</t>
        </is>
      </c>
      <c r="F269" s="0" t="inlineStr">
        <is>
          <t>(6,</t>
        </is>
      </c>
      <c r="G269" s="0" t="inlineStr">
        <is>
          <t>9)</t>
        </is>
      </c>
      <c r="K269" s="0">
        <f>IF(H268="1)",1,IF(H268="2)",2,IF(H268="3)",3,IF(H268="4)",4,IF(H268="5)",5,IF(H268="6)",6,IF(H268="7)",7,IF(H268="8)",8,0))))))))</f>
        <v/>
      </c>
      <c r="L269" s="0">
        <f>IF(H268="1)",J268,IF(H268="2)",J268,IF(H268="3)",J268,IF(H268="4)",J268,IF(H268="5)",J268,IF(H268="6)",J268,IF(H268="7)",J268,IF(H268="8)",J268,0))))))))</f>
        <v/>
      </c>
    </row>
    <row r="270">
      <c r="A270" s="0" t="inlineStr">
        <is>
          <t>New</t>
        </is>
      </c>
      <c r="B270" s="0" t="inlineStr">
        <is>
          <t>Item</t>
        </is>
      </c>
      <c r="C270" s="0" t="inlineStr">
        <is>
          <t>Acquired</t>
        </is>
      </c>
      <c r="D270" s="0" t="inlineStr">
        <is>
          <t>:</t>
        </is>
      </c>
      <c r="E270" s="0" t="inlineStr">
        <is>
          <t>30.00K</t>
        </is>
      </c>
      <c r="F270" s="0" t="inlineStr">
        <is>
          <t>(1,</t>
        </is>
      </c>
      <c r="G270" s="0" t="inlineStr">
        <is>
          <t>3)</t>
        </is>
      </c>
      <c r="K270" s="0">
        <f>IF(H269="1)",1,IF(H269="2)",2,IF(H269="3)",3,IF(H269="4)",4,IF(H269="5)",5,IF(H269="6)",6,IF(H269="7)",7,IF(H269="8)",8,0))))))))</f>
        <v/>
      </c>
      <c r="L270" s="0">
        <f>IF(H269="1)",J269,IF(H269="2)",J269,IF(H269="3)",J269,IF(H269="4)",J269,IF(H269="5)",J269,IF(H269="6)",J269,IF(H269="7)",J269,IF(H269="8)",J269,0))))))))</f>
        <v/>
      </c>
    </row>
    <row r="271">
      <c r="A271" s="0" t="inlineStr">
        <is>
          <t>New</t>
        </is>
      </c>
      <c r="B271" s="0" t="inlineStr">
        <is>
          <t>Item</t>
        </is>
      </c>
      <c r="C271" s="0" t="inlineStr">
        <is>
          <t>Acquired</t>
        </is>
      </c>
      <c r="D271" s="0" t="inlineStr">
        <is>
          <t>:</t>
        </is>
      </c>
      <c r="E271" s="0" t="inlineStr">
        <is>
          <t>62.50K</t>
        </is>
      </c>
      <c r="F271" s="0" t="inlineStr">
        <is>
          <t>(2,</t>
        </is>
      </c>
      <c r="G271" s="0" t="inlineStr">
        <is>
          <t>14)</t>
        </is>
      </c>
      <c r="K271" s="0">
        <f>IF(H270="1)",1,IF(H270="2)",2,IF(H270="3)",3,IF(H270="4)",4,IF(H270="5)",5,IF(H270="6)",6,IF(H270="7)",7,IF(H270="8)",8,0))))))))</f>
        <v/>
      </c>
      <c r="L271" s="0">
        <f>IF(H270="1)",J270,IF(H270="2)",J270,IF(H270="3)",J270,IF(H270="4)",J270,IF(H270="5)",J270,IF(H270="6)",J270,IF(H270="7)",J270,IF(H270="8)",J270,0))))))))</f>
        <v/>
      </c>
    </row>
    <row r="272">
      <c r="A272" s="0" t="inlineStr">
        <is>
          <t>New</t>
        </is>
      </c>
      <c r="B272" s="0" t="inlineStr">
        <is>
          <t>Item</t>
        </is>
      </c>
      <c r="C272" s="0" t="inlineStr">
        <is>
          <t>Acquired</t>
        </is>
      </c>
      <c r="D272" s="0" t="inlineStr">
        <is>
          <t>:</t>
        </is>
      </c>
      <c r="E272" s="0" t="inlineStr">
        <is>
          <t>90.00K</t>
        </is>
      </c>
      <c r="F272" s="0" t="inlineStr">
        <is>
          <t>(7,</t>
        </is>
      </c>
      <c r="G272" s="0" t="inlineStr">
        <is>
          <t>23)</t>
        </is>
      </c>
      <c r="K272" s="0">
        <f>IF(H271="1)",1,IF(H271="2)",2,IF(H271="3)",3,IF(H271="4)",4,IF(H271="5)",5,IF(H271="6)",6,IF(H271="7)",7,IF(H271="8)",8,0))))))))</f>
        <v/>
      </c>
      <c r="L272" s="0">
        <f>IF(H271="1)",J271,IF(H271="2)",J271,IF(H271="3)",J271,IF(H271="4)",J271,IF(H271="5)",J271,IF(H271="6)",J271,IF(H271="7)",J271,IF(H271="8)",J271,0))))))))</f>
        <v/>
      </c>
    </row>
    <row r="273">
      <c r="A273" s="0" t="inlineStr">
        <is>
          <t>New</t>
        </is>
      </c>
      <c r="B273" s="0" t="inlineStr">
        <is>
          <t>Item</t>
        </is>
      </c>
      <c r="C273" s="0" t="inlineStr">
        <is>
          <t>Acquired</t>
        </is>
      </c>
      <c r="D273" s="0" t="inlineStr">
        <is>
          <t>:</t>
        </is>
      </c>
      <c r="E273" s="0" t="inlineStr">
        <is>
          <t>120.00K</t>
        </is>
      </c>
      <c r="F273" s="0" t="inlineStr">
        <is>
          <t>(8,</t>
        </is>
      </c>
      <c r="G273" s="0" t="inlineStr">
        <is>
          <t>3)</t>
        </is>
      </c>
      <c r="K273" s="0">
        <f>IF(H272="1)",1,IF(H272="2)",2,IF(H272="3)",3,IF(H272="4)",4,IF(H272="5)",5,IF(H272="6)",6,IF(H272="7)",7,IF(H272="8)",8,0))))))))</f>
        <v/>
      </c>
      <c r="L273" s="0">
        <f>IF(H272="1)",J272,IF(H272="2)",J272,IF(H272="3)",J272,IF(H272="4)",J272,IF(H272="5)",J272,IF(H272="6)",J272,IF(H272="7)",J272,IF(H272="8)",J272,0))))))))</f>
        <v/>
      </c>
    </row>
    <row r="274">
      <c r="A274" s="0" t="inlineStr">
        <is>
          <t>New</t>
        </is>
      </c>
      <c r="B274" s="0" t="inlineStr">
        <is>
          <t>Item</t>
        </is>
      </c>
      <c r="C274" s="0" t="inlineStr">
        <is>
          <t>Acquired</t>
        </is>
      </c>
      <c r="D274" s="0" t="inlineStr">
        <is>
          <t>:</t>
        </is>
      </c>
      <c r="E274" s="0" t="inlineStr">
        <is>
          <t>210.00K</t>
        </is>
      </c>
      <c r="F274" s="0" t="inlineStr">
        <is>
          <t>(7,</t>
        </is>
      </c>
      <c r="G274" s="0" t="inlineStr">
        <is>
          <t>15)</t>
        </is>
      </c>
      <c r="K274" s="0">
        <f>IF(H273="1)",1,IF(H273="2)",2,IF(H273="3)",3,IF(H273="4)",4,IF(H273="5)",5,IF(H273="6)",6,IF(H273="7)",7,IF(H273="8)",8,0))))))))</f>
        <v/>
      </c>
      <c r="L274" s="0">
        <f>IF(H273="1)",J273,IF(H273="2)",J273,IF(H273="3)",J273,IF(H273="4)",J273,IF(H273="5)",J273,IF(H273="6)",J273,IF(H273="7)",J273,IF(H273="8)",J273,0))))))))</f>
        <v/>
      </c>
    </row>
    <row r="275">
      <c r="A275" s="0" t="inlineStr">
        <is>
          <t>New</t>
        </is>
      </c>
      <c r="B275" s="0" t="inlineStr">
        <is>
          <t>Item</t>
        </is>
      </c>
      <c r="C275" s="0" t="inlineStr">
        <is>
          <t>Acquired</t>
        </is>
      </c>
      <c r="D275" s="0" t="inlineStr">
        <is>
          <t>:</t>
        </is>
      </c>
      <c r="E275" s="0" t="inlineStr">
        <is>
          <t>150.00K</t>
        </is>
      </c>
      <c r="F275" s="0" t="inlineStr">
        <is>
          <t>(7,</t>
        </is>
      </c>
      <c r="G275" s="0" t="inlineStr">
        <is>
          <t>17)</t>
        </is>
      </c>
      <c r="K275" s="0">
        <f>IF(H274="1)",1,IF(H274="2)",2,IF(H274="3)",3,IF(H274="4)",4,IF(H274="5)",5,IF(H274="6)",6,IF(H274="7)",7,IF(H274="8)",8,0))))))))</f>
        <v/>
      </c>
      <c r="L275" s="0">
        <f>IF(H274="1)",J274,IF(H274="2)",J274,IF(H274="3)",J274,IF(H274="4)",J274,IF(H274="5)",J274,IF(H274="6)",J274,IF(H274="7)",J274,IF(H274="8)",J274,0))))))))</f>
        <v/>
      </c>
    </row>
    <row r="276">
      <c r="A276" s="0" t="inlineStr">
        <is>
          <t>New</t>
        </is>
      </c>
      <c r="B276" s="0" t="inlineStr">
        <is>
          <t>Item</t>
        </is>
      </c>
      <c r="C276" s="0" t="inlineStr">
        <is>
          <t>Acquired</t>
        </is>
      </c>
      <c r="D276" s="0" t="inlineStr">
        <is>
          <t>:</t>
        </is>
      </c>
      <c r="E276" s="0" t="inlineStr">
        <is>
          <t>120.00K</t>
        </is>
      </c>
      <c r="F276" s="0" t="inlineStr">
        <is>
          <t>(8,</t>
        </is>
      </c>
      <c r="G276" s="0" t="inlineStr">
        <is>
          <t>2)</t>
        </is>
      </c>
      <c r="K276" s="0">
        <f>IF(H275="1)",1,IF(H275="2)",2,IF(H275="3)",3,IF(H275="4)",4,IF(H275="5)",5,IF(H275="6)",6,IF(H275="7)",7,IF(H275="8)",8,0))))))))</f>
        <v/>
      </c>
      <c r="L276" s="0">
        <f>IF(H275="1)",J275,IF(H275="2)",J275,IF(H275="3)",J275,IF(H275="4)",J275,IF(H275="5)",J275,IF(H275="6)",J275,IF(H275="7)",J275,IF(H275="8)",J275,0))))))))</f>
        <v/>
      </c>
    </row>
    <row r="277">
      <c r="A277" s="0" t="inlineStr">
        <is>
          <t>New</t>
        </is>
      </c>
      <c r="B277" s="0" t="inlineStr">
        <is>
          <t>Item</t>
        </is>
      </c>
      <c r="C277" s="0" t="inlineStr">
        <is>
          <t>Acquired</t>
        </is>
      </c>
      <c r="D277" s="0" t="inlineStr">
        <is>
          <t>:</t>
        </is>
      </c>
      <c r="E277" s="0" t="inlineStr">
        <is>
          <t>75.00K</t>
        </is>
      </c>
      <c r="F277" s="0" t="inlineStr">
        <is>
          <t>(3,</t>
        </is>
      </c>
      <c r="G277" s="0" t="inlineStr">
        <is>
          <t>22)</t>
        </is>
      </c>
      <c r="K277" s="0">
        <f>IF(H276="1)",1,IF(H276="2)",2,IF(H276="3)",3,IF(H276="4)",4,IF(H276="5)",5,IF(H276="6)",6,IF(H276="7)",7,IF(H276="8)",8,0))))))))</f>
        <v/>
      </c>
      <c r="L277" s="0">
        <f>IF(H276="1)",J276,IF(H276="2)",J276,IF(H276="3)",J276,IF(H276="4)",J276,IF(H276="5)",J276,IF(H276="6)",J276,IF(H276="7)",J276,IF(H276="8)",J276,0))))))))</f>
        <v/>
      </c>
    </row>
    <row r="278">
      <c r="A278" s="0" t="inlineStr">
        <is>
          <t>Line</t>
        </is>
      </c>
      <c r="B278" s="0" t="inlineStr">
        <is>
          <t>Prize</t>
        </is>
      </c>
      <c r="C278" s="0" t="inlineStr">
        <is>
          <t>Acquired</t>
        </is>
      </c>
      <c r="D278" s="0" t="inlineStr">
        <is>
          <t>:</t>
        </is>
      </c>
      <c r="E278" s="0" t="inlineStr">
        <is>
          <t>690.00K</t>
        </is>
      </c>
      <c r="F278" s="0" t="inlineStr">
        <is>
          <t>(Stage</t>
        </is>
      </c>
      <c r="G278" s="0" t="inlineStr">
        <is>
          <t>:</t>
        </is>
      </c>
      <c r="H278" s="0" t="inlineStr">
        <is>
          <t>3)</t>
        </is>
      </c>
      <c r="I278" s="0" t="inlineStr">
        <is>
          <t>-</t>
        </is>
      </c>
      <c r="J278" s="0" t="n">
        <v>690000</v>
      </c>
      <c r="K278" s="0">
        <f>IF(H277="1)",1,IF(H277="2)",2,IF(H277="3)",3,IF(H277="4)",4,IF(H277="5)",5,IF(H277="6)",6,IF(H277="7)",7,IF(H277="8)",8,0))))))))</f>
        <v/>
      </c>
      <c r="L278" s="0">
        <f>IF(H277="1)",J277,IF(H277="2)",J277,IF(H277="3)",J277,IF(H277="4)",J277,IF(H277="5)",J277,IF(H277="6)",J277,IF(H277="7)",J277,IF(H277="8)",J277,0))))))))</f>
        <v/>
      </c>
    </row>
    <row r="279">
      <c r="A279" s="0" t="inlineStr">
        <is>
          <t>Clear</t>
        </is>
      </c>
      <c r="B279" s="0" t="inlineStr">
        <is>
          <t>Gem</t>
        </is>
      </c>
      <c r="C279" s="0" t="inlineStr">
        <is>
          <t>Acquired</t>
        </is>
      </c>
      <c r="D279" s="0" t="inlineStr">
        <is>
          <t>:</t>
        </is>
      </c>
      <c r="E279" s="0" t="n">
        <v>1400</v>
      </c>
      <c r="F279" s="0" t="inlineStr">
        <is>
          <t>-&gt;</t>
        </is>
      </c>
      <c r="G279" s="0" t="n">
        <v>1500</v>
      </c>
      <c r="H279" s="0" t="inlineStr">
        <is>
          <t>(Stage</t>
        </is>
      </c>
      <c r="I279" s="0" t="inlineStr">
        <is>
          <t>:</t>
        </is>
      </c>
      <c r="J279" s="0" t="inlineStr">
        <is>
          <t>3)</t>
        </is>
      </c>
      <c r="K279" s="0">
        <f>IF(H278="1)",1,IF(H278="2)",2,IF(H278="3)",3,IF(H278="4)",4,IF(H278="5)",5,IF(H278="6)",6,IF(H278="7)",7,IF(H278="8)",8,0))))))))</f>
        <v/>
      </c>
      <c r="L279" s="0">
        <f>IF(H278="1)",J278,IF(H278="2)",J278,IF(H278="3)",J278,IF(H278="4)",J278,IF(H278="5)",J278,IF(H278="6)",J278,IF(H278="7)",J278,IF(H278="8)",J278,0))))))))</f>
        <v/>
      </c>
    </row>
    <row r="280">
      <c r="A280" s="0" t="inlineStr">
        <is>
          <t>New</t>
        </is>
      </c>
      <c r="B280" s="0" t="inlineStr">
        <is>
          <t>Item</t>
        </is>
      </c>
      <c r="C280" s="0" t="inlineStr">
        <is>
          <t>Acquired</t>
        </is>
      </c>
      <c r="D280" s="0" t="inlineStr">
        <is>
          <t>:</t>
        </is>
      </c>
      <c r="E280" s="0" t="inlineStr">
        <is>
          <t>Mini</t>
        </is>
      </c>
      <c r="F280" s="0" t="inlineStr">
        <is>
          <t>(5,</t>
        </is>
      </c>
      <c r="G280" s="0" t="inlineStr">
        <is>
          <t>16)</t>
        </is>
      </c>
      <c r="K280" s="0">
        <f>IF(H279="1)",1,IF(H279="2)",2,IF(H279="3)",3,IF(H279="4)",4,IF(H279="5)",5,IF(H279="6)",6,IF(H279="7)",7,IF(H279="8)",8,0))))))))</f>
        <v/>
      </c>
      <c r="L280" s="0">
        <f>IF(H279="1)",J279,IF(H279="2)",J279,IF(H279="3)",J279,IF(H279="4)",J279,IF(H279="5)",J279,IF(H279="6)",J279,IF(H279="7)",J279,IF(H279="8)",J279,0))))))))</f>
        <v/>
      </c>
    </row>
    <row r="281">
      <c r="A281" s="0" t="inlineStr">
        <is>
          <t>New</t>
        </is>
      </c>
      <c r="B281" s="0" t="inlineStr">
        <is>
          <t>Item</t>
        </is>
      </c>
      <c r="C281" s="0" t="inlineStr">
        <is>
          <t>Acquired</t>
        </is>
      </c>
      <c r="D281" s="0" t="inlineStr">
        <is>
          <t>:</t>
        </is>
      </c>
      <c r="E281" s="0" t="inlineStr">
        <is>
          <t>120.00K</t>
        </is>
      </c>
      <c r="F281" s="0" t="inlineStr">
        <is>
          <t>(8,</t>
        </is>
      </c>
      <c r="G281" s="0" t="inlineStr">
        <is>
          <t>1)</t>
        </is>
      </c>
      <c r="K281" s="0">
        <f>IF(H280="1)",1,IF(H280="2)",2,IF(H280="3)",3,IF(H280="4)",4,IF(H280="5)",5,IF(H280="6)",6,IF(H280="7)",7,IF(H280="8)",8,0))))))))</f>
        <v/>
      </c>
      <c r="L281" s="0">
        <f>IF(H280="1)",J280,IF(H280="2)",J280,IF(H280="3)",J280,IF(H280="4)",J280,IF(H280="5)",J280,IF(H280="6)",J280,IF(H280="7)",J280,IF(H280="8)",J280,0))))))))</f>
        <v/>
      </c>
    </row>
    <row r="282">
      <c r="A282" s="0" t="inlineStr">
        <is>
          <t>New</t>
        </is>
      </c>
      <c r="B282" s="0" t="inlineStr">
        <is>
          <t>Item</t>
        </is>
      </c>
      <c r="C282" s="0" t="inlineStr">
        <is>
          <t>Acquired</t>
        </is>
      </c>
      <c r="D282" s="0" t="inlineStr">
        <is>
          <t>:</t>
        </is>
      </c>
      <c r="E282" s="0" t="inlineStr">
        <is>
          <t>120.00K</t>
        </is>
      </c>
      <c r="F282" s="0" t="inlineStr">
        <is>
          <t>(8,</t>
        </is>
      </c>
      <c r="G282" s="0" t="inlineStr">
        <is>
          <t>6)</t>
        </is>
      </c>
      <c r="K282" s="0">
        <f>IF(H281="1)",1,IF(H281="2)",2,IF(H281="3)",3,IF(H281="4)",4,IF(H281="5)",5,IF(H281="6)",6,IF(H281="7)",7,IF(H281="8)",8,0))))))))</f>
        <v/>
      </c>
      <c r="L282" s="0">
        <f>IF(H281="1)",J281,IF(H281="2)",J281,IF(H281="3)",J281,IF(H281="4)",J281,IF(H281="5)",J281,IF(H281="6)",J281,IF(H281="7)",J281,IF(H281="8)",J281,0))))))))</f>
        <v/>
      </c>
    </row>
    <row r="283">
      <c r="A283" s="0" t="inlineStr">
        <is>
          <t>New</t>
        </is>
      </c>
      <c r="B283" s="0" t="inlineStr">
        <is>
          <t>Item</t>
        </is>
      </c>
      <c r="C283" s="0" t="inlineStr">
        <is>
          <t>Acquired</t>
        </is>
      </c>
      <c r="D283" s="0" t="inlineStr">
        <is>
          <t>:</t>
        </is>
      </c>
      <c r="E283" s="0" t="inlineStr">
        <is>
          <t>75.00K</t>
        </is>
      </c>
      <c r="F283" s="0" t="inlineStr">
        <is>
          <t>(6,</t>
        </is>
      </c>
      <c r="G283" s="0" t="inlineStr">
        <is>
          <t>3)</t>
        </is>
      </c>
      <c r="K283" s="0">
        <f>IF(H282="1)",1,IF(H282="2)",2,IF(H282="3)",3,IF(H282="4)",4,IF(H282="5)",5,IF(H282="6)",6,IF(H282="7)",7,IF(H282="8)",8,0))))))))</f>
        <v/>
      </c>
      <c r="L283" s="0">
        <f>IF(H282="1)",J282,IF(H282="2)",J282,IF(H282="3)",J282,IF(H282="4)",J282,IF(H282="5)",J282,IF(H282="6)",J282,IF(H282="7)",J282,IF(H282="8)",J282,0))))))))</f>
        <v/>
      </c>
    </row>
    <row r="284">
      <c r="A284" s="0" t="inlineStr">
        <is>
          <t>New</t>
        </is>
      </c>
      <c r="B284" s="0" t="inlineStr">
        <is>
          <t>Item</t>
        </is>
      </c>
      <c r="C284" s="0" t="inlineStr">
        <is>
          <t>Acquired</t>
        </is>
      </c>
      <c r="D284" s="0" t="inlineStr">
        <is>
          <t>:</t>
        </is>
      </c>
      <c r="E284" s="0" t="inlineStr">
        <is>
          <t>45.00K</t>
        </is>
      </c>
      <c r="F284" s="0" t="inlineStr">
        <is>
          <t>(3,</t>
        </is>
      </c>
      <c r="G284" s="0" t="inlineStr">
        <is>
          <t>5)</t>
        </is>
      </c>
      <c r="K284" s="0">
        <f>IF(H283="1)",1,IF(H283="2)",2,IF(H283="3)",3,IF(H283="4)",4,IF(H283="5)",5,IF(H283="6)",6,IF(H283="7)",7,IF(H283="8)",8,0))))))))</f>
        <v/>
      </c>
      <c r="L284" s="0">
        <f>IF(H283="1)",J283,IF(H283="2)",J283,IF(H283="3)",J283,IF(H283="4)",J283,IF(H283="5)",J283,IF(H283="6)",J283,IF(H283="7)",J283,IF(H283="8)",J283,0))))))))</f>
        <v/>
      </c>
    </row>
    <row r="285">
      <c r="A285" s="0" t="inlineStr">
        <is>
          <t>New</t>
        </is>
      </c>
      <c r="B285" s="0" t="inlineStr">
        <is>
          <t>Item</t>
        </is>
      </c>
      <c r="C285" s="0" t="inlineStr">
        <is>
          <t>Acquired</t>
        </is>
      </c>
      <c r="D285" s="0" t="inlineStr">
        <is>
          <t>:</t>
        </is>
      </c>
      <c r="E285" s="0" t="inlineStr">
        <is>
          <t>75.00K</t>
        </is>
      </c>
      <c r="F285" s="0" t="inlineStr">
        <is>
          <t>(6,</t>
        </is>
      </c>
      <c r="G285" s="0" t="inlineStr">
        <is>
          <t>21)</t>
        </is>
      </c>
      <c r="K285" s="0">
        <f>IF(H284="1)",1,IF(H284="2)",2,IF(H284="3)",3,IF(H284="4)",4,IF(H284="5)",5,IF(H284="6)",6,IF(H284="7)",7,IF(H284="8)",8,0))))))))</f>
        <v/>
      </c>
      <c r="L285" s="0">
        <f>IF(H284="1)",J284,IF(H284="2)",J284,IF(H284="3)",J284,IF(H284="4)",J284,IF(H284="5)",J284,IF(H284="6)",J284,IF(H284="7)",J284,IF(H284="8)",J284,0))))))))</f>
        <v/>
      </c>
    </row>
    <row r="286">
      <c r="A286" s="0" t="inlineStr">
        <is>
          <t>New</t>
        </is>
      </c>
      <c r="B286" s="0" t="inlineStr">
        <is>
          <t>Item</t>
        </is>
      </c>
      <c r="C286" s="0" t="inlineStr">
        <is>
          <t>Acquired</t>
        </is>
      </c>
      <c r="D286" s="0" t="inlineStr">
        <is>
          <t>:</t>
        </is>
      </c>
      <c r="E286" s="0" t="inlineStr">
        <is>
          <t>67.50K</t>
        </is>
      </c>
      <c r="F286" s="0" t="inlineStr">
        <is>
          <t>(5,</t>
        </is>
      </c>
      <c r="G286" s="0" t="inlineStr">
        <is>
          <t>11)</t>
        </is>
      </c>
      <c r="K286" s="0">
        <f>IF(H285="1)",1,IF(H285="2)",2,IF(H285="3)",3,IF(H285="4)",4,IF(H285="5)",5,IF(H285="6)",6,IF(H285="7)",7,IF(H285="8)",8,0))))))))</f>
        <v/>
      </c>
      <c r="L286" s="0">
        <f>IF(H285="1)",J285,IF(H285="2)",J285,IF(H285="3)",J285,IF(H285="4)",J285,IF(H285="5)",J285,IF(H285="6)",J285,IF(H285="7)",J285,IF(H285="8)",J285,0))))))))</f>
        <v/>
      </c>
    </row>
    <row r="287">
      <c r="A287" s="0" t="inlineStr">
        <is>
          <t>New</t>
        </is>
      </c>
      <c r="B287" s="0" t="inlineStr">
        <is>
          <t>Item</t>
        </is>
      </c>
      <c r="C287" s="0" t="inlineStr">
        <is>
          <t>Acquired</t>
        </is>
      </c>
      <c r="D287" s="0" t="inlineStr">
        <is>
          <t>:</t>
        </is>
      </c>
      <c r="E287" s="0" t="inlineStr">
        <is>
          <t>Mini</t>
        </is>
      </c>
      <c r="F287" s="0" t="inlineStr">
        <is>
          <t>(1,</t>
        </is>
      </c>
      <c r="G287" s="0" t="inlineStr">
        <is>
          <t>5)</t>
        </is>
      </c>
      <c r="K287" s="0">
        <f>IF(H286="1)",1,IF(H286="2)",2,IF(H286="3)",3,IF(H286="4)",4,IF(H286="5)",5,IF(H286="6)",6,IF(H286="7)",7,IF(H286="8)",8,0))))))))</f>
        <v/>
      </c>
      <c r="L287" s="0">
        <f>IF(H286="1)",J286,IF(H286="2)",J286,IF(H286="3)",J286,IF(H286="4)",J286,IF(H286="5)",J286,IF(H286="6)",J286,IF(H286="7)",J286,IF(H286="8)",J286,0))))))))</f>
        <v/>
      </c>
    </row>
    <row r="288">
      <c r="A288" s="0" t="inlineStr">
        <is>
          <t>New</t>
        </is>
      </c>
      <c r="B288" s="0" t="inlineStr">
        <is>
          <t>Item</t>
        </is>
      </c>
      <c r="C288" s="0" t="inlineStr">
        <is>
          <t>Acquired</t>
        </is>
      </c>
      <c r="D288" s="0" t="inlineStr">
        <is>
          <t>:</t>
        </is>
      </c>
      <c r="E288" s="0" t="inlineStr">
        <is>
          <t>70.00K</t>
        </is>
      </c>
      <c r="F288" s="0" t="inlineStr">
        <is>
          <t>(1,</t>
        </is>
      </c>
      <c r="G288" s="0" t="inlineStr">
        <is>
          <t>14)</t>
        </is>
      </c>
      <c r="K288" s="0">
        <f>IF(H287="1)",1,IF(H287="2)",2,IF(H287="3)",3,IF(H287="4)",4,IF(H287="5)",5,IF(H287="6)",6,IF(H287="7)",7,IF(H287="8)",8,0))))))))</f>
        <v/>
      </c>
      <c r="L288" s="0">
        <f>IF(H287="1)",J287,IF(H287="2)",J287,IF(H287="3)",J287,IF(H287="4)",J287,IF(H287="5)",J287,IF(H287="6)",J287,IF(H287="7)",J287,IF(H287="8)",J287,0))))))))</f>
        <v/>
      </c>
    </row>
    <row r="289">
      <c r="A289" s="0" t="inlineStr">
        <is>
          <t>New</t>
        </is>
      </c>
      <c r="B289" s="0" t="inlineStr">
        <is>
          <t>Item</t>
        </is>
      </c>
      <c r="C289" s="0" t="inlineStr">
        <is>
          <t>Acquired</t>
        </is>
      </c>
      <c r="D289" s="0" t="inlineStr">
        <is>
          <t>:</t>
        </is>
      </c>
      <c r="E289" s="0" t="inlineStr">
        <is>
          <t>30.00K</t>
        </is>
      </c>
      <c r="F289" s="0" t="inlineStr">
        <is>
          <t>(1,</t>
        </is>
      </c>
      <c r="G289" s="0" t="inlineStr">
        <is>
          <t>21)</t>
        </is>
      </c>
      <c r="K289" s="0">
        <f>IF(H288="1)",1,IF(H288="2)",2,IF(H288="3)",3,IF(H288="4)",4,IF(H288="5)",5,IF(H288="6)",6,IF(H288="7)",7,IF(H288="8)",8,0))))))))</f>
        <v/>
      </c>
      <c r="L289" s="0">
        <f>IF(H288="1)",J288,IF(H288="2)",J288,IF(H288="3)",J288,IF(H288="4)",J288,IF(H288="5)",J288,IF(H288="6)",J288,IF(H288="7)",J288,IF(H288="8)",J288,0))))))))</f>
        <v/>
      </c>
    </row>
    <row r="290">
      <c r="A290" s="0" t="inlineStr">
        <is>
          <t>New</t>
        </is>
      </c>
      <c r="B290" s="0" t="inlineStr">
        <is>
          <t>Item</t>
        </is>
      </c>
      <c r="C290" s="0" t="inlineStr">
        <is>
          <t>Acquired</t>
        </is>
      </c>
      <c r="D290" s="0" t="inlineStr">
        <is>
          <t>:</t>
        </is>
      </c>
      <c r="E290" s="0" t="inlineStr">
        <is>
          <t>Minor</t>
        </is>
      </c>
      <c r="F290" s="0" t="inlineStr">
        <is>
          <t>(1,</t>
        </is>
      </c>
      <c r="G290" s="0" t="inlineStr">
        <is>
          <t>1)</t>
        </is>
      </c>
      <c r="K290" s="0">
        <f>IF(H289="1)",1,IF(H289="2)",2,IF(H289="3)",3,IF(H289="4)",4,IF(H289="5)",5,IF(H289="6)",6,IF(H289="7)",7,IF(H289="8)",8,0))))))))</f>
        <v/>
      </c>
      <c r="L290" s="0">
        <f>IF(H289="1)",J289,IF(H289="2)",J289,IF(H289="3)",J289,IF(H289="4)",J289,IF(H289="5)",J289,IF(H289="6)",J289,IF(H289="7)",J289,IF(H289="8)",J289,0))))))))</f>
        <v/>
      </c>
    </row>
    <row r="291">
      <c r="A291" s="0" t="inlineStr">
        <is>
          <t>New</t>
        </is>
      </c>
      <c r="B291" s="0" t="inlineStr">
        <is>
          <t>Item</t>
        </is>
      </c>
      <c r="C291" s="0" t="inlineStr">
        <is>
          <t>Acquired</t>
        </is>
      </c>
      <c r="D291" s="0" t="inlineStr">
        <is>
          <t>:</t>
        </is>
      </c>
      <c r="E291" s="0" t="inlineStr">
        <is>
          <t>105.00K</t>
        </is>
      </c>
      <c r="F291" s="0" t="inlineStr">
        <is>
          <t>(3,</t>
        </is>
      </c>
      <c r="G291" s="0" t="inlineStr">
        <is>
          <t>24)</t>
        </is>
      </c>
      <c r="K291" s="0">
        <f>IF(H290="1)",1,IF(H290="2)",2,IF(H290="3)",3,IF(H290="4)",4,IF(H290="5)",5,IF(H290="6)",6,IF(H290="7)",7,IF(H290="8)",8,0))))))))</f>
        <v/>
      </c>
      <c r="L291" s="0">
        <f>IF(H290="1)",J290,IF(H290="2)",J290,IF(H290="3)",J290,IF(H290="4)",J290,IF(H290="5)",J290,IF(H290="6)",J290,IF(H290="7)",J290,IF(H290="8)",J290,0))))))))</f>
        <v/>
      </c>
    </row>
    <row r="292">
      <c r="A292" s="0" t="inlineStr">
        <is>
          <t>New</t>
        </is>
      </c>
      <c r="B292" s="0" t="inlineStr">
        <is>
          <t>Item</t>
        </is>
      </c>
      <c r="C292" s="0" t="inlineStr">
        <is>
          <t>Acquired</t>
        </is>
      </c>
      <c r="D292" s="0" t="inlineStr">
        <is>
          <t>:</t>
        </is>
      </c>
      <c r="E292" s="0" t="inlineStr">
        <is>
          <t>280.00K</t>
        </is>
      </c>
      <c r="F292" s="0" t="inlineStr">
        <is>
          <t>(8,</t>
        </is>
      </c>
      <c r="G292" s="0" t="inlineStr">
        <is>
          <t>18)</t>
        </is>
      </c>
      <c r="K292" s="0">
        <f>IF(H291="1)",1,IF(H291="2)",2,IF(H291="3)",3,IF(H291="4)",4,IF(H291="5)",5,IF(H291="6)",6,IF(H291="7)",7,IF(H291="8)",8,0))))))))</f>
        <v/>
      </c>
      <c r="L292" s="0">
        <f>IF(H291="1)",J291,IF(H291="2)",J291,IF(H291="3)",J291,IF(H291="4)",J291,IF(H291="5)",J291,IF(H291="6)",J291,IF(H291="7)",J291,IF(H291="8)",J291,0))))))))</f>
        <v/>
      </c>
    </row>
    <row r="293">
      <c r="A293" s="0" t="inlineStr">
        <is>
          <t>New</t>
        </is>
      </c>
      <c r="B293" s="0" t="inlineStr">
        <is>
          <t>Item</t>
        </is>
      </c>
      <c r="C293" s="0" t="inlineStr">
        <is>
          <t>Acquired</t>
        </is>
      </c>
      <c r="D293" s="0" t="inlineStr">
        <is>
          <t>:</t>
        </is>
      </c>
      <c r="E293" s="0" t="inlineStr">
        <is>
          <t>75.00K</t>
        </is>
      </c>
      <c r="F293" s="0" t="inlineStr">
        <is>
          <t>(3,</t>
        </is>
      </c>
      <c r="G293" s="0" t="inlineStr">
        <is>
          <t>6)</t>
        </is>
      </c>
      <c r="K293" s="0">
        <f>IF(H292="1)",1,IF(H292="2)",2,IF(H292="3)",3,IF(H292="4)",4,IF(H292="5)",5,IF(H292="6)",6,IF(H292="7)",7,IF(H292="8)",8,0))))))))</f>
        <v/>
      </c>
      <c r="L293" s="0">
        <f>IF(H292="1)",J292,IF(H292="2)",J292,IF(H292="3)",J292,IF(H292="4)",J292,IF(H292="5)",J292,IF(H292="6)",J292,IF(H292="7)",J292,IF(H292="8)",J292,0))))))))</f>
        <v/>
      </c>
    </row>
    <row r="294">
      <c r="A294" s="0" t="inlineStr">
        <is>
          <t>New</t>
        </is>
      </c>
      <c r="B294" s="0" t="inlineStr">
        <is>
          <t>Item</t>
        </is>
      </c>
      <c r="C294" s="0" t="inlineStr">
        <is>
          <t>Acquired</t>
        </is>
      </c>
      <c r="D294" s="0" t="inlineStr">
        <is>
          <t>:</t>
        </is>
      </c>
      <c r="E294" s="0" t="inlineStr">
        <is>
          <t>112.50K</t>
        </is>
      </c>
      <c r="F294" s="0" t="inlineStr">
        <is>
          <t>(5,</t>
        </is>
      </c>
      <c r="G294" s="0" t="inlineStr">
        <is>
          <t>4)</t>
        </is>
      </c>
      <c r="K294" s="0">
        <f>IF(H293="1)",1,IF(H293="2)",2,IF(H293="3)",3,IF(H293="4)",4,IF(H293="5)",5,IF(H293="6)",6,IF(H293="7)",7,IF(H293="8)",8,0))))))))</f>
        <v/>
      </c>
      <c r="L294" s="0">
        <f>IF(H293="1)",J293,IF(H293="2)",J293,IF(H293="3)",J293,IF(H293="4)",J293,IF(H293="5)",J293,IF(H293="6)",J293,IF(H293="7)",J293,IF(H293="8)",J293,0))))))))</f>
        <v/>
      </c>
    </row>
    <row r="295">
      <c r="A295" s="0" t="inlineStr">
        <is>
          <t>New</t>
        </is>
      </c>
      <c r="B295" s="0" t="inlineStr">
        <is>
          <t>Item</t>
        </is>
      </c>
      <c r="C295" s="0" t="inlineStr">
        <is>
          <t>Acquired</t>
        </is>
      </c>
      <c r="D295" s="0" t="inlineStr">
        <is>
          <t>:</t>
        </is>
      </c>
      <c r="E295" s="0" t="inlineStr">
        <is>
          <t>37.50K</t>
        </is>
      </c>
      <c r="F295" s="0" t="inlineStr">
        <is>
          <t>(2,</t>
        </is>
      </c>
      <c r="G295" s="0" t="inlineStr">
        <is>
          <t>18)</t>
        </is>
      </c>
      <c r="K295" s="0">
        <f>IF(H294="1)",1,IF(H294="2)",2,IF(H294="3)",3,IF(H294="4)",4,IF(H294="5)",5,IF(H294="6)",6,IF(H294="7)",7,IF(H294="8)",8,0))))))))</f>
        <v/>
      </c>
      <c r="L295" s="0">
        <f>IF(H294="1)",J294,IF(H294="2)",J294,IF(H294="3)",J294,IF(H294="4)",J294,IF(H294="5)",J294,IF(H294="6)",J294,IF(H294="7)",J294,IF(H294="8)",J294,0))))))))</f>
        <v/>
      </c>
    </row>
    <row r="296">
      <c r="A296" s="0" t="inlineStr">
        <is>
          <t>New</t>
        </is>
      </c>
      <c r="B296" s="0" t="inlineStr">
        <is>
          <t>Item</t>
        </is>
      </c>
      <c r="C296" s="0" t="inlineStr">
        <is>
          <t>Acquired</t>
        </is>
      </c>
      <c r="D296" s="0" t="inlineStr">
        <is>
          <t>:</t>
        </is>
      </c>
      <c r="E296" s="0" t="inlineStr">
        <is>
          <t>60.00K</t>
        </is>
      </c>
      <c r="F296" s="0" t="inlineStr">
        <is>
          <t>(4,</t>
        </is>
      </c>
      <c r="G296" s="0" t="inlineStr">
        <is>
          <t>6)</t>
        </is>
      </c>
      <c r="K296" s="0">
        <f>IF(H295="1)",1,IF(H295="2)",2,IF(H295="3)",3,IF(H295="4)",4,IF(H295="5)",5,IF(H295="6)",6,IF(H295="7)",7,IF(H295="8)",8,0))))))))</f>
        <v/>
      </c>
      <c r="L296" s="0">
        <f>IF(H295="1)",J295,IF(H295="2)",J295,IF(H295="3)",J295,IF(H295="4)",J295,IF(H295="5)",J295,IF(H295="6)",J295,IF(H295="7)",J295,IF(H295="8)",J295,0))))))))</f>
        <v/>
      </c>
    </row>
    <row r="297">
      <c r="A297" s="0" t="inlineStr">
        <is>
          <t>New</t>
        </is>
      </c>
      <c r="B297" s="0" t="inlineStr">
        <is>
          <t>Item</t>
        </is>
      </c>
      <c r="C297" s="0" t="inlineStr">
        <is>
          <t>Acquired</t>
        </is>
      </c>
      <c r="D297" s="0" t="inlineStr">
        <is>
          <t>:</t>
        </is>
      </c>
      <c r="E297" s="0" t="inlineStr">
        <is>
          <t>280.00K</t>
        </is>
      </c>
      <c r="F297" s="0" t="inlineStr">
        <is>
          <t>(8,</t>
        </is>
      </c>
      <c r="G297" s="0" t="inlineStr">
        <is>
          <t>21)</t>
        </is>
      </c>
      <c r="K297" s="0">
        <f>IF(H296="1)",1,IF(H296="2)",2,IF(H296="3)",3,IF(H296="4)",4,IF(H296="5)",5,IF(H296="6)",6,IF(H296="7)",7,IF(H296="8)",8,0))))))))</f>
        <v/>
      </c>
      <c r="L297" s="0">
        <f>IF(H296="1)",J296,IF(H296="2)",J296,IF(H296="3)",J296,IF(H296="4)",J296,IF(H296="5)",J296,IF(H296="6)",J296,IF(H296="7)",J296,IF(H296="8)",J296,0))))))))</f>
        <v/>
      </c>
    </row>
    <row r="298">
      <c r="A298" s="0" t="inlineStr">
        <is>
          <t>New</t>
        </is>
      </c>
      <c r="B298" s="0" t="inlineStr">
        <is>
          <t>Item</t>
        </is>
      </c>
      <c r="C298" s="0" t="inlineStr">
        <is>
          <t>Acquired</t>
        </is>
      </c>
      <c r="D298" s="0" t="inlineStr">
        <is>
          <t>:</t>
        </is>
      </c>
      <c r="E298" s="0" t="inlineStr">
        <is>
          <t>105.00K</t>
        </is>
      </c>
      <c r="F298" s="0" t="inlineStr">
        <is>
          <t>(4,</t>
        </is>
      </c>
      <c r="G298" s="0" t="inlineStr">
        <is>
          <t>20)</t>
        </is>
      </c>
      <c r="K298" s="0">
        <f>IF(H297="1)",1,IF(H297="2)",2,IF(H297="3)",3,IF(H297="4)",4,IF(H297="5)",5,IF(H297="6)",6,IF(H297="7)",7,IF(H297="8)",8,0))))))))</f>
        <v/>
      </c>
      <c r="L298" s="0">
        <f>IF(H297="1)",J297,IF(H297="2)",J297,IF(H297="3)",J297,IF(H297="4)",J297,IF(H297="5)",J297,IF(H297="6)",J297,IF(H297="7)",J297,IF(H297="8)",J297,0))))))))</f>
        <v/>
      </c>
    </row>
    <row r="299">
      <c r="A299" s="0" t="inlineStr">
        <is>
          <t>New</t>
        </is>
      </c>
      <c r="B299" s="0" t="inlineStr">
        <is>
          <t>Item</t>
        </is>
      </c>
      <c r="C299" s="0" t="inlineStr">
        <is>
          <t>Acquired</t>
        </is>
      </c>
      <c r="D299" s="0" t="inlineStr">
        <is>
          <t>:</t>
        </is>
      </c>
      <c r="E299" s="0" t="inlineStr">
        <is>
          <t>280.00K</t>
        </is>
      </c>
      <c r="F299" s="0" t="inlineStr">
        <is>
          <t>(8,</t>
        </is>
      </c>
      <c r="G299" s="0" t="inlineStr">
        <is>
          <t>7)</t>
        </is>
      </c>
      <c r="K299" s="0">
        <f>IF(H298="1)",1,IF(H298="2)",2,IF(H298="3)",3,IF(H298="4)",4,IF(H298="5)",5,IF(H298="6)",6,IF(H298="7)",7,IF(H298="8)",8,0))))))))</f>
        <v/>
      </c>
      <c r="L299" s="0">
        <f>IF(H298="1)",J298,IF(H298="2)",J298,IF(H298="3)",J298,IF(H298="4)",J298,IF(H298="5)",J298,IF(H298="6)",J298,IF(H298="7)",J298,IF(H298="8)",J298,0))))))))</f>
        <v/>
      </c>
    </row>
    <row r="300">
      <c r="A300" s="0" t="inlineStr">
        <is>
          <t>New</t>
        </is>
      </c>
      <c r="B300" s="0" t="inlineStr">
        <is>
          <t>Item</t>
        </is>
      </c>
      <c r="C300" s="0" t="inlineStr">
        <is>
          <t>Acquired</t>
        </is>
      </c>
      <c r="D300" s="0" t="inlineStr">
        <is>
          <t>:</t>
        </is>
      </c>
      <c r="E300" s="0" t="inlineStr">
        <is>
          <t>175.00K</t>
        </is>
      </c>
      <c r="F300" s="0" t="inlineStr">
        <is>
          <t>(6,</t>
        </is>
      </c>
      <c r="G300" s="0" t="inlineStr">
        <is>
          <t>11)</t>
        </is>
      </c>
      <c r="K300" s="0">
        <f>IF(H299="1)",1,IF(H299="2)",2,IF(H299="3)",3,IF(H299="4)",4,IF(H299="5)",5,IF(H299="6)",6,IF(H299="7)",7,IF(H299="8)",8,0))))))))</f>
        <v/>
      </c>
      <c r="L300" s="0">
        <f>IF(H299="1)",J299,IF(H299="2)",J299,IF(H299="3)",J299,IF(H299="4)",J299,IF(H299="5)",J299,IF(H299="6)",J299,IF(H299="7)",J299,IF(H299="8)",J299,0))))))))</f>
        <v/>
      </c>
    </row>
    <row r="301">
      <c r="A301" s="0" t="inlineStr">
        <is>
          <t>New</t>
        </is>
      </c>
      <c r="B301" s="0" t="inlineStr">
        <is>
          <t>Item</t>
        </is>
      </c>
      <c r="C301" s="0" t="inlineStr">
        <is>
          <t>Acquired</t>
        </is>
      </c>
      <c r="D301" s="0" t="inlineStr">
        <is>
          <t>:</t>
        </is>
      </c>
      <c r="E301" s="0" t="inlineStr">
        <is>
          <t>62.50K</t>
        </is>
      </c>
      <c r="F301" s="0" t="inlineStr">
        <is>
          <t>(2,</t>
        </is>
      </c>
      <c r="G301" s="0" t="inlineStr">
        <is>
          <t>22)</t>
        </is>
      </c>
      <c r="K301" s="0">
        <f>IF(H300="1)",1,IF(H300="2)",2,IF(H300="3)",3,IF(H300="4)",4,IF(H300="5)",5,IF(H300="6)",6,IF(H300="7)",7,IF(H300="8)",8,0))))))))</f>
        <v/>
      </c>
      <c r="L301" s="0">
        <f>IF(H300="1)",J300,IF(H300="2)",J300,IF(H300="3)",J300,IF(H300="4)",J300,IF(H300="5)",J300,IF(H300="6)",J300,IF(H300="7)",J300,IF(H300="8)",J300,0))))))))</f>
        <v/>
      </c>
    </row>
    <row r="302">
      <c r="A302" s="0" t="inlineStr">
        <is>
          <t>New</t>
        </is>
      </c>
      <c r="B302" s="0" t="inlineStr">
        <is>
          <t>Item</t>
        </is>
      </c>
      <c r="C302" s="0" t="inlineStr">
        <is>
          <t>Acquired</t>
        </is>
      </c>
      <c r="D302" s="0" t="inlineStr">
        <is>
          <t>:</t>
        </is>
      </c>
      <c r="E302" s="0" t="inlineStr">
        <is>
          <t>75.00K</t>
        </is>
      </c>
      <c r="F302" s="0" t="inlineStr">
        <is>
          <t>(3,</t>
        </is>
      </c>
      <c r="G302" s="0" t="inlineStr">
        <is>
          <t>1)</t>
        </is>
      </c>
      <c r="K302" s="0">
        <f>IF(H301="1)",1,IF(H301="2)",2,IF(H301="3)",3,IF(H301="4)",4,IF(H301="5)",5,IF(H301="6)",6,IF(H301="7)",7,IF(H301="8)",8,0))))))))</f>
        <v/>
      </c>
      <c r="L302" s="0">
        <f>IF(H301="1)",J301,IF(H301="2)",J301,IF(H301="3)",J301,IF(H301="4)",J301,IF(H301="5)",J301,IF(H301="6)",J301,IF(H301="7)",J301,IF(H301="8)",J301,0))))))))</f>
        <v/>
      </c>
    </row>
    <row r="303">
      <c r="A303" s="0" t="inlineStr">
        <is>
          <t>New</t>
        </is>
      </c>
      <c r="B303" s="0" t="inlineStr">
        <is>
          <t>Item</t>
        </is>
      </c>
      <c r="C303" s="0" t="inlineStr">
        <is>
          <t>Acquired</t>
        </is>
      </c>
      <c r="D303" s="0" t="inlineStr">
        <is>
          <t>:</t>
        </is>
      </c>
      <c r="E303" s="0" t="inlineStr">
        <is>
          <t>45.00K</t>
        </is>
      </c>
      <c r="F303" s="0" t="inlineStr">
        <is>
          <t>(3,</t>
        </is>
      </c>
      <c r="G303" s="0" t="inlineStr">
        <is>
          <t>4)</t>
        </is>
      </c>
      <c r="K303" s="0">
        <f>IF(H302="1)",1,IF(H302="2)",2,IF(H302="3)",3,IF(H302="4)",4,IF(H302="5)",5,IF(H302="6)",6,IF(H302="7)",7,IF(H302="8)",8,0))))))))</f>
        <v/>
      </c>
      <c r="L303" s="0">
        <f>IF(H302="1)",J302,IF(H302="2)",J302,IF(H302="3)",J302,IF(H302="4)",J302,IF(H302="5)",J302,IF(H302="6)",J302,IF(H302="7)",J302,IF(H302="8)",J302,0))))))))</f>
        <v/>
      </c>
    </row>
    <row r="304">
      <c r="A304" s="0" t="inlineStr">
        <is>
          <t>New</t>
        </is>
      </c>
      <c r="B304" s="0" t="inlineStr">
        <is>
          <t>Item</t>
        </is>
      </c>
      <c r="C304" s="0" t="inlineStr">
        <is>
          <t>Acquired</t>
        </is>
      </c>
      <c r="D304" s="0" t="inlineStr">
        <is>
          <t>:</t>
        </is>
      </c>
      <c r="E304" s="0" t="inlineStr">
        <is>
          <t>200.00K</t>
        </is>
      </c>
      <c r="F304" s="0" t="inlineStr">
        <is>
          <t>(8,</t>
        </is>
      </c>
      <c r="G304" s="0" t="inlineStr">
        <is>
          <t>16)</t>
        </is>
      </c>
      <c r="K304" s="0">
        <f>IF(H303="1)",1,IF(H303="2)",2,IF(H303="3)",3,IF(H303="4)",4,IF(H303="5)",5,IF(H303="6)",6,IF(H303="7)",7,IF(H303="8)",8,0))))))))</f>
        <v/>
      </c>
      <c r="L304" s="0">
        <f>IF(H303="1)",J303,IF(H303="2)",J303,IF(H303="3)",J303,IF(H303="4)",J303,IF(H303="5)",J303,IF(H303="6)",J303,IF(H303="7)",J303,IF(H303="8)",J303,0))))))))</f>
        <v/>
      </c>
    </row>
    <row r="305">
      <c r="A305" s="0" t="inlineStr">
        <is>
          <t>Line</t>
        </is>
      </c>
      <c r="B305" s="0" t="inlineStr">
        <is>
          <t>Prize</t>
        </is>
      </c>
      <c r="C305" s="0" t="inlineStr">
        <is>
          <t>Acquired</t>
        </is>
      </c>
      <c r="D305" s="0" t="inlineStr">
        <is>
          <t>:</t>
        </is>
      </c>
      <c r="E305" s="0" t="inlineStr">
        <is>
          <t>840.00K</t>
        </is>
      </c>
      <c r="F305" s="0" t="inlineStr">
        <is>
          <t>(Stage</t>
        </is>
      </c>
      <c r="G305" s="0" t="inlineStr">
        <is>
          <t>:</t>
        </is>
      </c>
      <c r="H305" s="0" t="inlineStr">
        <is>
          <t>8)</t>
        </is>
      </c>
      <c r="I305" s="0" t="inlineStr">
        <is>
          <t>-</t>
        </is>
      </c>
      <c r="J305" s="0" t="n">
        <v>840000</v>
      </c>
      <c r="K305" s="0">
        <f>IF(H304="1)",1,IF(H304="2)",2,IF(H304="3)",3,IF(H304="4)",4,IF(H304="5)",5,IF(H304="6)",6,IF(H304="7)",7,IF(H304="8)",8,0))))))))</f>
        <v/>
      </c>
      <c r="L305" s="0">
        <f>IF(H304="1)",J304,IF(H304="2)",J304,IF(H304="3)",J304,IF(H304="4)",J304,IF(H304="5)",J304,IF(H304="6)",J304,IF(H304="7)",J304,IF(H304="8)",J304,0))))))))</f>
        <v/>
      </c>
    </row>
    <row r="306">
      <c r="A306" s="0" t="inlineStr">
        <is>
          <t>Clear</t>
        </is>
      </c>
      <c r="B306" s="0" t="inlineStr">
        <is>
          <t>Gem</t>
        </is>
      </c>
      <c r="C306" s="0" t="inlineStr">
        <is>
          <t>Acquired</t>
        </is>
      </c>
      <c r="D306" s="0" t="inlineStr">
        <is>
          <t>:</t>
        </is>
      </c>
      <c r="E306" s="0" t="n">
        <v>1500</v>
      </c>
      <c r="F306" s="0" t="inlineStr">
        <is>
          <t>-&gt;</t>
        </is>
      </c>
      <c r="G306" s="0" t="n">
        <v>1600</v>
      </c>
      <c r="H306" s="0" t="inlineStr">
        <is>
          <t>(Stage</t>
        </is>
      </c>
      <c r="I306" s="0" t="inlineStr">
        <is>
          <t>:</t>
        </is>
      </c>
      <c r="J306" s="0" t="inlineStr">
        <is>
          <t>8)</t>
        </is>
      </c>
      <c r="K306" s="0">
        <f>IF(H305="1)",1,IF(H305="2)",2,IF(H305="3)",3,IF(H305="4)",4,IF(H305="5)",5,IF(H305="6)",6,IF(H305="7)",7,IF(H305="8)",8,0))))))))</f>
        <v/>
      </c>
      <c r="L306" s="0">
        <f>IF(H305="1)",J305,IF(H305="2)",J305,IF(H305="3)",J305,IF(H305="4)",J305,IF(H305="5)",J305,IF(H305="6)",J305,IF(H305="7)",J305,IF(H305="8)",J305,0))))))))</f>
        <v/>
      </c>
    </row>
    <row r="307">
      <c r="A307" s="0" t="inlineStr">
        <is>
          <t>New</t>
        </is>
      </c>
      <c r="B307" s="0" t="inlineStr">
        <is>
          <t>Item</t>
        </is>
      </c>
      <c r="C307" s="0" t="inlineStr">
        <is>
          <t>Acquired</t>
        </is>
      </c>
      <c r="D307" s="0" t="inlineStr">
        <is>
          <t>:</t>
        </is>
      </c>
      <c r="E307" s="0" t="inlineStr">
        <is>
          <t>125.00K</t>
        </is>
      </c>
      <c r="F307" s="0" t="inlineStr">
        <is>
          <t>(6,</t>
        </is>
      </c>
      <c r="G307" s="0" t="inlineStr">
        <is>
          <t>15)</t>
        </is>
      </c>
      <c r="K307" s="0">
        <f>IF(H306="1)",1,IF(H306="2)",2,IF(H306="3)",3,IF(H306="4)",4,IF(H306="5)",5,IF(H306="6)",6,IF(H306="7)",7,IF(H306="8)",8,0))))))))</f>
        <v/>
      </c>
      <c r="L307" s="0">
        <f>IF(H306="1)",J306,IF(H306="2)",J306,IF(H306="3)",J306,IF(H306="4)",J306,IF(H306="5)",J306,IF(H306="6)",J306,IF(H306="7)",J306,IF(H306="8)",J306,0))))))))</f>
        <v/>
      </c>
    </row>
    <row r="308">
      <c r="A308" s="0" t="inlineStr">
        <is>
          <t>New</t>
        </is>
      </c>
      <c r="B308" s="0" t="inlineStr">
        <is>
          <t>Item</t>
        </is>
      </c>
      <c r="C308" s="0" t="inlineStr">
        <is>
          <t>Acquired</t>
        </is>
      </c>
      <c r="D308" s="0" t="inlineStr">
        <is>
          <t>:</t>
        </is>
      </c>
      <c r="E308" s="0" t="inlineStr">
        <is>
          <t>67.50K</t>
        </is>
      </c>
      <c r="F308" s="0" t="inlineStr">
        <is>
          <t>(5,</t>
        </is>
      </c>
      <c r="G308" s="0" t="inlineStr">
        <is>
          <t>12)</t>
        </is>
      </c>
      <c r="K308" s="0">
        <f>IF(H307="1)",1,IF(H307="2)",2,IF(H307="3)",3,IF(H307="4)",4,IF(H307="5)",5,IF(H307="6)",6,IF(H307="7)",7,IF(H307="8)",8,0))))))))</f>
        <v/>
      </c>
      <c r="L308" s="0">
        <f>IF(H307="1)",J307,IF(H307="2)",J307,IF(H307="3)",J307,IF(H307="4)",J307,IF(H307="5)",J307,IF(H307="6)",J307,IF(H307="7)",J307,IF(H307="8)",J307,0))))))))</f>
        <v/>
      </c>
    </row>
    <row r="309">
      <c r="A309" s="0" t="inlineStr">
        <is>
          <t>New</t>
        </is>
      </c>
      <c r="B309" s="0" t="inlineStr">
        <is>
          <t>Item</t>
        </is>
      </c>
      <c r="C309" s="0" t="inlineStr">
        <is>
          <t>Acquired</t>
        </is>
      </c>
      <c r="D309" s="0" t="inlineStr">
        <is>
          <t>:</t>
        </is>
      </c>
      <c r="E309" s="0" t="inlineStr">
        <is>
          <t>200.00K</t>
        </is>
      </c>
      <c r="F309" s="0" t="inlineStr">
        <is>
          <t>(8,</t>
        </is>
      </c>
      <c r="G309" s="0" t="inlineStr">
        <is>
          <t>3)</t>
        </is>
      </c>
      <c r="K309" s="0">
        <f>IF(H308="1)",1,IF(H308="2)",2,IF(H308="3)",3,IF(H308="4)",4,IF(H308="5)",5,IF(H308="6)",6,IF(H308="7)",7,IF(H308="8)",8,0))))))))</f>
        <v/>
      </c>
      <c r="L309" s="0">
        <f>IF(H308="1)",J308,IF(H308="2)",J308,IF(H308="3)",J308,IF(H308="4)",J308,IF(H308="5)",J308,IF(H308="6)",J308,IF(H308="7)",J308,IF(H308="8)",J308,0))))))))</f>
        <v/>
      </c>
    </row>
    <row r="310">
      <c r="A310" s="0" t="inlineStr">
        <is>
          <t>New</t>
        </is>
      </c>
      <c r="B310" s="0" t="inlineStr">
        <is>
          <t>Item</t>
        </is>
      </c>
      <c r="C310" s="0" t="inlineStr">
        <is>
          <t>Acquired</t>
        </is>
      </c>
      <c r="D310" s="0" t="inlineStr">
        <is>
          <t>:</t>
        </is>
      </c>
      <c r="E310" s="0" t="inlineStr">
        <is>
          <t>Minor</t>
        </is>
      </c>
      <c r="F310" s="0" t="inlineStr">
        <is>
          <t>(5,</t>
        </is>
      </c>
      <c r="G310" s="0" t="inlineStr">
        <is>
          <t>15)</t>
        </is>
      </c>
      <c r="K310" s="0">
        <f>IF(H309="1)",1,IF(H309="2)",2,IF(H309="3)",3,IF(H309="4)",4,IF(H309="5)",5,IF(H309="6)",6,IF(H309="7)",7,IF(H309="8)",8,0))))))))</f>
        <v/>
      </c>
      <c r="L310" s="0">
        <f>IF(H309="1)",J309,IF(H309="2)",J309,IF(H309="3)",J309,IF(H309="4)",J309,IF(H309="5)",J309,IF(H309="6)",J309,IF(H309="7)",J309,IF(H309="8)",J309,0))))))))</f>
        <v/>
      </c>
    </row>
    <row r="311">
      <c r="A311" s="0" t="inlineStr">
        <is>
          <t>New</t>
        </is>
      </c>
      <c r="B311" s="0" t="inlineStr">
        <is>
          <t>Item</t>
        </is>
      </c>
      <c r="C311" s="0" t="inlineStr">
        <is>
          <t>Acquired</t>
        </is>
      </c>
      <c r="D311" s="0" t="inlineStr">
        <is>
          <t>:</t>
        </is>
      </c>
      <c r="E311" s="0" t="inlineStr">
        <is>
          <t>Minor</t>
        </is>
      </c>
      <c r="F311" s="0" t="inlineStr">
        <is>
          <t>(1,</t>
        </is>
      </c>
      <c r="G311" s="0" t="inlineStr">
        <is>
          <t>20)</t>
        </is>
      </c>
      <c r="K311" s="0">
        <f>IF(H310="1)",1,IF(H310="2)",2,IF(H310="3)",3,IF(H310="4)",4,IF(H310="5)",5,IF(H310="6)",6,IF(H310="7)",7,IF(H310="8)",8,0))))))))</f>
        <v/>
      </c>
      <c r="L311" s="0">
        <f>IF(H310="1)",J310,IF(H310="2)",J310,IF(H310="3)",J310,IF(H310="4)",J310,IF(H310="5)",J310,IF(H310="6)",J310,IF(H310="7)",J310,IF(H310="8)",J310,0))))))))</f>
        <v/>
      </c>
    </row>
    <row r="312">
      <c r="A312" s="0" t="inlineStr">
        <is>
          <t>New</t>
        </is>
      </c>
      <c r="B312" s="0" t="inlineStr">
        <is>
          <t>Item</t>
        </is>
      </c>
      <c r="C312" s="0" t="inlineStr">
        <is>
          <t>Acquired</t>
        </is>
      </c>
      <c r="D312" s="0" t="inlineStr">
        <is>
          <t>:</t>
        </is>
      </c>
      <c r="E312" s="0" t="inlineStr">
        <is>
          <t>175.00K</t>
        </is>
      </c>
      <c r="F312" s="0" t="inlineStr">
        <is>
          <t>(6,</t>
        </is>
      </c>
      <c r="G312" s="0" t="inlineStr">
        <is>
          <t>17)</t>
        </is>
      </c>
      <c r="K312" s="0">
        <f>IF(H311="1)",1,IF(H311="2)",2,IF(H311="3)",3,IF(H311="4)",4,IF(H311="5)",5,IF(H311="6)",6,IF(H311="7)",7,IF(H311="8)",8,0))))))))</f>
        <v/>
      </c>
      <c r="L312" s="0">
        <f>IF(H311="1)",J311,IF(H311="2)",J311,IF(H311="3)",J311,IF(H311="4)",J311,IF(H311="5)",J311,IF(H311="6)",J311,IF(H311="7)",J311,IF(H311="8)",J311,0))))))))</f>
        <v/>
      </c>
    </row>
    <row r="313">
      <c r="A313" s="0" t="inlineStr">
        <is>
          <t>New</t>
        </is>
      </c>
      <c r="B313" s="0" t="inlineStr">
        <is>
          <t>Item</t>
        </is>
      </c>
      <c r="C313" s="0" t="inlineStr">
        <is>
          <t>Acquired</t>
        </is>
      </c>
      <c r="D313" s="0" t="inlineStr">
        <is>
          <t>:</t>
        </is>
      </c>
      <c r="E313" s="0" t="inlineStr">
        <is>
          <t>105.00K</t>
        </is>
      </c>
      <c r="F313" s="0" t="inlineStr">
        <is>
          <t>(4,</t>
        </is>
      </c>
      <c r="G313" s="0" t="inlineStr">
        <is>
          <t>22)</t>
        </is>
      </c>
      <c r="K313" s="0">
        <f>IF(H312="1)",1,IF(H312="2)",2,IF(H312="3)",3,IF(H312="4)",4,IF(H312="5)",5,IF(H312="6)",6,IF(H312="7)",7,IF(H312="8)",8,0))))))))</f>
        <v/>
      </c>
      <c r="L313" s="0">
        <f>IF(H312="1)",J312,IF(H312="2)",J312,IF(H312="3)",J312,IF(H312="4)",J312,IF(H312="5)",J312,IF(H312="6)",J312,IF(H312="7)",J312,IF(H312="8)",J312,0))))))))</f>
        <v/>
      </c>
    </row>
    <row r="314">
      <c r="A314" s="0" t="inlineStr">
        <is>
          <t>New</t>
        </is>
      </c>
      <c r="B314" s="0" t="inlineStr">
        <is>
          <t>Item</t>
        </is>
      </c>
      <c r="C314" s="0" t="inlineStr">
        <is>
          <t>Acquired</t>
        </is>
      </c>
      <c r="D314" s="0" t="inlineStr">
        <is>
          <t>:</t>
        </is>
      </c>
      <c r="E314" s="0" t="inlineStr">
        <is>
          <t>90.00K</t>
        </is>
      </c>
      <c r="F314" s="0" t="inlineStr">
        <is>
          <t>(7,</t>
        </is>
      </c>
      <c r="G314" s="0" t="inlineStr">
        <is>
          <t>5)</t>
        </is>
      </c>
      <c r="K314" s="0">
        <f>IF(H313="1)",1,IF(H313="2)",2,IF(H313="3)",3,IF(H313="4)",4,IF(H313="5)",5,IF(H313="6)",6,IF(H313="7)",7,IF(H313="8)",8,0))))))))</f>
        <v/>
      </c>
      <c r="L314" s="0">
        <f>IF(H313="1)",J313,IF(H313="2)",J313,IF(H313="3)",J313,IF(H313="4)",J313,IF(H313="5)",J313,IF(H313="6)",J313,IF(H313="7)",J313,IF(H313="8)",J313,0))))))))</f>
        <v/>
      </c>
    </row>
    <row r="315">
      <c r="A315" s="0" t="inlineStr">
        <is>
          <t>New</t>
        </is>
      </c>
      <c r="B315" s="0" t="inlineStr">
        <is>
          <t>Item</t>
        </is>
      </c>
      <c r="C315" s="0" t="inlineStr">
        <is>
          <t>Acquired</t>
        </is>
      </c>
      <c r="D315" s="0" t="inlineStr">
        <is>
          <t>:</t>
        </is>
      </c>
      <c r="E315" s="0" t="inlineStr">
        <is>
          <t>Mini</t>
        </is>
      </c>
      <c r="F315" s="0" t="inlineStr">
        <is>
          <t>(1,</t>
        </is>
      </c>
      <c r="G315" s="0" t="inlineStr">
        <is>
          <t>18)</t>
        </is>
      </c>
      <c r="K315" s="0">
        <f>IF(H314="1)",1,IF(H314="2)",2,IF(H314="3)",3,IF(H314="4)",4,IF(H314="5)",5,IF(H314="6)",6,IF(H314="7)",7,IF(H314="8)",8,0))))))))</f>
        <v/>
      </c>
      <c r="L315" s="0">
        <f>IF(H314="1)",J314,IF(H314="2)",J314,IF(H314="3)",J314,IF(H314="4)",J314,IF(H314="5)",J314,IF(H314="6)",J314,IF(H314="7)",J314,IF(H314="8)",J314,0))))))))</f>
        <v/>
      </c>
    </row>
    <row r="316">
      <c r="A316" s="0" t="inlineStr">
        <is>
          <t>New</t>
        </is>
      </c>
      <c r="B316" s="0" t="inlineStr">
        <is>
          <t>Item</t>
        </is>
      </c>
      <c r="C316" s="0" t="inlineStr">
        <is>
          <t>Acquired</t>
        </is>
      </c>
      <c r="D316" s="0" t="inlineStr">
        <is>
          <t>:</t>
        </is>
      </c>
      <c r="E316" s="0" t="inlineStr">
        <is>
          <t>Mini</t>
        </is>
      </c>
      <c r="F316" s="0" t="inlineStr">
        <is>
          <t>(7,</t>
        </is>
      </c>
      <c r="G316" s="0" t="inlineStr">
        <is>
          <t>11)</t>
        </is>
      </c>
      <c r="K316" s="0">
        <f>IF(H315="1)",1,IF(H315="2)",2,IF(H315="3)",3,IF(H315="4)",4,IF(H315="5)",5,IF(H315="6)",6,IF(H315="7)",7,IF(H315="8)",8,0))))))))</f>
        <v/>
      </c>
      <c r="L316" s="0">
        <f>IF(H315="1)",J315,IF(H315="2)",J315,IF(H315="3)",J315,IF(H315="4)",J315,IF(H315="5)",J315,IF(H315="6)",J315,IF(H315="7)",J315,IF(H315="8)",J315,0))))))))</f>
        <v/>
      </c>
    </row>
    <row r="317">
      <c r="A317" s="0" t="inlineStr">
        <is>
          <t>New</t>
        </is>
      </c>
      <c r="B317" s="0" t="inlineStr">
        <is>
          <t>Item</t>
        </is>
      </c>
      <c r="C317" s="0" t="inlineStr">
        <is>
          <t>Acquired</t>
        </is>
      </c>
      <c r="D317" s="0" t="inlineStr">
        <is>
          <t>:</t>
        </is>
      </c>
      <c r="E317" s="0" t="inlineStr">
        <is>
          <t>75.00K</t>
        </is>
      </c>
      <c r="F317" s="0" t="inlineStr">
        <is>
          <t>(6,</t>
        </is>
      </c>
      <c r="G317" s="0" t="inlineStr">
        <is>
          <t>6)</t>
        </is>
      </c>
      <c r="K317" s="0">
        <f>IF(H316="1)",1,IF(H316="2)",2,IF(H316="3)",3,IF(H316="4)",4,IF(H316="5)",5,IF(H316="6)",6,IF(H316="7)",7,IF(H316="8)",8,0))))))))</f>
        <v/>
      </c>
      <c r="L317" s="0">
        <f>IF(H316="1)",J316,IF(H316="2)",J316,IF(H316="3)",J316,IF(H316="4)",J316,IF(H316="5)",J316,IF(H316="6)",J316,IF(H316="7)",J316,IF(H316="8)",J316,0))))))))</f>
        <v/>
      </c>
    </row>
    <row r="318">
      <c r="A318" s="0" t="inlineStr">
        <is>
          <t>New</t>
        </is>
      </c>
      <c r="B318" s="0" t="inlineStr">
        <is>
          <t>Item</t>
        </is>
      </c>
      <c r="C318" s="0" t="inlineStr">
        <is>
          <t>Acquired</t>
        </is>
      </c>
      <c r="D318" s="0" t="inlineStr">
        <is>
          <t>:</t>
        </is>
      </c>
      <c r="E318" s="0" t="inlineStr">
        <is>
          <t>112.50K</t>
        </is>
      </c>
      <c r="F318" s="0" t="inlineStr">
        <is>
          <t>(5,</t>
        </is>
      </c>
      <c r="G318" s="0" t="inlineStr">
        <is>
          <t>20)</t>
        </is>
      </c>
      <c r="K318" s="0">
        <f>IF(H317="1)",1,IF(H317="2)",2,IF(H317="3)",3,IF(H317="4)",4,IF(H317="5)",5,IF(H317="6)",6,IF(H317="7)",7,IF(H317="8)",8,0))))))))</f>
        <v/>
      </c>
      <c r="L318" s="0">
        <f>IF(H317="1)",J317,IF(H317="2)",J317,IF(H317="3)",J317,IF(H317="4)",J317,IF(H317="5)",J317,IF(H317="6)",J317,IF(H317="7)",J317,IF(H317="8)",J317,0))))))))</f>
        <v/>
      </c>
    </row>
    <row r="319">
      <c r="A319" s="0" t="inlineStr">
        <is>
          <t>New</t>
        </is>
      </c>
      <c r="B319" s="0" t="inlineStr">
        <is>
          <t>Item</t>
        </is>
      </c>
      <c r="C319" s="0" t="inlineStr">
        <is>
          <t>Acquired</t>
        </is>
      </c>
      <c r="D319" s="0" t="inlineStr">
        <is>
          <t>:</t>
        </is>
      </c>
      <c r="E319" s="0" t="inlineStr">
        <is>
          <t>37.50K</t>
        </is>
      </c>
      <c r="F319" s="0" t="inlineStr">
        <is>
          <t>(2,</t>
        </is>
      </c>
      <c r="G319" s="0" t="inlineStr">
        <is>
          <t>17)</t>
        </is>
      </c>
      <c r="K319" s="0">
        <f>IF(H318="1)",1,IF(H318="2)",2,IF(H318="3)",3,IF(H318="4)",4,IF(H318="5)",5,IF(H318="6)",6,IF(H318="7)",7,IF(H318="8)",8,0))))))))</f>
        <v/>
      </c>
      <c r="L319" s="0">
        <f>IF(H318="1)",J318,IF(H318="2)",J318,IF(H318="3)",J318,IF(H318="4)",J318,IF(H318="5)",J318,IF(H318="6)",J318,IF(H318="7)",J318,IF(H318="8)",J318,0))))))))</f>
        <v/>
      </c>
    </row>
    <row r="320">
      <c r="A320" s="0" t="inlineStr">
        <is>
          <t>New</t>
        </is>
      </c>
      <c r="B320" s="0" t="inlineStr">
        <is>
          <t>Item</t>
        </is>
      </c>
      <c r="C320" s="0" t="inlineStr">
        <is>
          <t>Acquired</t>
        </is>
      </c>
      <c r="D320" s="0" t="inlineStr">
        <is>
          <t>:</t>
        </is>
      </c>
      <c r="E320" s="0" t="inlineStr">
        <is>
          <t>75.00K</t>
        </is>
      </c>
      <c r="F320" s="0" t="inlineStr">
        <is>
          <t>(4,</t>
        </is>
      </c>
      <c r="G320" s="0" t="inlineStr">
        <is>
          <t>16)</t>
        </is>
      </c>
      <c r="K320" s="0">
        <f>IF(H319="1)",1,IF(H319="2)",2,IF(H319="3)",3,IF(H319="4)",4,IF(H319="5)",5,IF(H319="6)",6,IF(H319="7)",7,IF(H319="8)",8,0))))))))</f>
        <v/>
      </c>
      <c r="L320" s="0">
        <f>IF(H319="1)",J319,IF(H319="2)",J319,IF(H319="3)",J319,IF(H319="4)",J319,IF(H319="5)",J319,IF(H319="6)",J319,IF(H319="7)",J319,IF(H319="8)",J319,0))))))))</f>
        <v/>
      </c>
    </row>
    <row r="321">
      <c r="A321" s="0" t="inlineStr">
        <is>
          <t>New</t>
        </is>
      </c>
      <c r="B321" s="0" t="inlineStr">
        <is>
          <t>Item</t>
        </is>
      </c>
      <c r="C321" s="0" t="inlineStr">
        <is>
          <t>Acquired</t>
        </is>
      </c>
      <c r="D321" s="0" t="inlineStr">
        <is>
          <t>:</t>
        </is>
      </c>
      <c r="E321" s="0" t="inlineStr">
        <is>
          <t>200.00K</t>
        </is>
      </c>
      <c r="F321" s="0" t="inlineStr">
        <is>
          <t>(8,</t>
        </is>
      </c>
      <c r="G321" s="0" t="inlineStr">
        <is>
          <t>2)</t>
        </is>
      </c>
      <c r="K321" s="0">
        <f>IF(H320="1)",1,IF(H320="2)",2,IF(H320="3)",3,IF(H320="4)",4,IF(H320="5)",5,IF(H320="6)",6,IF(H320="7)",7,IF(H320="8)",8,0))))))))</f>
        <v/>
      </c>
      <c r="L321" s="0">
        <f>IF(H320="1)",J320,IF(H320="2)",J320,IF(H320="3)",J320,IF(H320="4)",J320,IF(H320="5)",J320,IF(H320="6)",J320,IF(H320="7)",J320,IF(H320="8)",J320,0))))))))</f>
        <v/>
      </c>
    </row>
    <row r="322">
      <c r="A322" s="0" t="inlineStr">
        <is>
          <t>New</t>
        </is>
      </c>
      <c r="B322" s="0" t="inlineStr">
        <is>
          <t>Item</t>
        </is>
      </c>
      <c r="C322" s="0" t="inlineStr">
        <is>
          <t>Acquired</t>
        </is>
      </c>
      <c r="D322" s="0" t="inlineStr">
        <is>
          <t>:</t>
        </is>
      </c>
      <c r="E322" s="0" t="inlineStr">
        <is>
          <t>75.00K</t>
        </is>
      </c>
      <c r="F322" s="0" t="inlineStr">
        <is>
          <t>(6,</t>
        </is>
      </c>
      <c r="G322" s="0" t="inlineStr">
        <is>
          <t>10)</t>
        </is>
      </c>
      <c r="K322" s="0">
        <f>IF(H321="1)",1,IF(H321="2)",2,IF(H321="3)",3,IF(H321="4)",4,IF(H321="5)",5,IF(H321="6)",6,IF(H321="7)",7,IF(H321="8)",8,0))))))))</f>
        <v/>
      </c>
      <c r="L322" s="0">
        <f>IF(H321="1)",J321,IF(H321="2)",J321,IF(H321="3)",J321,IF(H321="4)",J321,IF(H321="5)",J321,IF(H321="6)",J321,IF(H321="7)",J321,IF(H321="8)",J321,0))))))))</f>
        <v/>
      </c>
    </row>
    <row r="323">
      <c r="A323" s="0" t="inlineStr">
        <is>
          <t>New</t>
        </is>
      </c>
      <c r="B323" s="0" t="inlineStr">
        <is>
          <t>Item</t>
        </is>
      </c>
      <c r="C323" s="0" t="inlineStr">
        <is>
          <t>Acquired</t>
        </is>
      </c>
      <c r="D323" s="0" t="inlineStr">
        <is>
          <t>:</t>
        </is>
      </c>
      <c r="E323" s="0" t="inlineStr">
        <is>
          <t>30.00K</t>
        </is>
      </c>
      <c r="F323" s="0" t="inlineStr">
        <is>
          <t>(1,</t>
        </is>
      </c>
      <c r="G323" s="0" t="inlineStr">
        <is>
          <t>8)</t>
        </is>
      </c>
      <c r="K323" s="0">
        <f>IF(H322="1)",1,IF(H322="2)",2,IF(H322="3)",3,IF(H322="4)",4,IF(H322="5)",5,IF(H322="6)",6,IF(H322="7)",7,IF(H322="8)",8,0))))))))</f>
        <v/>
      </c>
      <c r="L323" s="0">
        <f>IF(H322="1)",J322,IF(H322="2)",J322,IF(H322="3)",J322,IF(H322="4)",J322,IF(H322="5)",J322,IF(H322="6)",J322,IF(H322="7)",J322,IF(H322="8)",J322,0))))))))</f>
        <v/>
      </c>
    </row>
    <row r="324">
      <c r="A324" s="0" t="inlineStr">
        <is>
          <t>New</t>
        </is>
      </c>
      <c r="B324" s="0" t="inlineStr">
        <is>
          <t>Item</t>
        </is>
      </c>
      <c r="C324" s="0" t="inlineStr">
        <is>
          <t>Acquired</t>
        </is>
      </c>
      <c r="D324" s="0" t="inlineStr">
        <is>
          <t>:</t>
        </is>
      </c>
      <c r="E324" s="0" t="inlineStr">
        <is>
          <t>75.00K</t>
        </is>
      </c>
      <c r="F324" s="0" t="inlineStr">
        <is>
          <t>(6,</t>
        </is>
      </c>
      <c r="G324" s="0" t="inlineStr">
        <is>
          <t>14)</t>
        </is>
      </c>
      <c r="K324" s="0">
        <f>IF(H323="1)",1,IF(H323="2)",2,IF(H323="3)",3,IF(H323="4)",4,IF(H323="5)",5,IF(H323="6)",6,IF(H323="7)",7,IF(H323="8)",8,0))))))))</f>
        <v/>
      </c>
      <c r="L324" s="0">
        <f>IF(H323="1)",J323,IF(H323="2)",J323,IF(H323="3)",J323,IF(H323="4)",J323,IF(H323="5)",J323,IF(H323="6)",J323,IF(H323="7)",J323,IF(H323="8)",J323,0))))))))</f>
        <v/>
      </c>
    </row>
    <row r="325">
      <c r="A325" s="0" t="inlineStr">
        <is>
          <t>New</t>
        </is>
      </c>
      <c r="B325" s="0" t="inlineStr">
        <is>
          <t>Item</t>
        </is>
      </c>
      <c r="C325" s="0" t="inlineStr">
        <is>
          <t>Acquired</t>
        </is>
      </c>
      <c r="D325" s="0" t="inlineStr">
        <is>
          <t>:</t>
        </is>
      </c>
      <c r="E325" s="0" t="inlineStr">
        <is>
          <t>90.00K</t>
        </is>
      </c>
      <c r="F325" s="0" t="inlineStr">
        <is>
          <t>(7,</t>
        </is>
      </c>
      <c r="G325" s="0" t="inlineStr">
        <is>
          <t>8)</t>
        </is>
      </c>
      <c r="K325" s="0">
        <f>IF(H324="1)",1,IF(H324="2)",2,IF(H324="3)",3,IF(H324="4)",4,IF(H324="5)",5,IF(H324="6)",6,IF(H324="7)",7,IF(H324="8)",8,0))))))))</f>
        <v/>
      </c>
      <c r="L325" s="0">
        <f>IF(H324="1)",J324,IF(H324="2)",J324,IF(H324="3)",J324,IF(H324="4)",J324,IF(H324="5)",J324,IF(H324="6)",J324,IF(H324="7)",J324,IF(H324="8)",J324,0))))))))</f>
        <v/>
      </c>
    </row>
    <row r="326">
      <c r="A326" s="0" t="inlineStr">
        <is>
          <t>New</t>
        </is>
      </c>
      <c r="B326" s="0" t="inlineStr">
        <is>
          <t>Item</t>
        </is>
      </c>
      <c r="C326" s="0" t="inlineStr">
        <is>
          <t>Acquired</t>
        </is>
      </c>
      <c r="D326" s="0" t="inlineStr">
        <is>
          <t>:</t>
        </is>
      </c>
      <c r="E326" s="0" t="inlineStr">
        <is>
          <t>75.00K</t>
        </is>
      </c>
      <c r="F326" s="0" t="inlineStr">
        <is>
          <t>(3,</t>
        </is>
      </c>
      <c r="G326" s="0" t="inlineStr">
        <is>
          <t>20)</t>
        </is>
      </c>
      <c r="K326" s="0">
        <f>IF(H325="1)",1,IF(H325="2)",2,IF(H325="3)",3,IF(H325="4)",4,IF(H325="5)",5,IF(H325="6)",6,IF(H325="7)",7,IF(H325="8)",8,0))))))))</f>
        <v/>
      </c>
      <c r="L326" s="0">
        <f>IF(H325="1)",J325,IF(H325="2)",J325,IF(H325="3)",J325,IF(H325="4)",J325,IF(H325="5)",J325,IF(H325="6)",J325,IF(H325="7)",J325,IF(H325="8)",J325,0))))))))</f>
        <v/>
      </c>
    </row>
    <row r="327">
      <c r="A327" s="0" t="inlineStr">
        <is>
          <t>New</t>
        </is>
      </c>
      <c r="B327" s="0" t="inlineStr">
        <is>
          <t>Item</t>
        </is>
      </c>
      <c r="C327" s="0" t="inlineStr">
        <is>
          <t>Acquired</t>
        </is>
      </c>
      <c r="D327" s="0" t="inlineStr">
        <is>
          <t>:</t>
        </is>
      </c>
      <c r="E327" s="0" t="inlineStr">
        <is>
          <t>Mini</t>
        </is>
      </c>
      <c r="F327" s="0" t="inlineStr">
        <is>
          <t>(3,</t>
        </is>
      </c>
      <c r="G327" s="0" t="inlineStr">
        <is>
          <t>22)</t>
        </is>
      </c>
      <c r="K327" s="0">
        <f>IF(H326="1)",1,IF(H326="2)",2,IF(H326="3)",3,IF(H326="4)",4,IF(H326="5)",5,IF(H326="6)",6,IF(H326="7)",7,IF(H326="8)",8,0))))))))</f>
        <v/>
      </c>
      <c r="L327" s="0">
        <f>IF(H326="1)",J326,IF(H326="2)",J326,IF(H326="3)",J326,IF(H326="4)",J326,IF(H326="5)",J326,IF(H326="6)",J326,IF(H326="7)",J326,IF(H326="8)",J326,0))))))))</f>
        <v/>
      </c>
    </row>
    <row r="328">
      <c r="A328" s="0" t="inlineStr">
        <is>
          <t>New</t>
        </is>
      </c>
      <c r="B328" s="0" t="inlineStr">
        <is>
          <t>Item</t>
        </is>
      </c>
      <c r="C328" s="0" t="inlineStr">
        <is>
          <t>Acquired</t>
        </is>
      </c>
      <c r="D328" s="0" t="inlineStr">
        <is>
          <t>:</t>
        </is>
      </c>
      <c r="E328" s="0" t="inlineStr">
        <is>
          <t>60.00K</t>
        </is>
      </c>
      <c r="F328" s="0" t="inlineStr">
        <is>
          <t>(4,</t>
        </is>
      </c>
      <c r="G328" s="0" t="inlineStr">
        <is>
          <t>1)</t>
        </is>
      </c>
      <c r="K328" s="0">
        <f>IF(H327="1)",1,IF(H327="2)",2,IF(H327="3)",3,IF(H327="4)",4,IF(H327="5)",5,IF(H327="6)",6,IF(H327="7)",7,IF(H327="8)",8,0))))))))</f>
        <v/>
      </c>
      <c r="L328" s="0">
        <f>IF(H327="1)",J327,IF(H327="2)",J327,IF(H327="3)",J327,IF(H327="4)",J327,IF(H327="5)",J327,IF(H327="6)",J327,IF(H327="7)",J327,IF(H327="8)",J327,0))))))))</f>
        <v/>
      </c>
    </row>
    <row r="329">
      <c r="A329" s="0" t="inlineStr">
        <is>
          <t>Line</t>
        </is>
      </c>
      <c r="B329" s="0" t="inlineStr">
        <is>
          <t>Prize</t>
        </is>
      </c>
      <c r="C329" s="0" t="inlineStr">
        <is>
          <t>Acquired</t>
        </is>
      </c>
      <c r="D329" s="0" t="inlineStr">
        <is>
          <t>:</t>
        </is>
      </c>
      <c r="E329" s="0" t="inlineStr">
        <is>
          <t>405.00K</t>
        </is>
      </c>
      <c r="F329" s="0" t="inlineStr">
        <is>
          <t>(Stage</t>
        </is>
      </c>
      <c r="G329" s="0" t="inlineStr">
        <is>
          <t>:</t>
        </is>
      </c>
      <c r="H329" s="0" t="inlineStr">
        <is>
          <t>4)</t>
        </is>
      </c>
      <c r="I329" s="0" t="inlineStr">
        <is>
          <t>-</t>
        </is>
      </c>
      <c r="J329" s="0" t="n">
        <v>405000</v>
      </c>
      <c r="K329" s="0">
        <f>IF(H328="1)",1,IF(H328="2)",2,IF(H328="3)",3,IF(H328="4)",4,IF(H328="5)",5,IF(H328="6)",6,IF(H328="7)",7,IF(H328="8)",8,0))))))))</f>
        <v/>
      </c>
      <c r="L329" s="0">
        <f>IF(H328="1)",J328,IF(H328="2)",J328,IF(H328="3)",J328,IF(H328="4)",J328,IF(H328="5)",J328,IF(H328="6)",J328,IF(H328="7)",J328,IF(H328="8)",J328,0))))))))</f>
        <v/>
      </c>
    </row>
    <row r="330">
      <c r="A330" s="0" t="inlineStr">
        <is>
          <t>Clear</t>
        </is>
      </c>
      <c r="B330" s="0" t="inlineStr">
        <is>
          <t>Gem</t>
        </is>
      </c>
      <c r="C330" s="0" t="inlineStr">
        <is>
          <t>Acquired</t>
        </is>
      </c>
      <c r="D330" s="0" t="inlineStr">
        <is>
          <t>:</t>
        </is>
      </c>
      <c r="E330" s="0" t="n">
        <v>1600</v>
      </c>
      <c r="F330" s="0" t="inlineStr">
        <is>
          <t>-&gt;</t>
        </is>
      </c>
      <c r="G330" s="0" t="n">
        <v>1700</v>
      </c>
      <c r="H330" s="0" t="inlineStr">
        <is>
          <t>(Stage</t>
        </is>
      </c>
      <c r="I330" s="0" t="inlineStr">
        <is>
          <t>:</t>
        </is>
      </c>
      <c r="J330" s="0" t="inlineStr">
        <is>
          <t>4)</t>
        </is>
      </c>
      <c r="K330" s="0">
        <f>IF(H329="1)",1,IF(H329="2)",2,IF(H329="3)",3,IF(H329="4)",4,IF(H329="5)",5,IF(H329="6)",6,IF(H329="7)",7,IF(H329="8)",8,0))))))))</f>
        <v/>
      </c>
      <c r="L330" s="0">
        <f>IF(H329="1)",J329,IF(H329="2)",J329,IF(H329="3)",J329,IF(H329="4)",J329,IF(H329="5)",J329,IF(H329="6)",J329,IF(H329="7)",J329,IF(H329="8)",J329,0))))))))</f>
        <v/>
      </c>
    </row>
    <row r="331">
      <c r="A331" s="0" t="inlineStr">
        <is>
          <t>New</t>
        </is>
      </c>
      <c r="B331" s="0" t="inlineStr">
        <is>
          <t>Item</t>
        </is>
      </c>
      <c r="C331" s="0" t="inlineStr">
        <is>
          <t>Acquired</t>
        </is>
      </c>
      <c r="D331" s="0" t="inlineStr">
        <is>
          <t>:</t>
        </is>
      </c>
      <c r="E331" s="0" t="inlineStr">
        <is>
          <t>62.50K</t>
        </is>
      </c>
      <c r="F331" s="0" t="inlineStr">
        <is>
          <t>(2,</t>
        </is>
      </c>
      <c r="G331" s="0" t="inlineStr">
        <is>
          <t>11)</t>
        </is>
      </c>
      <c r="K331" s="0">
        <f>IF(H330="1)",1,IF(H330="2)",2,IF(H330="3)",3,IF(H330="4)",4,IF(H330="5)",5,IF(H330="6)",6,IF(H330="7)",7,IF(H330="8)",8,0))))))))</f>
        <v/>
      </c>
      <c r="L331" s="0">
        <f>IF(H330="1)",J330,IF(H330="2)",J330,IF(H330="3)",J330,IF(H330="4)",J330,IF(H330="5)",J330,IF(H330="6)",J330,IF(H330="7)",J330,IF(H330="8)",J330,0))))))))</f>
        <v/>
      </c>
    </row>
    <row r="332">
      <c r="A332" s="0" t="inlineStr">
        <is>
          <t>New</t>
        </is>
      </c>
      <c r="B332" s="0" t="inlineStr">
        <is>
          <t>Item</t>
        </is>
      </c>
      <c r="C332" s="0" t="inlineStr">
        <is>
          <t>Acquired</t>
        </is>
      </c>
      <c r="D332" s="0" t="inlineStr">
        <is>
          <t>:</t>
        </is>
      </c>
      <c r="E332" s="0" t="inlineStr">
        <is>
          <t>60.00K</t>
        </is>
      </c>
      <c r="F332" s="0" t="inlineStr">
        <is>
          <t>(4,</t>
        </is>
      </c>
      <c r="G332" s="0" t="inlineStr">
        <is>
          <t>1)</t>
        </is>
      </c>
      <c r="K332" s="0">
        <f>IF(H331="1)",1,IF(H331="2)",2,IF(H331="3)",3,IF(H331="4)",4,IF(H331="5)",5,IF(H331="6)",6,IF(H331="7)",7,IF(H331="8)",8,0))))))))</f>
        <v/>
      </c>
      <c r="L332" s="0">
        <f>IF(H331="1)",J331,IF(H331="2)",J331,IF(H331="3)",J331,IF(H331="4)",J331,IF(H331="5)",J331,IF(H331="6)",J331,IF(H331="7)",J331,IF(H331="8)",J331,0))))))))</f>
        <v/>
      </c>
    </row>
    <row r="333">
      <c r="A333" s="0" t="inlineStr">
        <is>
          <t>New</t>
        </is>
      </c>
      <c r="B333" s="0" t="inlineStr">
        <is>
          <t>Item</t>
        </is>
      </c>
      <c r="C333" s="0" t="inlineStr">
        <is>
          <t>Acquired</t>
        </is>
      </c>
      <c r="D333" s="0" t="inlineStr">
        <is>
          <t>:</t>
        </is>
      </c>
      <c r="E333" s="0" t="inlineStr">
        <is>
          <t>60.00K</t>
        </is>
      </c>
      <c r="F333" s="0" t="inlineStr">
        <is>
          <t>(4,</t>
        </is>
      </c>
      <c r="G333" s="0" t="inlineStr">
        <is>
          <t>18)</t>
        </is>
      </c>
      <c r="K333" s="0">
        <f>IF(H332="1)",1,IF(H332="2)",2,IF(H332="3)",3,IF(H332="4)",4,IF(H332="5)",5,IF(H332="6)",6,IF(H332="7)",7,IF(H332="8)",8,0))))))))</f>
        <v/>
      </c>
      <c r="L333" s="0">
        <f>IF(H332="1)",J332,IF(H332="2)",J332,IF(H332="3)",J332,IF(H332="4)",J332,IF(H332="5)",J332,IF(H332="6)",J332,IF(H332="7)",J332,IF(H332="8)",J332,0))))))))</f>
        <v/>
      </c>
    </row>
    <row r="334">
      <c r="A334" s="0" t="inlineStr">
        <is>
          <t>New</t>
        </is>
      </c>
      <c r="B334" s="0" t="inlineStr">
        <is>
          <t>Item</t>
        </is>
      </c>
      <c r="C334" s="0" t="inlineStr">
        <is>
          <t>Acquired</t>
        </is>
      </c>
      <c r="D334" s="0" t="inlineStr">
        <is>
          <t>:</t>
        </is>
      </c>
      <c r="E334" s="0" t="inlineStr">
        <is>
          <t>Mini</t>
        </is>
      </c>
      <c r="F334" s="0" t="inlineStr">
        <is>
          <t>(4,</t>
        </is>
      </c>
      <c r="G334" s="0" t="inlineStr">
        <is>
          <t>17)</t>
        </is>
      </c>
      <c r="K334" s="0">
        <f>IF(H333="1)",1,IF(H333="2)",2,IF(H333="3)",3,IF(H333="4)",4,IF(H333="5)",5,IF(H333="6)",6,IF(H333="7)",7,IF(H333="8)",8,0))))))))</f>
        <v/>
      </c>
      <c r="L334" s="0">
        <f>IF(H333="1)",J333,IF(H333="2)",J333,IF(H333="3)",J333,IF(H333="4)",J333,IF(H333="5)",J333,IF(H333="6)",J333,IF(H333="7)",J333,IF(H333="8)",J333,0))))))))</f>
        <v/>
      </c>
    </row>
    <row r="335">
      <c r="A335" s="0" t="inlineStr">
        <is>
          <t>New</t>
        </is>
      </c>
      <c r="B335" s="0" t="inlineStr">
        <is>
          <t>Item</t>
        </is>
      </c>
      <c r="C335" s="0" t="inlineStr">
        <is>
          <t>Acquired</t>
        </is>
      </c>
      <c r="D335" s="0" t="inlineStr">
        <is>
          <t>:</t>
        </is>
      </c>
      <c r="E335" s="0" t="inlineStr">
        <is>
          <t>Major</t>
        </is>
      </c>
      <c r="F335" s="0" t="inlineStr">
        <is>
          <t>(8,</t>
        </is>
      </c>
      <c r="G335" s="0" t="inlineStr">
        <is>
          <t>1)</t>
        </is>
      </c>
      <c r="K335" s="0">
        <f>IF(H334="1)",1,IF(H334="2)",2,IF(H334="3)",3,IF(H334="4)",4,IF(H334="5)",5,IF(H334="6)",6,IF(H334="7)",7,IF(H334="8)",8,0))))))))</f>
        <v/>
      </c>
      <c r="L335" s="0">
        <f>IF(H334="1)",J334,IF(H334="2)",J334,IF(H334="3)",J334,IF(H334="4)",J334,IF(H334="5)",J334,IF(H334="6)",J334,IF(H334="7)",J334,IF(H334="8)",J334,0))))))))</f>
        <v/>
      </c>
    </row>
    <row r="336">
      <c r="A336" s="0" t="inlineStr">
        <is>
          <t>New</t>
        </is>
      </c>
      <c r="B336" s="0" t="inlineStr">
        <is>
          <t>Item</t>
        </is>
      </c>
      <c r="C336" s="0" t="inlineStr">
        <is>
          <t>Acquired</t>
        </is>
      </c>
      <c r="D336" s="0" t="inlineStr">
        <is>
          <t>:</t>
        </is>
      </c>
      <c r="E336" s="0" t="inlineStr">
        <is>
          <t>280.00K</t>
        </is>
      </c>
      <c r="F336" s="0" t="inlineStr">
        <is>
          <t>(8,</t>
        </is>
      </c>
      <c r="G336" s="0" t="inlineStr">
        <is>
          <t>24)</t>
        </is>
      </c>
      <c r="K336" s="0">
        <f>IF(H335="1)",1,IF(H335="2)",2,IF(H335="3)",3,IF(H335="4)",4,IF(H335="5)",5,IF(H335="6)",6,IF(H335="7)",7,IF(H335="8)",8,0))))))))</f>
        <v/>
      </c>
      <c r="L336" s="0">
        <f>IF(H335="1)",J335,IF(H335="2)",J335,IF(H335="3)",J335,IF(H335="4)",J335,IF(H335="5)",J335,IF(H335="6)",J335,IF(H335="7)",J335,IF(H335="8)",J335,0))))))))</f>
        <v/>
      </c>
    </row>
    <row r="337">
      <c r="A337" s="0" t="inlineStr">
        <is>
          <t>New</t>
        </is>
      </c>
      <c r="B337" s="0" t="inlineStr">
        <is>
          <t>Item</t>
        </is>
      </c>
      <c r="C337" s="0" t="inlineStr">
        <is>
          <t>Acquired</t>
        </is>
      </c>
      <c r="D337" s="0" t="inlineStr">
        <is>
          <t>:</t>
        </is>
      </c>
      <c r="E337" s="0" t="inlineStr">
        <is>
          <t>60.00K</t>
        </is>
      </c>
      <c r="F337" s="0" t="inlineStr">
        <is>
          <t>(4,</t>
        </is>
      </c>
      <c r="G337" s="0" t="inlineStr">
        <is>
          <t>7)</t>
        </is>
      </c>
      <c r="K337" s="0">
        <f>IF(H336="1)",1,IF(H336="2)",2,IF(H336="3)",3,IF(H336="4)",4,IF(H336="5)",5,IF(H336="6)",6,IF(H336="7)",7,IF(H336="8)",8,0))))))))</f>
        <v/>
      </c>
      <c r="L337" s="0">
        <f>IF(H336="1)",J336,IF(H336="2)",J336,IF(H336="3)",J336,IF(H336="4)",J336,IF(H336="5)",J336,IF(H336="6)",J336,IF(H336="7)",J336,IF(H336="8)",J336,0))))))))</f>
        <v/>
      </c>
    </row>
    <row r="338">
      <c r="A338" s="0" t="inlineStr">
        <is>
          <t>New</t>
        </is>
      </c>
      <c r="B338" s="0" t="inlineStr">
        <is>
          <t>Item</t>
        </is>
      </c>
      <c r="C338" s="0" t="inlineStr">
        <is>
          <t>Acquired</t>
        </is>
      </c>
      <c r="D338" s="0" t="inlineStr">
        <is>
          <t>:</t>
        </is>
      </c>
      <c r="E338" s="0" t="inlineStr">
        <is>
          <t>Minor</t>
        </is>
      </c>
      <c r="F338" s="0" t="inlineStr">
        <is>
          <t>(7,</t>
        </is>
      </c>
      <c r="G338" s="0" t="inlineStr">
        <is>
          <t>9)</t>
        </is>
      </c>
      <c r="K338" s="0">
        <f>IF(H337="1)",1,IF(H337="2)",2,IF(H337="3)",3,IF(H337="4)",4,IF(H337="5)",5,IF(H337="6)",6,IF(H337="7)",7,IF(H337="8)",8,0))))))))</f>
        <v/>
      </c>
      <c r="L338" s="0">
        <f>IF(H337="1)",J337,IF(H337="2)",J337,IF(H337="3)",J337,IF(H337="4)",J337,IF(H337="5)",J337,IF(H337="6)",J337,IF(H337="7)",J337,IF(H337="8)",J337,0))))))))</f>
        <v/>
      </c>
    </row>
    <row r="339">
      <c r="A339" s="0" t="inlineStr">
        <is>
          <t>New</t>
        </is>
      </c>
      <c r="B339" s="0" t="inlineStr">
        <is>
          <t>Item</t>
        </is>
      </c>
      <c r="C339" s="0" t="inlineStr">
        <is>
          <t>Acquired</t>
        </is>
      </c>
      <c r="D339" s="0" t="inlineStr">
        <is>
          <t>:</t>
        </is>
      </c>
      <c r="E339" s="0" t="inlineStr">
        <is>
          <t>120.00K</t>
        </is>
      </c>
      <c r="F339" s="0" t="inlineStr">
        <is>
          <t>(8,</t>
        </is>
      </c>
      <c r="G339" s="0" t="inlineStr">
        <is>
          <t>8)</t>
        </is>
      </c>
      <c r="K339" s="0">
        <f>IF(H338="1)",1,IF(H338="2)",2,IF(H338="3)",3,IF(H338="4)",4,IF(H338="5)",5,IF(H338="6)",6,IF(H338="7)",7,IF(H338="8)",8,0))))))))</f>
        <v/>
      </c>
      <c r="L339" s="0">
        <f>IF(H338="1)",J338,IF(H338="2)",J338,IF(H338="3)",J338,IF(H338="4)",J338,IF(H338="5)",J338,IF(H338="6)",J338,IF(H338="7)",J338,IF(H338="8)",J338,0))))))))</f>
        <v/>
      </c>
    </row>
    <row r="340">
      <c r="A340" s="0" t="inlineStr">
        <is>
          <t>New</t>
        </is>
      </c>
      <c r="B340" s="0" t="inlineStr">
        <is>
          <t>Item</t>
        </is>
      </c>
      <c r="C340" s="0" t="inlineStr">
        <is>
          <t>Acquired</t>
        </is>
      </c>
      <c r="D340" s="0" t="inlineStr">
        <is>
          <t>:</t>
        </is>
      </c>
      <c r="E340" s="0" t="inlineStr">
        <is>
          <t>75.00K</t>
        </is>
      </c>
      <c r="F340" s="0" t="inlineStr">
        <is>
          <t>(6,</t>
        </is>
      </c>
      <c r="G340" s="0" t="inlineStr">
        <is>
          <t>23)</t>
        </is>
      </c>
      <c r="K340" s="0">
        <f>IF(H339="1)",1,IF(H339="2)",2,IF(H339="3)",3,IF(H339="4)",4,IF(H339="5)",5,IF(H339="6)",6,IF(H339="7)",7,IF(H339="8)",8,0))))))))</f>
        <v/>
      </c>
      <c r="L340" s="0">
        <f>IF(H339="1)",J339,IF(H339="2)",J339,IF(H339="3)",J339,IF(H339="4)",J339,IF(H339="5)",J339,IF(H339="6)",J339,IF(H339="7)",J339,IF(H339="8)",J339,0))))))))</f>
        <v/>
      </c>
    </row>
    <row r="341">
      <c r="A341" s="0" t="inlineStr">
        <is>
          <t>New</t>
        </is>
      </c>
      <c r="B341" s="0" t="inlineStr">
        <is>
          <t>Item</t>
        </is>
      </c>
      <c r="C341" s="0" t="inlineStr">
        <is>
          <t>Acquired</t>
        </is>
      </c>
      <c r="D341" s="0" t="inlineStr">
        <is>
          <t>:</t>
        </is>
      </c>
      <c r="E341" s="0" t="inlineStr">
        <is>
          <t>105.00K</t>
        </is>
      </c>
      <c r="F341" s="0" t="inlineStr">
        <is>
          <t>(3,</t>
        </is>
      </c>
      <c r="G341" s="0" t="inlineStr">
        <is>
          <t>12)</t>
        </is>
      </c>
      <c r="K341" s="0">
        <f>IF(H340="1)",1,IF(H340="2)",2,IF(H340="3)",3,IF(H340="4)",4,IF(H340="5)",5,IF(H340="6)",6,IF(H340="7)",7,IF(H340="8)",8,0))))))))</f>
        <v/>
      </c>
      <c r="L341" s="0">
        <f>IF(H340="1)",J340,IF(H340="2)",J340,IF(H340="3)",J340,IF(H340="4)",J340,IF(H340="5)",J340,IF(H340="6)",J340,IF(H340="7)",J340,IF(H340="8)",J340,0))))))))</f>
        <v/>
      </c>
    </row>
    <row r="342">
      <c r="A342" s="0" t="inlineStr">
        <is>
          <t>New</t>
        </is>
      </c>
      <c r="B342" s="0" t="inlineStr">
        <is>
          <t>Item</t>
        </is>
      </c>
      <c r="C342" s="0" t="inlineStr">
        <is>
          <t>Acquired</t>
        </is>
      </c>
      <c r="D342" s="0" t="inlineStr">
        <is>
          <t>:</t>
        </is>
      </c>
      <c r="E342" s="0" t="inlineStr">
        <is>
          <t>60.00K</t>
        </is>
      </c>
      <c r="F342" s="0" t="inlineStr">
        <is>
          <t>(4,</t>
        </is>
      </c>
      <c r="G342" s="0" t="inlineStr">
        <is>
          <t>15)</t>
        </is>
      </c>
      <c r="K342" s="0">
        <f>IF(H341="1)",1,IF(H341="2)",2,IF(H341="3)",3,IF(H341="4)",4,IF(H341="5)",5,IF(H341="6)",6,IF(H341="7)",7,IF(H341="8)",8,0))))))))</f>
        <v/>
      </c>
      <c r="L342" s="0">
        <f>IF(H341="1)",J341,IF(H341="2)",J341,IF(H341="3)",J341,IF(H341="4)",J341,IF(H341="5)",J341,IF(H341="6)",J341,IF(H341="7)",J341,IF(H341="8)",J341,0))))))))</f>
        <v/>
      </c>
    </row>
    <row r="343">
      <c r="A343" s="0" t="inlineStr">
        <is>
          <t>New</t>
        </is>
      </c>
      <c r="B343" s="0" t="inlineStr">
        <is>
          <t>Item</t>
        </is>
      </c>
      <c r="C343" s="0" t="inlineStr">
        <is>
          <t>Acquired</t>
        </is>
      </c>
      <c r="D343" s="0" t="inlineStr">
        <is>
          <t>:</t>
        </is>
      </c>
      <c r="E343" s="0" t="inlineStr">
        <is>
          <t>67.50K</t>
        </is>
      </c>
      <c r="F343" s="0" t="inlineStr">
        <is>
          <t>(5,</t>
        </is>
      </c>
      <c r="G343" s="0" t="inlineStr">
        <is>
          <t>21)</t>
        </is>
      </c>
      <c r="K343" s="0">
        <f>IF(H342="1)",1,IF(H342="2)",2,IF(H342="3)",3,IF(H342="4)",4,IF(H342="5)",5,IF(H342="6)",6,IF(H342="7)",7,IF(H342="8)",8,0))))))))</f>
        <v/>
      </c>
      <c r="L343" s="0">
        <f>IF(H342="1)",J342,IF(H342="2)",J342,IF(H342="3)",J342,IF(H342="4)",J342,IF(H342="5)",J342,IF(H342="6)",J342,IF(H342="7)",J342,IF(H342="8)",J342,0))))))))</f>
        <v/>
      </c>
    </row>
    <row r="344">
      <c r="A344" s="0" t="inlineStr">
        <is>
          <t>New</t>
        </is>
      </c>
      <c r="B344" s="0" t="inlineStr">
        <is>
          <t>Item</t>
        </is>
      </c>
      <c r="C344" s="0" t="inlineStr">
        <is>
          <t>Acquired</t>
        </is>
      </c>
      <c r="D344" s="0" t="inlineStr">
        <is>
          <t>:</t>
        </is>
      </c>
      <c r="E344" s="0" t="inlineStr">
        <is>
          <t>45.00K</t>
        </is>
      </c>
      <c r="F344" s="0" t="inlineStr">
        <is>
          <t>(3,</t>
        </is>
      </c>
      <c r="G344" s="0" t="inlineStr">
        <is>
          <t>8)</t>
        </is>
      </c>
      <c r="K344" s="0">
        <f>IF(H343="1)",1,IF(H343="2)",2,IF(H343="3)",3,IF(H343="4)",4,IF(H343="5)",5,IF(H343="6)",6,IF(H343="7)",7,IF(H343="8)",8,0))))))))</f>
        <v/>
      </c>
      <c r="L344" s="0">
        <f>IF(H343="1)",J343,IF(H343="2)",J343,IF(H343="3)",J343,IF(H343="4)",J343,IF(H343="5)",J343,IF(H343="6)",J343,IF(H343="7)",J343,IF(H343="8)",J343,0))))))))</f>
        <v/>
      </c>
    </row>
    <row r="345">
      <c r="A345" s="0" t="inlineStr">
        <is>
          <t>New</t>
        </is>
      </c>
      <c r="B345" s="0" t="inlineStr">
        <is>
          <t>Item</t>
        </is>
      </c>
      <c r="C345" s="0" t="inlineStr">
        <is>
          <t>Acquired</t>
        </is>
      </c>
      <c r="D345" s="0" t="inlineStr">
        <is>
          <t>:</t>
        </is>
      </c>
      <c r="E345" s="0" t="inlineStr">
        <is>
          <t>45.00K</t>
        </is>
      </c>
      <c r="F345" s="0" t="inlineStr">
        <is>
          <t>(3,</t>
        </is>
      </c>
      <c r="G345" s="0" t="inlineStr">
        <is>
          <t>17)</t>
        </is>
      </c>
      <c r="K345" s="0">
        <f>IF(H344="1)",1,IF(H344="2)",2,IF(H344="3)",3,IF(H344="4)",4,IF(H344="5)",5,IF(H344="6)",6,IF(H344="7)",7,IF(H344="8)",8,0))))))))</f>
        <v/>
      </c>
      <c r="L345" s="0">
        <f>IF(H344="1)",J344,IF(H344="2)",J344,IF(H344="3)",J344,IF(H344="4)",J344,IF(H344="5)",J344,IF(H344="6)",J344,IF(H344="7)",J344,IF(H344="8)",J344,0))))))))</f>
        <v/>
      </c>
    </row>
    <row r="346">
      <c r="A346" s="0" t="inlineStr">
        <is>
          <t>New</t>
        </is>
      </c>
      <c r="B346" s="0" t="inlineStr">
        <is>
          <t>Item</t>
        </is>
      </c>
      <c r="C346" s="0" t="inlineStr">
        <is>
          <t>Acquired</t>
        </is>
      </c>
      <c r="D346" s="0" t="inlineStr">
        <is>
          <t>:</t>
        </is>
      </c>
      <c r="E346" s="0" t="inlineStr">
        <is>
          <t>75.00K</t>
        </is>
      </c>
      <c r="F346" s="0" t="inlineStr">
        <is>
          <t>(4,</t>
        </is>
      </c>
      <c r="G346" s="0" t="inlineStr">
        <is>
          <t>24)</t>
        </is>
      </c>
      <c r="K346" s="0">
        <f>IF(H345="1)",1,IF(H345="2)",2,IF(H345="3)",3,IF(H345="4)",4,IF(H345="5)",5,IF(H345="6)",6,IF(H345="7)",7,IF(H345="8)",8,0))))))))</f>
        <v/>
      </c>
      <c r="L346" s="0">
        <f>IF(H345="1)",J345,IF(H345="2)",J345,IF(H345="3)",J345,IF(H345="4)",J345,IF(H345="5)",J345,IF(H345="6)",J345,IF(H345="7)",J345,IF(H345="8)",J345,0))))))))</f>
        <v/>
      </c>
    </row>
    <row r="347">
      <c r="A347" s="0" t="inlineStr">
        <is>
          <t>New</t>
        </is>
      </c>
      <c r="B347" s="0" t="inlineStr">
        <is>
          <t>Item</t>
        </is>
      </c>
      <c r="C347" s="0" t="inlineStr">
        <is>
          <t>Acquired</t>
        </is>
      </c>
      <c r="D347" s="0" t="inlineStr">
        <is>
          <t>:</t>
        </is>
      </c>
      <c r="E347" s="0" t="inlineStr">
        <is>
          <t>75.00K</t>
        </is>
      </c>
      <c r="F347" s="0" t="inlineStr">
        <is>
          <t>(6,</t>
        </is>
      </c>
      <c r="G347" s="0" t="inlineStr">
        <is>
          <t>19)</t>
        </is>
      </c>
      <c r="K347" s="0">
        <f>IF(H346="1)",1,IF(H346="2)",2,IF(H346="3)",3,IF(H346="4)",4,IF(H346="5)",5,IF(H346="6)",6,IF(H346="7)",7,IF(H346="8)",8,0))))))))</f>
        <v/>
      </c>
      <c r="L347" s="0">
        <f>IF(H346="1)",J346,IF(H346="2)",J346,IF(H346="3)",J346,IF(H346="4)",J346,IF(H346="5)",J346,IF(H346="6)",J346,IF(H346="7)",J346,IF(H346="8)",J346,0))))))))</f>
        <v/>
      </c>
    </row>
    <row r="348">
      <c r="A348" s="0" t="inlineStr">
        <is>
          <t>New</t>
        </is>
      </c>
      <c r="B348" s="0" t="inlineStr">
        <is>
          <t>Item</t>
        </is>
      </c>
      <c r="C348" s="0" t="inlineStr">
        <is>
          <t>Acquired</t>
        </is>
      </c>
      <c r="D348" s="0" t="inlineStr">
        <is>
          <t>:</t>
        </is>
      </c>
      <c r="E348" s="0" t="inlineStr">
        <is>
          <t>105.00K</t>
        </is>
      </c>
      <c r="F348" s="0" t="inlineStr">
        <is>
          <t>(3,</t>
        </is>
      </c>
      <c r="G348" s="0" t="inlineStr">
        <is>
          <t>16)</t>
        </is>
      </c>
      <c r="K348" s="0">
        <f>IF(H347="1)",1,IF(H347="2)",2,IF(H347="3)",3,IF(H347="4)",4,IF(H347="5)",5,IF(H347="6)",6,IF(H347="7)",7,IF(H347="8)",8,0))))))))</f>
        <v/>
      </c>
      <c r="L348" s="0">
        <f>IF(H347="1)",J347,IF(H347="2)",J347,IF(H347="3)",J347,IF(H347="4)",J347,IF(H347="5)",J347,IF(H347="6)",J347,IF(H347="7)",J347,IF(H347="8)",J347,0))))))))</f>
        <v/>
      </c>
    </row>
    <row r="349">
      <c r="A349" s="0" t="inlineStr">
        <is>
          <t>New</t>
        </is>
      </c>
      <c r="B349" s="0" t="inlineStr">
        <is>
          <t>Item</t>
        </is>
      </c>
      <c r="C349" s="0" t="inlineStr">
        <is>
          <t>Acquired</t>
        </is>
      </c>
      <c r="D349" s="0" t="inlineStr">
        <is>
          <t>:</t>
        </is>
      </c>
      <c r="E349" s="0" t="inlineStr">
        <is>
          <t>60.00K</t>
        </is>
      </c>
      <c r="F349" s="0" t="inlineStr">
        <is>
          <t>(4,</t>
        </is>
      </c>
      <c r="G349" s="0" t="inlineStr">
        <is>
          <t>14)</t>
        </is>
      </c>
      <c r="K349" s="0">
        <f>IF(H348="1)",1,IF(H348="2)",2,IF(H348="3)",3,IF(H348="4)",4,IF(H348="5)",5,IF(H348="6)",6,IF(H348="7)",7,IF(H348="8)",8,0))))))))</f>
        <v/>
      </c>
      <c r="L349" s="0">
        <f>IF(H348="1)",J348,IF(H348="2)",J348,IF(H348="3)",J348,IF(H348="4)",J348,IF(H348="5)",J348,IF(H348="6)",J348,IF(H348="7)",J348,IF(H348="8)",J348,0))))))))</f>
        <v/>
      </c>
    </row>
    <row r="350">
      <c r="A350" s="0" t="inlineStr">
        <is>
          <t>New</t>
        </is>
      </c>
      <c r="B350" s="0" t="inlineStr">
        <is>
          <t>Item</t>
        </is>
      </c>
      <c r="C350" s="0" t="inlineStr">
        <is>
          <t>Acquired</t>
        </is>
      </c>
      <c r="D350" s="0" t="inlineStr">
        <is>
          <t>:</t>
        </is>
      </c>
      <c r="E350" s="0" t="inlineStr">
        <is>
          <t>37.50K</t>
        </is>
      </c>
      <c r="F350" s="0" t="inlineStr">
        <is>
          <t>(2,</t>
        </is>
      </c>
      <c r="G350" s="0" t="inlineStr">
        <is>
          <t>4)</t>
        </is>
      </c>
      <c r="K350" s="0">
        <f>IF(H349="1)",1,IF(H349="2)",2,IF(H349="3)",3,IF(H349="4)",4,IF(H349="5)",5,IF(H349="6)",6,IF(H349="7)",7,IF(H349="8)",8,0))))))))</f>
        <v/>
      </c>
      <c r="L350" s="0">
        <f>IF(H349="1)",J349,IF(H349="2)",J349,IF(H349="3)",J349,IF(H349="4)",J349,IF(H349="5)",J349,IF(H349="6)",J349,IF(H349="7)",J349,IF(H349="8)",J349,0))))))))</f>
        <v/>
      </c>
    </row>
    <row r="351">
      <c r="A351" s="0" t="inlineStr">
        <is>
          <t>New</t>
        </is>
      </c>
      <c r="B351" s="0" t="inlineStr">
        <is>
          <t>Item</t>
        </is>
      </c>
      <c r="C351" s="0" t="inlineStr">
        <is>
          <t>Acquired</t>
        </is>
      </c>
      <c r="D351" s="0" t="inlineStr">
        <is>
          <t>:</t>
        </is>
      </c>
      <c r="E351" s="0" t="inlineStr">
        <is>
          <t>200.00K</t>
        </is>
      </c>
      <c r="F351" s="0" t="inlineStr">
        <is>
          <t>(8,</t>
        </is>
      </c>
      <c r="G351" s="0" t="inlineStr">
        <is>
          <t>21)</t>
        </is>
      </c>
      <c r="K351" s="0">
        <f>IF(H350="1)",1,IF(H350="2)",2,IF(H350="3)",3,IF(H350="4)",4,IF(H350="5)",5,IF(H350="6)",6,IF(H350="7)",7,IF(H350="8)",8,0))))))))</f>
        <v/>
      </c>
      <c r="L351" s="0">
        <f>IF(H350="1)",J350,IF(H350="2)",J350,IF(H350="3)",J350,IF(H350="4)",J350,IF(H350="5)",J350,IF(H350="6)",J350,IF(H350="7)",J350,IF(H350="8)",J350,0))))))))</f>
        <v/>
      </c>
    </row>
    <row r="352">
      <c r="A352" s="0" t="inlineStr">
        <is>
          <t>New</t>
        </is>
      </c>
      <c r="B352" s="0" t="inlineStr">
        <is>
          <t>Item</t>
        </is>
      </c>
      <c r="C352" s="0" t="inlineStr">
        <is>
          <t>Acquired</t>
        </is>
      </c>
      <c r="D352" s="0" t="inlineStr">
        <is>
          <t>:</t>
        </is>
      </c>
      <c r="E352" s="0" t="inlineStr">
        <is>
          <t>112.50K</t>
        </is>
      </c>
      <c r="F352" s="0" t="inlineStr">
        <is>
          <t>(5,</t>
        </is>
      </c>
      <c r="G352" s="0" t="inlineStr">
        <is>
          <t>5)</t>
        </is>
      </c>
      <c r="K352" s="0">
        <f>IF(H351="1)",1,IF(H351="2)",2,IF(H351="3)",3,IF(H351="4)",4,IF(H351="5)",5,IF(H351="6)",6,IF(H351="7)",7,IF(H351="8)",8,0))))))))</f>
        <v/>
      </c>
      <c r="L352" s="0">
        <f>IF(H351="1)",J351,IF(H351="2)",J351,IF(H351="3)",J351,IF(H351="4)",J351,IF(H351="5)",J351,IF(H351="6)",J351,IF(H351="7)",J351,IF(H351="8)",J351,0))))))))</f>
        <v/>
      </c>
    </row>
    <row r="353">
      <c r="A353" s="0" t="inlineStr">
        <is>
          <t>New</t>
        </is>
      </c>
      <c r="B353" s="0" t="inlineStr">
        <is>
          <t>Item</t>
        </is>
      </c>
      <c r="C353" s="0" t="inlineStr">
        <is>
          <t>Acquired</t>
        </is>
      </c>
      <c r="D353" s="0" t="inlineStr">
        <is>
          <t>:</t>
        </is>
      </c>
      <c r="E353" s="0" t="inlineStr">
        <is>
          <t>175.00K</t>
        </is>
      </c>
      <c r="F353" s="0" t="inlineStr">
        <is>
          <t>(6,</t>
        </is>
      </c>
      <c r="G353" s="0" t="inlineStr">
        <is>
          <t>7)</t>
        </is>
      </c>
      <c r="K353" s="0">
        <f>IF(H352="1)",1,IF(H352="2)",2,IF(H352="3)",3,IF(H352="4)",4,IF(H352="5)",5,IF(H352="6)",6,IF(H352="7)",7,IF(H352="8)",8,0))))))))</f>
        <v/>
      </c>
      <c r="L353" s="0">
        <f>IF(H352="1)",J352,IF(H352="2)",J352,IF(H352="3)",J352,IF(H352="4)",J352,IF(H352="5)",J352,IF(H352="6)",J352,IF(H352="7)",J352,IF(H352="8)",J352,0))))))))</f>
        <v/>
      </c>
    </row>
    <row r="354">
      <c r="A354" s="0" t="inlineStr">
        <is>
          <t>New</t>
        </is>
      </c>
      <c r="B354" s="0" t="inlineStr">
        <is>
          <t>Item</t>
        </is>
      </c>
      <c r="C354" s="0" t="inlineStr">
        <is>
          <t>Acquired</t>
        </is>
      </c>
      <c r="D354" s="0" t="inlineStr">
        <is>
          <t>:</t>
        </is>
      </c>
      <c r="E354" s="0" t="inlineStr">
        <is>
          <t>Minor</t>
        </is>
      </c>
      <c r="F354" s="0" t="inlineStr">
        <is>
          <t>(8,</t>
        </is>
      </c>
      <c r="G354" s="0" t="inlineStr">
        <is>
          <t>12)</t>
        </is>
      </c>
      <c r="K354" s="0">
        <f>IF(H353="1)",1,IF(H353="2)",2,IF(H353="3)",3,IF(H353="4)",4,IF(H353="5)",5,IF(H353="6)",6,IF(H353="7)",7,IF(H353="8)",8,0))))))))</f>
        <v/>
      </c>
      <c r="L354" s="0">
        <f>IF(H353="1)",J353,IF(H353="2)",J353,IF(H353="3)",J353,IF(H353="4)",J353,IF(H353="5)",J353,IF(H353="6)",J353,IF(H353="7)",J353,IF(H353="8)",J353,0))))))))</f>
        <v/>
      </c>
    </row>
    <row r="355">
      <c r="A355" s="0" t="inlineStr">
        <is>
          <t>New</t>
        </is>
      </c>
      <c r="B355" s="0" t="inlineStr">
        <is>
          <t>Item</t>
        </is>
      </c>
      <c r="C355" s="0" t="inlineStr">
        <is>
          <t>Acquired</t>
        </is>
      </c>
      <c r="D355" s="0" t="inlineStr">
        <is>
          <t>:</t>
        </is>
      </c>
      <c r="E355" s="0" t="inlineStr">
        <is>
          <t>50.00K</t>
        </is>
      </c>
      <c r="F355" s="0" t="inlineStr">
        <is>
          <t>(1,</t>
        </is>
      </c>
      <c r="G355" s="0" t="inlineStr">
        <is>
          <t>19)</t>
        </is>
      </c>
      <c r="K355" s="0">
        <f>IF(H354="1)",1,IF(H354="2)",2,IF(H354="3)",3,IF(H354="4)",4,IF(H354="5)",5,IF(H354="6)",6,IF(H354="7)",7,IF(H354="8)",8,0))))))))</f>
        <v/>
      </c>
      <c r="L355" s="0">
        <f>IF(H354="1)",J354,IF(H354="2)",J354,IF(H354="3)",J354,IF(H354="4)",J354,IF(H354="5)",J354,IF(H354="6)",J354,IF(H354="7)",J354,IF(H354="8)",J354,0))))))))</f>
        <v/>
      </c>
    </row>
    <row r="356">
      <c r="A356" s="0" t="inlineStr">
        <is>
          <t>New</t>
        </is>
      </c>
      <c r="B356" s="0" t="inlineStr">
        <is>
          <t>Item</t>
        </is>
      </c>
      <c r="C356" s="0" t="inlineStr">
        <is>
          <t>Acquired</t>
        </is>
      </c>
      <c r="D356" s="0" t="inlineStr">
        <is>
          <t>:</t>
        </is>
      </c>
      <c r="E356" s="0" t="inlineStr">
        <is>
          <t>120.00K</t>
        </is>
      </c>
      <c r="F356" s="0" t="inlineStr">
        <is>
          <t>(8,</t>
        </is>
      </c>
      <c r="G356" s="0" t="inlineStr">
        <is>
          <t>6)</t>
        </is>
      </c>
      <c r="K356" s="0">
        <f>IF(H355="1)",1,IF(H355="2)",2,IF(H355="3)",3,IF(H355="4)",4,IF(H355="5)",5,IF(H355="6)",6,IF(H355="7)",7,IF(H355="8)",8,0))))))))</f>
        <v/>
      </c>
      <c r="L356" s="0">
        <f>IF(H355="1)",J355,IF(H355="2)",J355,IF(H355="3)",J355,IF(H355="4)",J355,IF(H355="5)",J355,IF(H355="6)",J355,IF(H355="7)",J355,IF(H355="8)",J355,0))))))))</f>
        <v/>
      </c>
    </row>
    <row r="357">
      <c r="A357" s="0" t="inlineStr">
        <is>
          <t>New</t>
        </is>
      </c>
      <c r="B357" s="0" t="inlineStr">
        <is>
          <t>Item</t>
        </is>
      </c>
      <c r="C357" s="0" t="inlineStr">
        <is>
          <t>Acquired</t>
        </is>
      </c>
      <c r="D357" s="0" t="inlineStr">
        <is>
          <t>:</t>
        </is>
      </c>
      <c r="E357" s="0" t="inlineStr">
        <is>
          <t>150.00K</t>
        </is>
      </c>
      <c r="F357" s="0" t="inlineStr">
        <is>
          <t>(7,</t>
        </is>
      </c>
      <c r="G357" s="0" t="inlineStr">
        <is>
          <t>1)</t>
        </is>
      </c>
      <c r="K357" s="0">
        <f>IF(H356="1)",1,IF(H356="2)",2,IF(H356="3)",3,IF(H356="4)",4,IF(H356="5)",5,IF(H356="6)",6,IF(H356="7)",7,IF(H356="8)",8,0))))))))</f>
        <v/>
      </c>
      <c r="L357" s="0">
        <f>IF(H356="1)",J356,IF(H356="2)",J356,IF(H356="3)",J356,IF(H356="4)",J356,IF(H356="5)",J356,IF(H356="6)",J356,IF(H356="7)",J356,IF(H356="8)",J356,0))))))))</f>
        <v/>
      </c>
    </row>
    <row r="358">
      <c r="A358" s="0" t="inlineStr">
        <is>
          <t>New</t>
        </is>
      </c>
      <c r="B358" s="0" t="inlineStr">
        <is>
          <t>Item</t>
        </is>
      </c>
      <c r="C358" s="0" t="inlineStr">
        <is>
          <t>Acquired</t>
        </is>
      </c>
      <c r="D358" s="0" t="inlineStr">
        <is>
          <t>:</t>
        </is>
      </c>
      <c r="E358" s="0" t="inlineStr">
        <is>
          <t>87.50K</t>
        </is>
      </c>
      <c r="F358" s="0" t="inlineStr">
        <is>
          <t>(2,</t>
        </is>
      </c>
      <c r="G358" s="0" t="inlineStr">
        <is>
          <t>1)</t>
        </is>
      </c>
      <c r="K358" s="0">
        <f>IF(H357="1)",1,IF(H357="2)",2,IF(H357="3)",3,IF(H357="4)",4,IF(H357="5)",5,IF(H357="6)",6,IF(H357="7)",7,IF(H357="8)",8,0))))))))</f>
        <v/>
      </c>
      <c r="L358" s="0">
        <f>IF(H357="1)",J357,IF(H357="2)",J357,IF(H357="3)",J357,IF(H357="4)",J357,IF(H357="5)",J357,IF(H357="6)",J357,IF(H357="7)",J357,IF(H357="8)",J357,0))))))))</f>
        <v/>
      </c>
    </row>
    <row r="359">
      <c r="A359" s="0" t="inlineStr">
        <is>
          <t>Line</t>
        </is>
      </c>
      <c r="B359" s="0" t="inlineStr">
        <is>
          <t>Prize</t>
        </is>
      </c>
      <c r="C359" s="0" t="inlineStr">
        <is>
          <t>Acquired</t>
        </is>
      </c>
      <c r="D359" s="0" t="inlineStr">
        <is>
          <t>:</t>
        </is>
      </c>
      <c r="E359" s="0" t="inlineStr">
        <is>
          <t>287.50K</t>
        </is>
      </c>
      <c r="F359" s="0" t="inlineStr">
        <is>
          <t>(Stage</t>
        </is>
      </c>
      <c r="G359" s="0" t="inlineStr">
        <is>
          <t>:</t>
        </is>
      </c>
      <c r="H359" s="0" t="inlineStr">
        <is>
          <t>2)</t>
        </is>
      </c>
      <c r="I359" s="0" t="inlineStr">
        <is>
          <t>-</t>
        </is>
      </c>
      <c r="J359" s="0" t="n">
        <v>287500</v>
      </c>
      <c r="K359" s="0">
        <f>IF(H358="1)",1,IF(H358="2)",2,IF(H358="3)",3,IF(H358="4)",4,IF(H358="5)",5,IF(H358="6)",6,IF(H358="7)",7,IF(H358="8)",8,0))))))))</f>
        <v/>
      </c>
      <c r="L359" s="0">
        <f>IF(H358="1)",J358,IF(H358="2)",J358,IF(H358="3)",J358,IF(H358="4)",J358,IF(H358="5)",J358,IF(H358="6)",J358,IF(H358="7)",J358,IF(H358="8)",J358,0))))))))</f>
        <v/>
      </c>
    </row>
    <row r="360">
      <c r="A360" s="0" t="inlineStr">
        <is>
          <t>Clear</t>
        </is>
      </c>
      <c r="B360" s="0" t="inlineStr">
        <is>
          <t>Gem</t>
        </is>
      </c>
      <c r="C360" s="0" t="inlineStr">
        <is>
          <t>Acquired</t>
        </is>
      </c>
      <c r="D360" s="0" t="inlineStr">
        <is>
          <t>:</t>
        </is>
      </c>
      <c r="E360" s="0" t="n">
        <v>1700</v>
      </c>
      <c r="F360" s="0" t="inlineStr">
        <is>
          <t>-&gt;</t>
        </is>
      </c>
      <c r="G360" s="0" t="n">
        <v>1800</v>
      </c>
      <c r="H360" s="0" t="inlineStr">
        <is>
          <t>(Stage</t>
        </is>
      </c>
      <c r="I360" s="0" t="inlineStr">
        <is>
          <t>:</t>
        </is>
      </c>
      <c r="J360" s="0" t="inlineStr">
        <is>
          <t>2)</t>
        </is>
      </c>
      <c r="K360" s="0">
        <f>IF(H359="1)",1,IF(H359="2)",2,IF(H359="3)",3,IF(H359="4)",4,IF(H359="5)",5,IF(H359="6)",6,IF(H359="7)",7,IF(H359="8)",8,0))))))))</f>
        <v/>
      </c>
      <c r="L360" s="0">
        <f>IF(H359="1)",J359,IF(H359="2)",J359,IF(H359="3)",J359,IF(H359="4)",J359,IF(H359="5)",J359,IF(H359="6)",J359,IF(H359="7)",J359,IF(H359="8)",J359,0))))))))</f>
        <v/>
      </c>
    </row>
    <row r="361">
      <c r="A361" s="0" t="inlineStr">
        <is>
          <t>New</t>
        </is>
      </c>
      <c r="B361" s="0" t="inlineStr">
        <is>
          <t>Item</t>
        </is>
      </c>
      <c r="C361" s="0" t="inlineStr">
        <is>
          <t>Acquired</t>
        </is>
      </c>
      <c r="D361" s="0" t="inlineStr">
        <is>
          <t>:</t>
        </is>
      </c>
      <c r="E361" s="0" t="inlineStr">
        <is>
          <t>157.50K</t>
        </is>
      </c>
      <c r="F361" s="0" t="inlineStr">
        <is>
          <t>(5,</t>
        </is>
      </c>
      <c r="G361" s="0" t="inlineStr">
        <is>
          <t>3)</t>
        </is>
      </c>
      <c r="K361" s="0">
        <f>IF(H360="1)",1,IF(H360="2)",2,IF(H360="3)",3,IF(H360="4)",4,IF(H360="5)",5,IF(H360="6)",6,IF(H360="7)",7,IF(H360="8)",8,0))))))))</f>
        <v/>
      </c>
      <c r="L361" s="0">
        <f>IF(H360="1)",J360,IF(H360="2)",J360,IF(H360="3)",J360,IF(H360="4)",J360,IF(H360="5)",J360,IF(H360="6)",J360,IF(H360="7)",J360,IF(H360="8)",J360,0))))))))</f>
        <v/>
      </c>
    </row>
    <row r="362">
      <c r="A362" s="0" t="inlineStr">
        <is>
          <t>New</t>
        </is>
      </c>
      <c r="B362" s="0" t="inlineStr">
        <is>
          <t>Item</t>
        </is>
      </c>
      <c r="C362" s="0" t="inlineStr">
        <is>
          <t>Acquired</t>
        </is>
      </c>
      <c r="D362" s="0" t="inlineStr">
        <is>
          <t>:</t>
        </is>
      </c>
      <c r="E362" s="0" t="inlineStr">
        <is>
          <t>30.00K</t>
        </is>
      </c>
      <c r="F362" s="0" t="inlineStr">
        <is>
          <t>(1,</t>
        </is>
      </c>
      <c r="G362" s="0" t="inlineStr">
        <is>
          <t>23)</t>
        </is>
      </c>
      <c r="K362" s="0">
        <f>IF(H361="1)",1,IF(H361="2)",2,IF(H361="3)",3,IF(H361="4)",4,IF(H361="5)",5,IF(H361="6)",6,IF(H361="7)",7,IF(H361="8)",8,0))))))))</f>
        <v/>
      </c>
      <c r="L362" s="0">
        <f>IF(H361="1)",J361,IF(H361="2)",J361,IF(H361="3)",J361,IF(H361="4)",J361,IF(H361="5)",J361,IF(H361="6)",J361,IF(H361="7)",J361,IF(H361="8)",J361,0))))))))</f>
        <v/>
      </c>
    </row>
    <row r="363">
      <c r="A363" s="0" t="inlineStr">
        <is>
          <t>Line</t>
        </is>
      </c>
      <c r="B363" s="0" t="inlineStr">
        <is>
          <t>Prize</t>
        </is>
      </c>
      <c r="C363" s="0" t="inlineStr">
        <is>
          <t>Acquired</t>
        </is>
      </c>
      <c r="D363" s="0" t="inlineStr">
        <is>
          <t>:</t>
        </is>
      </c>
      <c r="E363" s="0" t="inlineStr">
        <is>
          <t>490.00K</t>
        </is>
      </c>
      <c r="F363" s="0" t="inlineStr">
        <is>
          <t>(Stage</t>
        </is>
      </c>
      <c r="G363" s="0" t="inlineStr">
        <is>
          <t>:</t>
        </is>
      </c>
      <c r="H363" s="0" t="inlineStr">
        <is>
          <t>1)</t>
        </is>
      </c>
      <c r="I363" s="0" t="inlineStr">
        <is>
          <t>-</t>
        </is>
      </c>
      <c r="J363" s="0" t="n">
        <v>490000</v>
      </c>
      <c r="K363" s="0">
        <f>IF(H362="1)",1,IF(H362="2)",2,IF(H362="3)",3,IF(H362="4)",4,IF(H362="5)",5,IF(H362="6)",6,IF(H362="7)",7,IF(H362="8)",8,0))))))))</f>
        <v/>
      </c>
      <c r="L363" s="0">
        <f>IF(H362="1)",J362,IF(H362="2)",J362,IF(H362="3)",J362,IF(H362="4)",J362,IF(H362="5)",J362,IF(H362="6)",J362,IF(H362="7)",J362,IF(H362="8)",J362,0))))))))</f>
        <v/>
      </c>
    </row>
    <row r="364">
      <c r="A364" s="0" t="inlineStr">
        <is>
          <t>Clear</t>
        </is>
      </c>
      <c r="B364" s="0" t="inlineStr">
        <is>
          <t>Gem</t>
        </is>
      </c>
      <c r="C364" s="0" t="inlineStr">
        <is>
          <t>Acquired</t>
        </is>
      </c>
      <c r="D364" s="0" t="inlineStr">
        <is>
          <t>:</t>
        </is>
      </c>
      <c r="E364" s="0" t="n">
        <v>1800</v>
      </c>
      <c r="F364" s="0" t="inlineStr">
        <is>
          <t>-&gt;</t>
        </is>
      </c>
      <c r="G364" s="0" t="n">
        <v>1900</v>
      </c>
      <c r="H364" s="0" t="inlineStr">
        <is>
          <t>(Stage</t>
        </is>
      </c>
      <c r="I364" s="0" t="inlineStr">
        <is>
          <t>:</t>
        </is>
      </c>
      <c r="J364" s="0" t="inlineStr">
        <is>
          <t>1)</t>
        </is>
      </c>
      <c r="K364" s="0">
        <f>IF(H363="1)",1,IF(H363="2)",2,IF(H363="3)",3,IF(H363="4)",4,IF(H363="5)",5,IF(H363="6)",6,IF(H363="7)",7,IF(H363="8)",8,0))))))))</f>
        <v/>
      </c>
      <c r="L364" s="0">
        <f>IF(H363="1)",J363,IF(H363="2)",J363,IF(H363="3)",J363,IF(H363="4)",J363,IF(H363="5)",J363,IF(H363="6)",J363,IF(H363="7)",J363,IF(H363="8)",J363,0))))))))</f>
        <v/>
      </c>
    </row>
    <row r="365">
      <c r="A365" s="0" t="inlineStr">
        <is>
          <t>New</t>
        </is>
      </c>
      <c r="B365" s="0" t="inlineStr">
        <is>
          <t>Item</t>
        </is>
      </c>
      <c r="C365" s="0" t="inlineStr">
        <is>
          <t>Acquired</t>
        </is>
      </c>
      <c r="D365" s="0" t="inlineStr">
        <is>
          <t>:</t>
        </is>
      </c>
      <c r="E365" s="0" t="inlineStr">
        <is>
          <t>50.00K</t>
        </is>
      </c>
      <c r="F365" s="0" t="inlineStr">
        <is>
          <t>(1,</t>
        </is>
      </c>
      <c r="G365" s="0" t="inlineStr">
        <is>
          <t>5)</t>
        </is>
      </c>
      <c r="K365" s="0">
        <f>IF(H364="1)",1,IF(H364="2)",2,IF(H364="3)",3,IF(H364="4)",4,IF(H364="5)",5,IF(H364="6)",6,IF(H364="7)",7,IF(H364="8)",8,0))))))))</f>
        <v/>
      </c>
      <c r="L365" s="0">
        <f>IF(H364="1)",J364,IF(H364="2)",J364,IF(H364="3)",J364,IF(H364="4)",J364,IF(H364="5)",J364,IF(H364="6)",J364,IF(H364="7)",J364,IF(H364="8)",J364,0))))))))</f>
        <v/>
      </c>
    </row>
    <row r="366">
      <c r="A366" s="0" t="inlineStr">
        <is>
          <t>New</t>
        </is>
      </c>
      <c r="B366" s="0" t="inlineStr">
        <is>
          <t>Item</t>
        </is>
      </c>
      <c r="C366" s="0" t="inlineStr">
        <is>
          <t>Acquired</t>
        </is>
      </c>
      <c r="D366" s="0" t="inlineStr">
        <is>
          <t>:</t>
        </is>
      </c>
      <c r="E366" s="0" t="inlineStr">
        <is>
          <t>90.00K</t>
        </is>
      </c>
      <c r="F366" s="0" t="inlineStr">
        <is>
          <t>(7,</t>
        </is>
      </c>
      <c r="G366" s="0" t="inlineStr">
        <is>
          <t>10)</t>
        </is>
      </c>
      <c r="K366" s="0">
        <f>IF(H365="1)",1,IF(H365="2)",2,IF(H365="3)",3,IF(H365="4)",4,IF(H365="5)",5,IF(H365="6)",6,IF(H365="7)",7,IF(H365="8)",8,0))))))))</f>
        <v/>
      </c>
      <c r="L366" s="0">
        <f>IF(H365="1)",J365,IF(H365="2)",J365,IF(H365="3)",J365,IF(H365="4)",J365,IF(H365="5)",J365,IF(H365="6)",J365,IF(H365="7)",J365,IF(H365="8)",J365,0))))))))</f>
        <v/>
      </c>
    </row>
    <row r="367">
      <c r="A367" s="0" t="inlineStr">
        <is>
          <t>New</t>
        </is>
      </c>
      <c r="B367" s="0" t="inlineStr">
        <is>
          <t>Item</t>
        </is>
      </c>
      <c r="C367" s="0" t="inlineStr">
        <is>
          <t>Acquired</t>
        </is>
      </c>
      <c r="D367" s="0" t="inlineStr">
        <is>
          <t>:</t>
        </is>
      </c>
      <c r="E367" s="0" t="inlineStr">
        <is>
          <t>200.00K</t>
        </is>
      </c>
      <c r="F367" s="0" t="inlineStr">
        <is>
          <t>(8,</t>
        </is>
      </c>
      <c r="G367" s="0" t="inlineStr">
        <is>
          <t>17)</t>
        </is>
      </c>
      <c r="K367" s="0">
        <f>IF(H366="1)",1,IF(H366="2)",2,IF(H366="3)",3,IF(H366="4)",4,IF(H366="5)",5,IF(H366="6)",6,IF(H366="7)",7,IF(H366="8)",8,0))))))))</f>
        <v/>
      </c>
      <c r="L367" s="0">
        <f>IF(H366="1)",J366,IF(H366="2)",J366,IF(H366="3)",J366,IF(H366="4)",J366,IF(H366="5)",J366,IF(H366="6)",J366,IF(H366="7)",J366,IF(H366="8)",J366,0))))))))</f>
        <v/>
      </c>
    </row>
    <row r="368">
      <c r="A368" s="0" t="inlineStr">
        <is>
          <t>New</t>
        </is>
      </c>
      <c r="B368" s="0" t="inlineStr">
        <is>
          <t>Item</t>
        </is>
      </c>
      <c r="C368" s="0" t="inlineStr">
        <is>
          <t>Acquired</t>
        </is>
      </c>
      <c r="D368" s="0" t="inlineStr">
        <is>
          <t>:</t>
        </is>
      </c>
      <c r="E368" s="0" t="inlineStr">
        <is>
          <t>120.00K</t>
        </is>
      </c>
      <c r="F368" s="0" t="inlineStr">
        <is>
          <t>(8,</t>
        </is>
      </c>
      <c r="G368" s="0" t="inlineStr">
        <is>
          <t>20)</t>
        </is>
      </c>
      <c r="K368" s="0">
        <f>IF(H367="1)",1,IF(H367="2)",2,IF(H367="3)",3,IF(H367="4)",4,IF(H367="5)",5,IF(H367="6)",6,IF(H367="7)",7,IF(H367="8)",8,0))))))))</f>
        <v/>
      </c>
      <c r="L368" s="0">
        <f>IF(H367="1)",J367,IF(H367="2)",J367,IF(H367="3)",J367,IF(H367="4)",J367,IF(H367="5)",J367,IF(H367="6)",J367,IF(H367="7)",J367,IF(H367="8)",J367,0))))))))</f>
        <v/>
      </c>
    </row>
    <row r="369">
      <c r="A369" s="0" t="inlineStr">
        <is>
          <t>New</t>
        </is>
      </c>
      <c r="B369" s="0" t="inlineStr">
        <is>
          <t>Item</t>
        </is>
      </c>
      <c r="C369" s="0" t="inlineStr">
        <is>
          <t>Acquired</t>
        </is>
      </c>
      <c r="D369" s="0" t="inlineStr">
        <is>
          <t>:</t>
        </is>
      </c>
      <c r="E369" s="0" t="inlineStr">
        <is>
          <t>125.00K</t>
        </is>
      </c>
      <c r="F369" s="0" t="inlineStr">
        <is>
          <t>(6,</t>
        </is>
      </c>
      <c r="G369" s="0" t="inlineStr">
        <is>
          <t>1)</t>
        </is>
      </c>
      <c r="K369" s="0">
        <f>IF(H368="1)",1,IF(H368="2)",2,IF(H368="3)",3,IF(H368="4)",4,IF(H368="5)",5,IF(H368="6)",6,IF(H368="7)",7,IF(H368="8)",8,0))))))))</f>
        <v/>
      </c>
      <c r="L369" s="0">
        <f>IF(H368="1)",J368,IF(H368="2)",J368,IF(H368="3)",J368,IF(H368="4)",J368,IF(H368="5)",J368,IF(H368="6)",J368,IF(H368="7)",J368,IF(H368="8)",J368,0))))))))</f>
        <v/>
      </c>
    </row>
    <row r="370">
      <c r="A370" s="0" t="inlineStr">
        <is>
          <t>New</t>
        </is>
      </c>
      <c r="B370" s="0" t="inlineStr">
        <is>
          <t>Item</t>
        </is>
      </c>
      <c r="C370" s="0" t="inlineStr">
        <is>
          <t>Acquired</t>
        </is>
      </c>
      <c r="D370" s="0" t="inlineStr">
        <is>
          <t>:</t>
        </is>
      </c>
      <c r="E370" s="0" t="inlineStr">
        <is>
          <t>45.00K</t>
        </is>
      </c>
      <c r="F370" s="0" t="inlineStr">
        <is>
          <t>(3,</t>
        </is>
      </c>
      <c r="G370" s="0" t="inlineStr">
        <is>
          <t>18)</t>
        </is>
      </c>
      <c r="K370" s="0">
        <f>IF(H369="1)",1,IF(H369="2)",2,IF(H369="3)",3,IF(H369="4)",4,IF(H369="5)",5,IF(H369="6)",6,IF(H369="7)",7,IF(H369="8)",8,0))))))))</f>
        <v/>
      </c>
      <c r="L370" s="0">
        <f>IF(H369="1)",J369,IF(H369="2)",J369,IF(H369="3)",J369,IF(H369="4)",J369,IF(H369="5)",J369,IF(H369="6)",J369,IF(H369="7)",J369,IF(H369="8)",J369,0))))))))</f>
        <v/>
      </c>
    </row>
    <row r="371">
      <c r="A371" s="0" t="inlineStr">
        <is>
          <t>New</t>
        </is>
      </c>
      <c r="B371" s="0" t="inlineStr">
        <is>
          <t>Item</t>
        </is>
      </c>
      <c r="C371" s="0" t="inlineStr">
        <is>
          <t>Acquired</t>
        </is>
      </c>
      <c r="D371" s="0" t="inlineStr">
        <is>
          <t>:</t>
        </is>
      </c>
      <c r="E371" s="0" t="inlineStr">
        <is>
          <t>75.00K</t>
        </is>
      </c>
      <c r="F371" s="0" t="inlineStr">
        <is>
          <t>(3,</t>
        </is>
      </c>
      <c r="G371" s="0" t="inlineStr">
        <is>
          <t>21)</t>
        </is>
      </c>
      <c r="K371" s="0">
        <f>IF(H370="1)",1,IF(H370="2)",2,IF(H370="3)",3,IF(H370="4)",4,IF(H370="5)",5,IF(H370="6)",6,IF(H370="7)",7,IF(H370="8)",8,0))))))))</f>
        <v/>
      </c>
      <c r="L371" s="0">
        <f>IF(H370="1)",J370,IF(H370="2)",J370,IF(H370="3)",J370,IF(H370="4)",J370,IF(H370="5)",J370,IF(H370="6)",J370,IF(H370="7)",J370,IF(H370="8)",J370,0))))))))</f>
        <v/>
      </c>
    </row>
    <row r="372">
      <c r="A372" s="0" t="inlineStr">
        <is>
          <t>New</t>
        </is>
      </c>
      <c r="B372" s="0" t="inlineStr">
        <is>
          <t>Item</t>
        </is>
      </c>
      <c r="C372" s="0" t="inlineStr">
        <is>
          <t>Acquired</t>
        </is>
      </c>
      <c r="D372" s="0" t="inlineStr">
        <is>
          <t>:</t>
        </is>
      </c>
      <c r="E372" s="0" t="inlineStr">
        <is>
          <t>45.00K</t>
        </is>
      </c>
      <c r="F372" s="0" t="inlineStr">
        <is>
          <t>(3,</t>
        </is>
      </c>
      <c r="G372" s="0" t="inlineStr">
        <is>
          <t>25)</t>
        </is>
      </c>
      <c r="K372" s="0">
        <f>IF(H371="1)",1,IF(H371="2)",2,IF(H371="3)",3,IF(H371="4)",4,IF(H371="5)",5,IF(H371="6)",6,IF(H371="7)",7,IF(H371="8)",8,0))))))))</f>
        <v/>
      </c>
      <c r="L372" s="0">
        <f>IF(H371="1)",J371,IF(H371="2)",J371,IF(H371="3)",J371,IF(H371="4)",J371,IF(H371="5)",J371,IF(H371="6)",J371,IF(H371="7)",J371,IF(H371="8)",J371,0))))))))</f>
        <v/>
      </c>
    </row>
    <row r="373">
      <c r="A373" s="0" t="inlineStr">
        <is>
          <t>New</t>
        </is>
      </c>
      <c r="B373" s="0" t="inlineStr">
        <is>
          <t>Item</t>
        </is>
      </c>
      <c r="C373" s="0" t="inlineStr">
        <is>
          <t>Acquired</t>
        </is>
      </c>
      <c r="D373" s="0" t="inlineStr">
        <is>
          <t>:</t>
        </is>
      </c>
      <c r="E373" s="0" t="inlineStr">
        <is>
          <t>120.00K</t>
        </is>
      </c>
      <c r="F373" s="0" t="inlineStr">
        <is>
          <t>(8,</t>
        </is>
      </c>
      <c r="G373" s="0" t="inlineStr">
        <is>
          <t>4)</t>
        </is>
      </c>
      <c r="K373" s="0">
        <f>IF(H372="1)",1,IF(H372="2)",2,IF(H372="3)",3,IF(H372="4)",4,IF(H372="5)",5,IF(H372="6)",6,IF(H372="7)",7,IF(H372="8)",8,0))))))))</f>
        <v/>
      </c>
      <c r="L373" s="0">
        <f>IF(H372="1)",J372,IF(H372="2)",J372,IF(H372="3)",J372,IF(H372="4)",J372,IF(H372="5)",J372,IF(H372="6)",J372,IF(H372="7)",J372,IF(H372="8)",J372,0))))))))</f>
        <v/>
      </c>
    </row>
    <row r="374">
      <c r="A374" s="0" t="inlineStr">
        <is>
          <t>New</t>
        </is>
      </c>
      <c r="B374" s="0" t="inlineStr">
        <is>
          <t>Item</t>
        </is>
      </c>
      <c r="C374" s="0" t="inlineStr">
        <is>
          <t>Acquired</t>
        </is>
      </c>
      <c r="D374" s="0" t="inlineStr">
        <is>
          <t>:</t>
        </is>
      </c>
      <c r="E374" s="0" t="inlineStr">
        <is>
          <t>37.50K</t>
        </is>
      </c>
      <c r="F374" s="0" t="inlineStr">
        <is>
          <t>(2,</t>
        </is>
      </c>
      <c r="G374" s="0" t="inlineStr">
        <is>
          <t>5)</t>
        </is>
      </c>
      <c r="K374" s="0">
        <f>IF(H373="1)",1,IF(H373="2)",2,IF(H373="3)",3,IF(H373="4)",4,IF(H373="5)",5,IF(H373="6)",6,IF(H373="7)",7,IF(H373="8)",8,0))))))))</f>
        <v/>
      </c>
      <c r="L374" s="0">
        <f>IF(H373="1)",J373,IF(H373="2)",J373,IF(H373="3)",J373,IF(H373="4)",J373,IF(H373="5)",J373,IF(H373="6)",J373,IF(H373="7)",J373,IF(H373="8)",J373,0))))))))</f>
        <v/>
      </c>
    </row>
    <row r="375">
      <c r="A375" s="0" t="inlineStr">
        <is>
          <t>New</t>
        </is>
      </c>
      <c r="B375" s="0" t="inlineStr">
        <is>
          <t>Item</t>
        </is>
      </c>
      <c r="C375" s="0" t="inlineStr">
        <is>
          <t>Acquired</t>
        </is>
      </c>
      <c r="D375" s="0" t="inlineStr">
        <is>
          <t>:</t>
        </is>
      </c>
      <c r="E375" s="0" t="inlineStr">
        <is>
          <t>70.00K</t>
        </is>
      </c>
      <c r="F375" s="0" t="inlineStr">
        <is>
          <t>(1,</t>
        </is>
      </c>
      <c r="G375" s="0" t="inlineStr">
        <is>
          <t>23)</t>
        </is>
      </c>
      <c r="K375" s="0">
        <f>IF(H374="1)",1,IF(H374="2)",2,IF(H374="3)",3,IF(H374="4)",4,IF(H374="5)",5,IF(H374="6)",6,IF(H374="7)",7,IF(H374="8)",8,0))))))))</f>
        <v/>
      </c>
      <c r="L375" s="0">
        <f>IF(H374="1)",J374,IF(H374="2)",J374,IF(H374="3)",J374,IF(H374="4)",J374,IF(H374="5)",J374,IF(H374="6)",J374,IF(H374="7)",J374,IF(H374="8)",J374,0))))))))</f>
        <v/>
      </c>
    </row>
    <row r="376">
      <c r="A376" s="0" t="inlineStr">
        <is>
          <t>New</t>
        </is>
      </c>
      <c r="B376" s="0" t="inlineStr">
        <is>
          <t>Item</t>
        </is>
      </c>
      <c r="C376" s="0" t="inlineStr">
        <is>
          <t>Acquired</t>
        </is>
      </c>
      <c r="D376" s="0" t="inlineStr">
        <is>
          <t>:</t>
        </is>
      </c>
      <c r="E376" s="0" t="inlineStr">
        <is>
          <t>Minor</t>
        </is>
      </c>
      <c r="F376" s="0" t="inlineStr">
        <is>
          <t>(4,</t>
        </is>
      </c>
      <c r="G376" s="0" t="inlineStr">
        <is>
          <t>3)</t>
        </is>
      </c>
      <c r="K376" s="0">
        <f>IF(H375="1)",1,IF(H375="2)",2,IF(H375="3)",3,IF(H375="4)",4,IF(H375="5)",5,IF(H375="6)",6,IF(H375="7)",7,IF(H375="8)",8,0))))))))</f>
        <v/>
      </c>
      <c r="L376" s="0">
        <f>IF(H375="1)",J375,IF(H375="2)",J375,IF(H375="3)",J375,IF(H375="4)",J375,IF(H375="5)",J375,IF(H375="6)",J375,IF(H375="7)",J375,IF(H375="8)",J375,0))))))))</f>
        <v/>
      </c>
    </row>
    <row r="377">
      <c r="A377" s="0" t="inlineStr">
        <is>
          <t>New</t>
        </is>
      </c>
      <c r="B377" s="0" t="inlineStr">
        <is>
          <t>Item</t>
        </is>
      </c>
      <c r="C377" s="0" t="inlineStr">
        <is>
          <t>Acquired</t>
        </is>
      </c>
      <c r="D377" s="0" t="inlineStr">
        <is>
          <t>:</t>
        </is>
      </c>
      <c r="E377" s="0" t="inlineStr">
        <is>
          <t>75.00K</t>
        </is>
      </c>
      <c r="F377" s="0" t="inlineStr">
        <is>
          <t>(6,</t>
        </is>
      </c>
      <c r="G377" s="0" t="inlineStr">
        <is>
          <t>12)</t>
        </is>
      </c>
      <c r="K377" s="0">
        <f>IF(H376="1)",1,IF(H376="2)",2,IF(H376="3)",3,IF(H376="4)",4,IF(H376="5)",5,IF(H376="6)",6,IF(H376="7)",7,IF(H376="8)",8,0))))))))</f>
        <v/>
      </c>
      <c r="L377" s="0">
        <f>IF(H376="1)",J376,IF(H376="2)",J376,IF(H376="3)",J376,IF(H376="4)",J376,IF(H376="5)",J376,IF(H376="6)",J376,IF(H376="7)",J376,IF(H376="8)",J376,0))))))))</f>
        <v/>
      </c>
    </row>
    <row r="378">
      <c r="A378" s="0" t="inlineStr">
        <is>
          <t>Line</t>
        </is>
      </c>
      <c r="B378" s="0" t="inlineStr">
        <is>
          <t>Prize</t>
        </is>
      </c>
      <c r="C378" s="0" t="inlineStr">
        <is>
          <t>Acquired</t>
        </is>
      </c>
      <c r="D378" s="0" t="inlineStr">
        <is>
          <t>:</t>
        </is>
      </c>
      <c r="E378" s="0" t="inlineStr">
        <is>
          <t>1.65M</t>
        </is>
      </c>
      <c r="F378" s="0" t="inlineStr">
        <is>
          <t>(Stage</t>
        </is>
      </c>
      <c r="G378" s="0" t="inlineStr">
        <is>
          <t>:</t>
        </is>
      </c>
      <c r="H378" s="0" t="inlineStr">
        <is>
          <t>6)</t>
        </is>
      </c>
      <c r="I378" s="0" t="inlineStr">
        <is>
          <t>-</t>
        </is>
      </c>
      <c r="J378" s="0" t="n">
        <v>1650000</v>
      </c>
      <c r="K378" s="0">
        <f>IF(H377="1)",1,IF(H377="2)",2,IF(H377="3)",3,IF(H377="4)",4,IF(H377="5)",5,IF(H377="6)",6,IF(H377="7)",7,IF(H377="8)",8,0))))))))</f>
        <v/>
      </c>
      <c r="L378" s="0">
        <f>IF(H377="1)",J377,IF(H377="2)",J377,IF(H377="3)",J377,IF(H377="4)",J377,IF(H377="5)",J377,IF(H377="6)",J377,IF(H377="7)",J377,IF(H377="8)",J377,0))))))))</f>
        <v/>
      </c>
    </row>
    <row r="379">
      <c r="A379" s="0" t="inlineStr">
        <is>
          <t>Clear</t>
        </is>
      </c>
      <c r="B379" s="0" t="inlineStr">
        <is>
          <t>Gem</t>
        </is>
      </c>
      <c r="C379" s="0" t="inlineStr">
        <is>
          <t>Acquired</t>
        </is>
      </c>
      <c r="D379" s="0" t="inlineStr">
        <is>
          <t>:</t>
        </is>
      </c>
      <c r="E379" s="0" t="n">
        <v>1900</v>
      </c>
      <c r="F379" s="0" t="inlineStr">
        <is>
          <t>-&gt;</t>
        </is>
      </c>
      <c r="G379" s="0" t="n">
        <v>2000</v>
      </c>
      <c r="H379" s="0" t="inlineStr">
        <is>
          <t>(Stage</t>
        </is>
      </c>
      <c r="I379" s="0" t="inlineStr">
        <is>
          <t>:</t>
        </is>
      </c>
      <c r="J379" s="0" t="inlineStr">
        <is>
          <t>6)</t>
        </is>
      </c>
      <c r="K379" s="0">
        <f>IF(H378="1)",1,IF(H378="2)",2,IF(H378="3)",3,IF(H378="4)",4,IF(H378="5)",5,IF(H378="6)",6,IF(H378="7)",7,IF(H378="8)",8,0))))))))</f>
        <v/>
      </c>
      <c r="L379" s="0">
        <f>IF(H378="1)",J378,IF(H378="2)",J378,IF(H378="3)",J378,IF(H378="4)",J378,IF(H378="5)",J378,IF(H378="6)",J378,IF(H378="7)",J378,IF(H378="8)",J378,0))))))))</f>
        <v/>
      </c>
    </row>
    <row r="380">
      <c r="A380" s="0" t="inlineStr">
        <is>
          <t>New</t>
        </is>
      </c>
      <c r="B380" s="0" t="inlineStr">
        <is>
          <t>Item</t>
        </is>
      </c>
      <c r="C380" s="0" t="inlineStr">
        <is>
          <t>Acquired</t>
        </is>
      </c>
      <c r="D380" s="0" t="inlineStr">
        <is>
          <t>:</t>
        </is>
      </c>
      <c r="E380" s="0" t="inlineStr">
        <is>
          <t>Mini</t>
        </is>
      </c>
      <c r="F380" s="0" t="inlineStr">
        <is>
          <t>(1,</t>
        </is>
      </c>
      <c r="G380" s="0" t="inlineStr">
        <is>
          <t>12)</t>
        </is>
      </c>
      <c r="K380" s="0">
        <f>IF(H379="1)",1,IF(H379="2)",2,IF(H379="3)",3,IF(H379="4)",4,IF(H379="5)",5,IF(H379="6)",6,IF(H379="7)",7,IF(H379="8)",8,0))))))))</f>
        <v/>
      </c>
      <c r="L380" s="0">
        <f>IF(H379="1)",J379,IF(H379="2)",J379,IF(H379="3)",J379,IF(H379="4)",J379,IF(H379="5)",J379,IF(H379="6)",J379,IF(H379="7)",J379,IF(H379="8)",J379,0))))))))</f>
        <v/>
      </c>
    </row>
    <row r="381">
      <c r="A381" s="0" t="inlineStr">
        <is>
          <t>New</t>
        </is>
      </c>
      <c r="B381" s="0" t="inlineStr">
        <is>
          <t>Item</t>
        </is>
      </c>
      <c r="C381" s="0" t="inlineStr">
        <is>
          <t>Acquired</t>
        </is>
      </c>
      <c r="D381" s="0" t="inlineStr">
        <is>
          <t>:</t>
        </is>
      </c>
      <c r="E381" s="0" t="inlineStr">
        <is>
          <t>87.50K</t>
        </is>
      </c>
      <c r="F381" s="0" t="inlineStr">
        <is>
          <t>(2,</t>
        </is>
      </c>
      <c r="G381" s="0" t="inlineStr">
        <is>
          <t>7)</t>
        </is>
      </c>
      <c r="K381" s="0">
        <f>IF(H380="1)",1,IF(H380="2)",2,IF(H380="3)",3,IF(H380="4)",4,IF(H380="5)",5,IF(H380="6)",6,IF(H380="7)",7,IF(H380="8)",8,0))))))))</f>
        <v/>
      </c>
      <c r="L381" s="0">
        <f>IF(H380="1)",J380,IF(H380="2)",J380,IF(H380="3)",J380,IF(H380="4)",J380,IF(H380="5)",J380,IF(H380="6)",J380,IF(H380="7)",J380,IF(H380="8)",J380,0))))))))</f>
        <v/>
      </c>
    </row>
    <row r="382">
      <c r="A382" s="0" t="inlineStr">
        <is>
          <t>New</t>
        </is>
      </c>
      <c r="B382" s="0" t="inlineStr">
        <is>
          <t>Item</t>
        </is>
      </c>
      <c r="C382" s="0" t="inlineStr">
        <is>
          <t>Acquired</t>
        </is>
      </c>
      <c r="D382" s="0" t="inlineStr">
        <is>
          <t>:</t>
        </is>
      </c>
      <c r="E382" s="0" t="inlineStr">
        <is>
          <t>157.50K</t>
        </is>
      </c>
      <c r="F382" s="0" t="inlineStr">
        <is>
          <t>(5,</t>
        </is>
      </c>
      <c r="G382" s="0" t="inlineStr">
        <is>
          <t>19)</t>
        </is>
      </c>
      <c r="K382" s="0">
        <f>IF(H381="1)",1,IF(H381="2)",2,IF(H381="3)",3,IF(H381="4)",4,IF(H381="5)",5,IF(H381="6)",6,IF(H381="7)",7,IF(H381="8)",8,0))))))))</f>
        <v/>
      </c>
      <c r="L382" s="0">
        <f>IF(H381="1)",J381,IF(H381="2)",J381,IF(H381="3)",J381,IF(H381="4)",J381,IF(H381="5)",J381,IF(H381="6)",J381,IF(H381="7)",J381,IF(H381="8)",J381,0))))))))</f>
        <v/>
      </c>
    </row>
    <row r="383">
      <c r="A383" s="0" t="inlineStr">
        <is>
          <t>Line</t>
        </is>
      </c>
      <c r="B383" s="0" t="inlineStr">
        <is>
          <t>Prize</t>
        </is>
      </c>
      <c r="C383" s="0" t="inlineStr">
        <is>
          <t>Acquired</t>
        </is>
      </c>
      <c r="D383" s="0" t="inlineStr">
        <is>
          <t>:</t>
        </is>
      </c>
      <c r="E383" s="0" t="inlineStr">
        <is>
          <t>855.00K</t>
        </is>
      </c>
      <c r="F383" s="0" t="inlineStr">
        <is>
          <t>(Stage</t>
        </is>
      </c>
      <c r="G383" s="0" t="inlineStr">
        <is>
          <t>:</t>
        </is>
      </c>
      <c r="H383" s="0" t="inlineStr">
        <is>
          <t>5)</t>
        </is>
      </c>
      <c r="I383" s="0" t="inlineStr">
        <is>
          <t>-</t>
        </is>
      </c>
      <c r="J383" s="0" t="n">
        <v>855000</v>
      </c>
      <c r="K383" s="0">
        <f>IF(H382="1)",1,IF(H382="2)",2,IF(H382="3)",3,IF(H382="4)",4,IF(H382="5)",5,IF(H382="6)",6,IF(H382="7)",7,IF(H382="8)",8,0))))))))</f>
        <v/>
      </c>
      <c r="L383" s="0">
        <f>IF(H382="1)",J382,IF(H382="2)",J382,IF(H382="3)",J382,IF(H382="4)",J382,IF(H382="5)",J382,IF(H382="6)",J382,IF(H382="7)",J382,IF(H382="8)",J382,0))))))))</f>
        <v/>
      </c>
    </row>
    <row r="384">
      <c r="A384" s="0" t="inlineStr">
        <is>
          <t>Clear</t>
        </is>
      </c>
      <c r="B384" s="0" t="inlineStr">
        <is>
          <t>Gem</t>
        </is>
      </c>
      <c r="C384" s="0" t="inlineStr">
        <is>
          <t>Acquired</t>
        </is>
      </c>
      <c r="D384" s="0" t="inlineStr">
        <is>
          <t>:</t>
        </is>
      </c>
      <c r="E384" s="0" t="n">
        <v>2000</v>
      </c>
      <c r="F384" s="0" t="inlineStr">
        <is>
          <t>-&gt;</t>
        </is>
      </c>
      <c r="G384" s="0" t="n">
        <v>2100</v>
      </c>
      <c r="H384" s="0" t="inlineStr">
        <is>
          <t>(Stage</t>
        </is>
      </c>
      <c r="I384" s="0" t="inlineStr">
        <is>
          <t>:</t>
        </is>
      </c>
      <c r="J384" s="0" t="inlineStr">
        <is>
          <t>5)</t>
        </is>
      </c>
      <c r="K384" s="0">
        <f>IF(H383="1)",1,IF(H383="2)",2,IF(H383="3)",3,IF(H383="4)",4,IF(H383="5)",5,IF(H383="6)",6,IF(H383="7)",7,IF(H383="8)",8,0))))))))</f>
        <v/>
      </c>
      <c r="L384" s="0">
        <f>IF(H383="1)",J383,IF(H383="2)",J383,IF(H383="3)",J383,IF(H383="4)",J383,IF(H383="5)",J383,IF(H383="6)",J383,IF(H383="7)",J383,IF(H383="8)",J383,0))))))))</f>
        <v/>
      </c>
    </row>
    <row r="385">
      <c r="A385" s="0" t="inlineStr">
        <is>
          <t>New</t>
        </is>
      </c>
      <c r="B385" s="0" t="inlineStr">
        <is>
          <t>Item</t>
        </is>
      </c>
      <c r="C385" s="0" t="inlineStr">
        <is>
          <t>Acquired</t>
        </is>
      </c>
      <c r="D385" s="0" t="inlineStr">
        <is>
          <t>:</t>
        </is>
      </c>
      <c r="E385" s="0" t="inlineStr">
        <is>
          <t>120.00K</t>
        </is>
      </c>
      <c r="F385" s="0" t="inlineStr">
        <is>
          <t>(8,</t>
        </is>
      </c>
      <c r="G385" s="0" t="inlineStr">
        <is>
          <t>18)</t>
        </is>
      </c>
      <c r="K385" s="0">
        <f>IF(H384="1)",1,IF(H384="2)",2,IF(H384="3)",3,IF(H384="4)",4,IF(H384="5)",5,IF(H384="6)",6,IF(H384="7)",7,IF(H384="8)",8,0))))))))</f>
        <v/>
      </c>
      <c r="L385" s="0">
        <f>IF(H384="1)",J384,IF(H384="2)",J384,IF(H384="3)",J384,IF(H384="4)",J384,IF(H384="5)",J384,IF(H384="6)",J384,IF(H384="7)",J384,IF(H384="8)",J384,0))))))))</f>
        <v/>
      </c>
    </row>
    <row r="386">
      <c r="A386" s="0" t="inlineStr">
        <is>
          <t>New</t>
        </is>
      </c>
      <c r="B386" s="0" t="inlineStr">
        <is>
          <t>Item</t>
        </is>
      </c>
      <c r="C386" s="0" t="inlineStr">
        <is>
          <t>Acquired</t>
        </is>
      </c>
      <c r="D386" s="0" t="inlineStr">
        <is>
          <t>:</t>
        </is>
      </c>
      <c r="E386" s="0" t="inlineStr">
        <is>
          <t>125.00K</t>
        </is>
      </c>
      <c r="F386" s="0" t="inlineStr">
        <is>
          <t>(6,</t>
        </is>
      </c>
      <c r="G386" s="0" t="inlineStr">
        <is>
          <t>8)</t>
        </is>
      </c>
      <c r="K386" s="0">
        <f>IF(H385="1)",1,IF(H385="2)",2,IF(H385="3)",3,IF(H385="4)",4,IF(H385="5)",5,IF(H385="6)",6,IF(H385="7)",7,IF(H385="8)",8,0))))))))</f>
        <v/>
      </c>
      <c r="L386" s="0">
        <f>IF(H385="1)",J385,IF(H385="2)",J385,IF(H385="3)",J385,IF(H385="4)",J385,IF(H385="5)",J385,IF(H385="6)",J385,IF(H385="7)",J385,IF(H385="8)",J385,0))))))))</f>
        <v/>
      </c>
    </row>
    <row r="387">
      <c r="A387" s="0" t="inlineStr">
        <is>
          <t>Item</t>
        </is>
      </c>
      <c r="B387" s="0" t="inlineStr">
        <is>
          <t>ReSelect</t>
        </is>
      </c>
      <c r="C387" s="0" t="inlineStr">
        <is>
          <t>Failed</t>
        </is>
      </c>
      <c r="D387" s="0" t="inlineStr">
        <is>
          <t>:</t>
        </is>
      </c>
      <c r="E387" s="0" t="inlineStr">
        <is>
          <t>Attempt</t>
        </is>
      </c>
      <c r="F387" s="0" t="inlineStr">
        <is>
          <t>Count</t>
        </is>
      </c>
      <c r="G387" s="0" t="inlineStr">
        <is>
          <t>-</t>
        </is>
      </c>
      <c r="H387" s="0" t="n">
        <v>3</v>
      </c>
      <c r="K387" s="0">
        <f>IF(H386="1)",1,IF(H386="2)",2,IF(H386="3)",3,IF(H386="4)",4,IF(H386="5)",5,IF(H386="6)",6,IF(H386="7)",7,IF(H386="8)",8,0))))))))</f>
        <v/>
      </c>
      <c r="L387" s="0">
        <f>IF(H386="1)",J386,IF(H386="2)",J386,IF(H386="3)",J386,IF(H386="4)",J386,IF(H386="5)",J386,IF(H386="6)",J386,IF(H386="7)",J386,IF(H386="8)",J386,0))))))))</f>
        <v/>
      </c>
    </row>
    <row r="388">
      <c r="A388" s="0" t="inlineStr">
        <is>
          <t>New</t>
        </is>
      </c>
      <c r="B388" s="0" t="inlineStr">
        <is>
          <t>Item</t>
        </is>
      </c>
      <c r="C388" s="0" t="inlineStr">
        <is>
          <t>Acquired</t>
        </is>
      </c>
      <c r="D388" s="0" t="inlineStr">
        <is>
          <t>:</t>
        </is>
      </c>
      <c r="E388" s="0" t="inlineStr">
        <is>
          <t>60.00K</t>
        </is>
      </c>
      <c r="F388" s="0" t="inlineStr">
        <is>
          <t>(4,</t>
        </is>
      </c>
      <c r="G388" s="0" t="inlineStr">
        <is>
          <t>20)</t>
        </is>
      </c>
      <c r="K388" s="0">
        <f>IF(H387="1)",1,IF(H387="2)",2,IF(H387="3)",3,IF(H387="4)",4,IF(H387="5)",5,IF(H387="6)",6,IF(H387="7)",7,IF(H387="8)",8,0))))))))</f>
        <v/>
      </c>
      <c r="L388" s="0">
        <f>IF(H387="1)",J387,IF(H387="2)",J387,IF(H387="3)",J387,IF(H387="4)",J387,IF(H387="5)",J387,IF(H387="6)",J387,IF(H387="7)",J387,IF(H387="8)",J387,0))))))))</f>
        <v/>
      </c>
    </row>
    <row r="389">
      <c r="A389" s="0" t="inlineStr">
        <is>
          <t>New</t>
        </is>
      </c>
      <c r="B389" s="0" t="inlineStr">
        <is>
          <t>Item</t>
        </is>
      </c>
      <c r="C389" s="0" t="inlineStr">
        <is>
          <t>Acquired</t>
        </is>
      </c>
      <c r="D389" s="0" t="inlineStr">
        <is>
          <t>:</t>
        </is>
      </c>
      <c r="E389" s="0" t="inlineStr">
        <is>
          <t>37.50K</t>
        </is>
      </c>
      <c r="F389" s="0" t="inlineStr">
        <is>
          <t>(2,</t>
        </is>
      </c>
      <c r="G389" s="0" t="inlineStr">
        <is>
          <t>4)</t>
        </is>
      </c>
      <c r="K389" s="0">
        <f>IF(H388="1)",1,IF(H388="2)",2,IF(H388="3)",3,IF(H388="4)",4,IF(H388="5)",5,IF(H388="6)",6,IF(H388="7)",7,IF(H388="8)",8,0))))))))</f>
        <v/>
      </c>
      <c r="L389" s="0">
        <f>IF(H388="1)",J388,IF(H388="2)",J388,IF(H388="3)",J388,IF(H388="4)",J388,IF(H388="5)",J388,IF(H388="6)",J388,IF(H388="7)",J388,IF(H388="8)",J388,0))))))))</f>
        <v/>
      </c>
    </row>
    <row r="390">
      <c r="A390" s="0" t="inlineStr">
        <is>
          <t>New</t>
        </is>
      </c>
      <c r="B390" s="0" t="inlineStr">
        <is>
          <t>Item</t>
        </is>
      </c>
      <c r="C390" s="0" t="inlineStr">
        <is>
          <t>Acquired</t>
        </is>
      </c>
      <c r="D390" s="0" t="inlineStr">
        <is>
          <t>:</t>
        </is>
      </c>
      <c r="E390" s="0" t="inlineStr">
        <is>
          <t>Minor</t>
        </is>
      </c>
      <c r="F390" s="0" t="inlineStr">
        <is>
          <t>(4,</t>
        </is>
      </c>
      <c r="G390" s="0" t="inlineStr">
        <is>
          <t>2)</t>
        </is>
      </c>
      <c r="K390" s="0">
        <f>IF(H389="1)",1,IF(H389="2)",2,IF(H389="3)",3,IF(H389="4)",4,IF(H389="5)",5,IF(H389="6)",6,IF(H389="7)",7,IF(H389="8)",8,0))))))))</f>
        <v/>
      </c>
      <c r="L390" s="0">
        <f>IF(H389="1)",J389,IF(H389="2)",J389,IF(H389="3)",J389,IF(H389="4)",J389,IF(H389="5)",J389,IF(H389="6)",J389,IF(H389="7)",J389,IF(H389="8)",J389,0))))))))</f>
        <v/>
      </c>
    </row>
    <row r="391">
      <c r="A391" s="0" t="inlineStr">
        <is>
          <t>New</t>
        </is>
      </c>
      <c r="B391" s="0" t="inlineStr">
        <is>
          <t>Item</t>
        </is>
      </c>
      <c r="C391" s="0" t="inlineStr">
        <is>
          <t>Acquired</t>
        </is>
      </c>
      <c r="D391" s="0" t="inlineStr">
        <is>
          <t>:</t>
        </is>
      </c>
      <c r="E391" s="0" t="inlineStr">
        <is>
          <t>Major</t>
        </is>
      </c>
      <c r="F391" s="0" t="inlineStr">
        <is>
          <t>(6,</t>
        </is>
      </c>
      <c r="G391" s="0" t="inlineStr">
        <is>
          <t>10)</t>
        </is>
      </c>
      <c r="K391" s="0">
        <f>IF(H390="1)",1,IF(H390="2)",2,IF(H390="3)",3,IF(H390="4)",4,IF(H390="5)",5,IF(H390="6)",6,IF(H390="7)",7,IF(H390="8)",8,0))))))))</f>
        <v/>
      </c>
      <c r="L391" s="0">
        <f>IF(H390="1)",J390,IF(H390="2)",J390,IF(H390="3)",J390,IF(H390="4)",J390,IF(H390="5)",J390,IF(H390="6)",J390,IF(H390="7)",J390,IF(H390="8)",J390,0))))))))</f>
        <v/>
      </c>
    </row>
    <row r="392">
      <c r="A392" s="0" t="inlineStr">
        <is>
          <t>New</t>
        </is>
      </c>
      <c r="B392" s="0" t="inlineStr">
        <is>
          <t>Item</t>
        </is>
      </c>
      <c r="C392" s="0" t="inlineStr">
        <is>
          <t>Acquired</t>
        </is>
      </c>
      <c r="D392" s="0" t="inlineStr">
        <is>
          <t>:</t>
        </is>
      </c>
      <c r="E392" s="0" t="inlineStr">
        <is>
          <t>67.50K</t>
        </is>
      </c>
      <c r="F392" s="0" t="inlineStr">
        <is>
          <t>(5,</t>
        </is>
      </c>
      <c r="G392" s="0" t="inlineStr">
        <is>
          <t>1)</t>
        </is>
      </c>
      <c r="K392" s="0">
        <f>IF(H391="1)",1,IF(H391="2)",2,IF(H391="3)",3,IF(H391="4)",4,IF(H391="5)",5,IF(H391="6)",6,IF(H391="7)",7,IF(H391="8)",8,0))))))))</f>
        <v/>
      </c>
      <c r="L392" s="0">
        <f>IF(H391="1)",J391,IF(H391="2)",J391,IF(H391="3)",J391,IF(H391="4)",J391,IF(H391="5)",J391,IF(H391="6)",J391,IF(H391="7)",J391,IF(H391="8)",J391,0))))))))</f>
        <v/>
      </c>
    </row>
    <row r="393">
      <c r="A393" s="0" t="inlineStr">
        <is>
          <t>New</t>
        </is>
      </c>
      <c r="B393" s="0" t="inlineStr">
        <is>
          <t>Item</t>
        </is>
      </c>
      <c r="C393" s="0" t="inlineStr">
        <is>
          <t>Acquired</t>
        </is>
      </c>
      <c r="D393" s="0" t="inlineStr">
        <is>
          <t>:</t>
        </is>
      </c>
      <c r="E393" s="0" t="inlineStr">
        <is>
          <t>Mini</t>
        </is>
      </c>
      <c r="F393" s="0" t="inlineStr">
        <is>
          <t>(8,</t>
        </is>
      </c>
      <c r="G393" s="0" t="inlineStr">
        <is>
          <t>14)</t>
        </is>
      </c>
      <c r="K393" s="0">
        <f>IF(H392="1)",1,IF(H392="2)",2,IF(H392="3)",3,IF(H392="4)",4,IF(H392="5)",5,IF(H392="6)",6,IF(H392="7)",7,IF(H392="8)",8,0))))))))</f>
        <v/>
      </c>
      <c r="L393" s="0">
        <f>IF(H392="1)",J392,IF(H392="2)",J392,IF(H392="3)",J392,IF(H392="4)",J392,IF(H392="5)",J392,IF(H392="6)",J392,IF(H392="7)",J392,IF(H392="8)",J392,0))))))))</f>
        <v/>
      </c>
    </row>
    <row r="394">
      <c r="A394" s="0" t="inlineStr">
        <is>
          <t>New</t>
        </is>
      </c>
      <c r="B394" s="0" t="inlineStr">
        <is>
          <t>Item</t>
        </is>
      </c>
      <c r="C394" s="0" t="inlineStr">
        <is>
          <t>Acquired</t>
        </is>
      </c>
      <c r="D394" s="0" t="inlineStr">
        <is>
          <t>:</t>
        </is>
      </c>
      <c r="E394" s="0" t="inlineStr">
        <is>
          <t>62.50K</t>
        </is>
      </c>
      <c r="F394" s="0" t="inlineStr">
        <is>
          <t>(2,</t>
        </is>
      </c>
      <c r="G394" s="0" t="inlineStr">
        <is>
          <t>17)</t>
        </is>
      </c>
      <c r="K394" s="0">
        <f>IF(H393="1)",1,IF(H393="2)",2,IF(H393="3)",3,IF(H393="4)",4,IF(H393="5)",5,IF(H393="6)",6,IF(H393="7)",7,IF(H393="8)",8,0))))))))</f>
        <v/>
      </c>
      <c r="L394" s="0">
        <f>IF(H393="1)",J393,IF(H393="2)",J393,IF(H393="3)",J393,IF(H393="4)",J393,IF(H393="5)",J393,IF(H393="6)",J393,IF(H393="7)",J393,IF(H393="8)",J393,0))))))))</f>
        <v/>
      </c>
    </row>
    <row r="395">
      <c r="A395" s="0" t="inlineStr">
        <is>
          <t>New</t>
        </is>
      </c>
      <c r="B395" s="0" t="inlineStr">
        <is>
          <t>Item</t>
        </is>
      </c>
      <c r="C395" s="0" t="inlineStr">
        <is>
          <t>Acquired</t>
        </is>
      </c>
      <c r="D395" s="0" t="inlineStr">
        <is>
          <t>:</t>
        </is>
      </c>
      <c r="E395" s="0" t="inlineStr">
        <is>
          <t>67.50K</t>
        </is>
      </c>
      <c r="F395" s="0" t="inlineStr">
        <is>
          <t>(5,</t>
        </is>
      </c>
      <c r="G395" s="0" t="inlineStr">
        <is>
          <t>21)</t>
        </is>
      </c>
      <c r="K395" s="0">
        <f>IF(H394="1)",1,IF(H394="2)",2,IF(H394="3)",3,IF(H394="4)",4,IF(H394="5)",5,IF(H394="6)",6,IF(H394="7)",7,IF(H394="8)",8,0))))))))</f>
        <v/>
      </c>
      <c r="L395" s="0">
        <f>IF(H394="1)",J394,IF(H394="2)",J394,IF(H394="3)",J394,IF(H394="4)",J394,IF(H394="5)",J394,IF(H394="6)",J394,IF(H394="7)",J394,IF(H394="8)",J394,0))))))))</f>
        <v/>
      </c>
    </row>
    <row r="396">
      <c r="A396" s="0" t="inlineStr">
        <is>
          <t>New</t>
        </is>
      </c>
      <c r="B396" s="0" t="inlineStr">
        <is>
          <t>Item</t>
        </is>
      </c>
      <c r="C396" s="0" t="inlineStr">
        <is>
          <t>Acquired</t>
        </is>
      </c>
      <c r="D396" s="0" t="inlineStr">
        <is>
          <t>:</t>
        </is>
      </c>
      <c r="E396" s="0" t="inlineStr">
        <is>
          <t>50.00K</t>
        </is>
      </c>
      <c r="F396" s="0" t="inlineStr">
        <is>
          <t>(1,</t>
        </is>
      </c>
      <c r="G396" s="0" t="inlineStr">
        <is>
          <t>4)</t>
        </is>
      </c>
      <c r="K396" s="0">
        <f>IF(H395="1)",1,IF(H395="2)",2,IF(H395="3)",3,IF(H395="4)",4,IF(H395="5)",5,IF(H395="6)",6,IF(H395="7)",7,IF(H395="8)",8,0))))))))</f>
        <v/>
      </c>
      <c r="L396" s="0">
        <f>IF(H395="1)",J395,IF(H395="2)",J395,IF(H395="3)",J395,IF(H395="4)",J395,IF(H395="5)",J395,IF(H395="6)",J395,IF(H395="7)",J395,IF(H395="8)",J395,0))))))))</f>
        <v/>
      </c>
    </row>
    <row r="397">
      <c r="A397" s="0" t="inlineStr">
        <is>
          <t>New</t>
        </is>
      </c>
      <c r="B397" s="0" t="inlineStr">
        <is>
          <t>Item</t>
        </is>
      </c>
      <c r="C397" s="0" t="inlineStr">
        <is>
          <t>Acquired</t>
        </is>
      </c>
      <c r="D397" s="0" t="inlineStr">
        <is>
          <t>:</t>
        </is>
      </c>
      <c r="E397" s="0" t="inlineStr">
        <is>
          <t>75.00K</t>
        </is>
      </c>
      <c r="F397" s="0" t="inlineStr">
        <is>
          <t>(6,</t>
        </is>
      </c>
      <c r="G397" s="0" t="inlineStr">
        <is>
          <t>21)</t>
        </is>
      </c>
      <c r="K397" s="0">
        <f>IF(H396="1)",1,IF(H396="2)",2,IF(H396="3)",3,IF(H396="4)",4,IF(H396="5)",5,IF(H396="6)",6,IF(H396="7)",7,IF(H396="8)",8,0))))))))</f>
        <v/>
      </c>
      <c r="L397" s="0">
        <f>IF(H396="1)",J396,IF(H396="2)",J396,IF(H396="3)",J396,IF(H396="4)",J396,IF(H396="5)",J396,IF(H396="6)",J396,IF(H396="7)",J396,IF(H396="8)",J396,0))))))))</f>
        <v/>
      </c>
    </row>
    <row r="398">
      <c r="A398" s="0" t="inlineStr">
        <is>
          <t>New</t>
        </is>
      </c>
      <c r="B398" s="0" t="inlineStr">
        <is>
          <t>Item</t>
        </is>
      </c>
      <c r="C398" s="0" t="inlineStr">
        <is>
          <t>Acquired</t>
        </is>
      </c>
      <c r="D398" s="0" t="inlineStr">
        <is>
          <t>:</t>
        </is>
      </c>
      <c r="E398" s="0" t="inlineStr">
        <is>
          <t>50.00K</t>
        </is>
      </c>
      <c r="F398" s="0" t="inlineStr">
        <is>
          <t>(1,</t>
        </is>
      </c>
      <c r="G398" s="0" t="inlineStr">
        <is>
          <t>16)</t>
        </is>
      </c>
      <c r="K398" s="0">
        <f>IF(H397="1)",1,IF(H397="2)",2,IF(H397="3)",3,IF(H397="4)",4,IF(H397="5)",5,IF(H397="6)",6,IF(H397="7)",7,IF(H397="8)",8,0))))))))</f>
        <v/>
      </c>
      <c r="L398" s="0">
        <f>IF(H397="1)",J397,IF(H397="2)",J397,IF(H397="3)",J397,IF(H397="4)",J397,IF(H397="5)",J397,IF(H397="6)",J397,IF(H397="7)",J397,IF(H397="8)",J397,0))))))))</f>
        <v/>
      </c>
    </row>
    <row r="399">
      <c r="A399" s="0" t="inlineStr">
        <is>
          <t>New</t>
        </is>
      </c>
      <c r="B399" s="0" t="inlineStr">
        <is>
          <t>Item</t>
        </is>
      </c>
      <c r="C399" s="0" t="inlineStr">
        <is>
          <t>Acquired</t>
        </is>
      </c>
      <c r="D399" s="0" t="inlineStr">
        <is>
          <t>:</t>
        </is>
      </c>
      <c r="E399" s="0" t="inlineStr">
        <is>
          <t>50.00K</t>
        </is>
      </c>
      <c r="F399" s="0" t="inlineStr">
        <is>
          <t>(1,</t>
        </is>
      </c>
      <c r="G399" s="0" t="inlineStr">
        <is>
          <t>3)</t>
        </is>
      </c>
      <c r="K399" s="0">
        <f>IF(H398="1)",1,IF(H398="2)",2,IF(H398="3)",3,IF(H398="4)",4,IF(H398="5)",5,IF(H398="6)",6,IF(H398="7)",7,IF(H398="8)",8,0))))))))</f>
        <v/>
      </c>
      <c r="L399" s="0">
        <f>IF(H398="1)",J398,IF(H398="2)",J398,IF(H398="3)",J398,IF(H398="4)",J398,IF(H398="5)",J398,IF(H398="6)",J398,IF(H398="7)",J398,IF(H398="8)",J398,0))))))))</f>
        <v/>
      </c>
    </row>
    <row r="400">
      <c r="A400" s="0" t="inlineStr">
        <is>
          <t>New</t>
        </is>
      </c>
      <c r="B400" s="0" t="inlineStr">
        <is>
          <t>Item</t>
        </is>
      </c>
      <c r="C400" s="0" t="inlineStr">
        <is>
          <t>Acquired</t>
        </is>
      </c>
      <c r="D400" s="0" t="inlineStr">
        <is>
          <t>:</t>
        </is>
      </c>
      <c r="E400" s="0" t="inlineStr">
        <is>
          <t>67.50K</t>
        </is>
      </c>
      <c r="F400" s="0" t="inlineStr">
        <is>
          <t>(5,</t>
        </is>
      </c>
      <c r="G400" s="0" t="inlineStr">
        <is>
          <t>2)</t>
        </is>
      </c>
      <c r="K400" s="0">
        <f>IF(H399="1)",1,IF(H399="2)",2,IF(H399="3)",3,IF(H399="4)",4,IF(H399="5)",5,IF(H399="6)",6,IF(H399="7)",7,IF(H399="8)",8,0))))))))</f>
        <v/>
      </c>
      <c r="L400" s="0">
        <f>IF(H399="1)",J399,IF(H399="2)",J399,IF(H399="3)",J399,IF(H399="4)",J399,IF(H399="5)",J399,IF(H399="6)",J399,IF(H399="7)",J399,IF(H399="8)",J399,0))))))))</f>
        <v/>
      </c>
    </row>
    <row r="401">
      <c r="A401" s="0" t="inlineStr">
        <is>
          <t>New</t>
        </is>
      </c>
      <c r="B401" s="0" t="inlineStr">
        <is>
          <t>Item</t>
        </is>
      </c>
      <c r="C401" s="0" t="inlineStr">
        <is>
          <t>Acquired</t>
        </is>
      </c>
      <c r="D401" s="0" t="inlineStr">
        <is>
          <t>:</t>
        </is>
      </c>
      <c r="E401" s="0" t="inlineStr">
        <is>
          <t>150.00K</t>
        </is>
      </c>
      <c r="F401" s="0" t="inlineStr">
        <is>
          <t>(7,</t>
        </is>
      </c>
      <c r="G401" s="0" t="inlineStr">
        <is>
          <t>25)</t>
        </is>
      </c>
      <c r="K401" s="0">
        <f>IF(H400="1)",1,IF(H400="2)",2,IF(H400="3)",3,IF(H400="4)",4,IF(H400="5)",5,IF(H400="6)",6,IF(H400="7)",7,IF(H400="8)",8,0))))))))</f>
        <v/>
      </c>
      <c r="L401" s="0">
        <f>IF(H400="1)",J400,IF(H400="2)",J400,IF(H400="3)",J400,IF(H400="4)",J400,IF(H400="5)",J400,IF(H400="6)",J400,IF(H400="7)",J400,IF(H400="8)",J400,0))))))))</f>
        <v/>
      </c>
    </row>
    <row r="402">
      <c r="A402" s="0" t="inlineStr">
        <is>
          <t>New</t>
        </is>
      </c>
      <c r="B402" s="0" t="inlineStr">
        <is>
          <t>Item</t>
        </is>
      </c>
      <c r="C402" s="0" t="inlineStr">
        <is>
          <t>Acquired</t>
        </is>
      </c>
      <c r="D402" s="0" t="inlineStr">
        <is>
          <t>:</t>
        </is>
      </c>
      <c r="E402" s="0" t="inlineStr">
        <is>
          <t>112.50K</t>
        </is>
      </c>
      <c r="F402" s="0" t="inlineStr">
        <is>
          <t>(5,</t>
        </is>
      </c>
      <c r="G402" s="0" t="inlineStr">
        <is>
          <t>23)</t>
        </is>
      </c>
      <c r="K402" s="0">
        <f>IF(H401="1)",1,IF(H401="2)",2,IF(H401="3)",3,IF(H401="4)",4,IF(H401="5)",5,IF(H401="6)",6,IF(H401="7)",7,IF(H401="8)",8,0))))))))</f>
        <v/>
      </c>
      <c r="L402" s="0">
        <f>IF(H401="1)",J401,IF(H401="2)",J401,IF(H401="3)",J401,IF(H401="4)",J401,IF(H401="5)",J401,IF(H401="6)",J401,IF(H401="7)",J401,IF(H401="8)",J401,0))))))))</f>
        <v/>
      </c>
    </row>
    <row r="403">
      <c r="A403" s="0" t="inlineStr">
        <is>
          <t>New</t>
        </is>
      </c>
      <c r="B403" s="0" t="inlineStr">
        <is>
          <t>Item</t>
        </is>
      </c>
      <c r="C403" s="0" t="inlineStr">
        <is>
          <t>Acquired</t>
        </is>
      </c>
      <c r="D403" s="0" t="inlineStr">
        <is>
          <t>:</t>
        </is>
      </c>
      <c r="E403" s="0" t="inlineStr">
        <is>
          <t>157.50K</t>
        </is>
      </c>
      <c r="F403" s="0" t="inlineStr">
        <is>
          <t>(5,</t>
        </is>
      </c>
      <c r="G403" s="0" t="inlineStr">
        <is>
          <t>20)</t>
        </is>
      </c>
      <c r="K403" s="0">
        <f>IF(H402="1)",1,IF(H402="2)",2,IF(H402="3)",3,IF(H402="4)",4,IF(H402="5)",5,IF(H402="6)",6,IF(H402="7)",7,IF(H402="8)",8,0))))))))</f>
        <v/>
      </c>
      <c r="L403" s="0">
        <f>IF(H402="1)",J402,IF(H402="2)",J402,IF(H402="3)",J402,IF(H402="4)",J402,IF(H402="5)",J402,IF(H402="6)",J402,IF(H402="7)",J402,IF(H402="8)",J402,0))))))))</f>
        <v/>
      </c>
    </row>
    <row r="404">
      <c r="A404" s="0" t="inlineStr">
        <is>
          <t>Item</t>
        </is>
      </c>
      <c r="B404" s="0" t="inlineStr">
        <is>
          <t>ReSelect</t>
        </is>
      </c>
      <c r="C404" s="0" t="inlineStr">
        <is>
          <t>Failed</t>
        </is>
      </c>
      <c r="D404" s="0" t="inlineStr">
        <is>
          <t>:</t>
        </is>
      </c>
      <c r="E404" s="0" t="inlineStr">
        <is>
          <t>Attempt</t>
        </is>
      </c>
      <c r="F404" s="0" t="inlineStr">
        <is>
          <t>Count</t>
        </is>
      </c>
      <c r="G404" s="0" t="inlineStr">
        <is>
          <t>-</t>
        </is>
      </c>
      <c r="H404" s="0" t="n">
        <v>3</v>
      </c>
      <c r="K404" s="0">
        <f>IF(H403="1)",1,IF(H403="2)",2,IF(H403="3)",3,IF(H403="4)",4,IF(H403="5)",5,IF(H403="6)",6,IF(H403="7)",7,IF(H403="8)",8,0))))))))</f>
        <v/>
      </c>
      <c r="L404" s="0">
        <f>IF(H403="1)",J403,IF(H403="2)",J403,IF(H403="3)",J403,IF(H403="4)",J403,IF(H403="5)",J403,IF(H403="6)",J403,IF(H403="7)",J403,IF(H403="8)",J403,0))))))))</f>
        <v/>
      </c>
    </row>
    <row r="405">
      <c r="A405" s="0" t="inlineStr">
        <is>
          <t>New</t>
        </is>
      </c>
      <c r="B405" s="0" t="inlineStr">
        <is>
          <t>Item</t>
        </is>
      </c>
      <c r="C405" s="0" t="inlineStr">
        <is>
          <t>Acquired</t>
        </is>
      </c>
      <c r="D405" s="0" t="inlineStr">
        <is>
          <t>:</t>
        </is>
      </c>
      <c r="E405" s="0" t="inlineStr">
        <is>
          <t>280.00K</t>
        </is>
      </c>
      <c r="F405" s="0" t="inlineStr">
        <is>
          <t>(8,</t>
        </is>
      </c>
      <c r="G405" s="0" t="inlineStr">
        <is>
          <t>19)</t>
        </is>
      </c>
      <c r="K405" s="0">
        <f>IF(H404="1)",1,IF(H404="2)",2,IF(H404="3)",3,IF(H404="4)",4,IF(H404="5)",5,IF(H404="6)",6,IF(H404="7)",7,IF(H404="8)",8,0))))))))</f>
        <v/>
      </c>
      <c r="L405" s="0">
        <f>IF(H404="1)",J404,IF(H404="2)",J404,IF(H404="3)",J404,IF(H404="4)",J404,IF(H404="5)",J404,IF(H404="6)",J404,IF(H404="7)",J404,IF(H404="8)",J404,0))))))))</f>
        <v/>
      </c>
    </row>
    <row r="406">
      <c r="A406" s="0" t="inlineStr">
        <is>
          <t>New</t>
        </is>
      </c>
      <c r="B406" s="0" t="inlineStr">
        <is>
          <t>Item</t>
        </is>
      </c>
      <c r="C406" s="0" t="inlineStr">
        <is>
          <t>Acquired</t>
        </is>
      </c>
      <c r="D406" s="0" t="inlineStr">
        <is>
          <t>:</t>
        </is>
      </c>
      <c r="E406" s="0" t="inlineStr">
        <is>
          <t>60.00K</t>
        </is>
      </c>
      <c r="F406" s="0" t="inlineStr">
        <is>
          <t>(4,</t>
        </is>
      </c>
      <c r="G406" s="0" t="inlineStr">
        <is>
          <t>23)</t>
        </is>
      </c>
      <c r="K406" s="0">
        <f>IF(H405="1)",1,IF(H405="2)",2,IF(H405="3)",3,IF(H405="4)",4,IF(H405="5)",5,IF(H405="6)",6,IF(H405="7)",7,IF(H405="8)",8,0))))))))</f>
        <v/>
      </c>
      <c r="L406" s="0">
        <f>IF(H405="1)",J405,IF(H405="2)",J405,IF(H405="3)",J405,IF(H405="4)",J405,IF(H405="5)",J405,IF(H405="6)",J405,IF(H405="7)",J405,IF(H405="8)",J405,0))))))))</f>
        <v/>
      </c>
    </row>
    <row r="407">
      <c r="A407" s="0" t="inlineStr">
        <is>
          <t>New</t>
        </is>
      </c>
      <c r="B407" s="0" t="inlineStr">
        <is>
          <t>Item</t>
        </is>
      </c>
      <c r="C407" s="0" t="inlineStr">
        <is>
          <t>Acquired</t>
        </is>
      </c>
      <c r="D407" s="0" t="inlineStr">
        <is>
          <t>:</t>
        </is>
      </c>
      <c r="E407" s="0" t="inlineStr">
        <is>
          <t>37.50K</t>
        </is>
      </c>
      <c r="F407" s="0" t="inlineStr">
        <is>
          <t>(2,</t>
        </is>
      </c>
      <c r="G407" s="0" t="inlineStr">
        <is>
          <t>11)</t>
        </is>
      </c>
      <c r="K407" s="0">
        <f>IF(H406="1)",1,IF(H406="2)",2,IF(H406="3)",3,IF(H406="4)",4,IF(H406="5)",5,IF(H406="6)",6,IF(H406="7)",7,IF(H406="8)",8,0))))))))</f>
        <v/>
      </c>
      <c r="L407" s="0">
        <f>IF(H406="1)",J406,IF(H406="2)",J406,IF(H406="3)",J406,IF(H406="4)",J406,IF(H406="5)",J406,IF(H406="6)",J406,IF(H406="7)",J406,IF(H406="8)",J406,0))))))))</f>
        <v/>
      </c>
    </row>
    <row r="408">
      <c r="A408" s="0" t="inlineStr">
        <is>
          <t>New</t>
        </is>
      </c>
      <c r="B408" s="0" t="inlineStr">
        <is>
          <t>Item</t>
        </is>
      </c>
      <c r="C408" s="0" t="inlineStr">
        <is>
          <t>Acquired</t>
        </is>
      </c>
      <c r="D408" s="0" t="inlineStr">
        <is>
          <t>:</t>
        </is>
      </c>
      <c r="E408" s="0" t="inlineStr">
        <is>
          <t>175.00K</t>
        </is>
      </c>
      <c r="F408" s="0" t="inlineStr">
        <is>
          <t>(6,</t>
        </is>
      </c>
      <c r="G408" s="0" t="inlineStr">
        <is>
          <t>22)</t>
        </is>
      </c>
      <c r="K408" s="0">
        <f>IF(H407="1)",1,IF(H407="2)",2,IF(H407="3)",3,IF(H407="4)",4,IF(H407="5)",5,IF(H407="6)",6,IF(H407="7)",7,IF(H407="8)",8,0))))))))</f>
        <v/>
      </c>
      <c r="L408" s="0">
        <f>IF(H407="1)",J407,IF(H407="2)",J407,IF(H407="3)",J407,IF(H407="4)",J407,IF(H407="5)",J407,IF(H407="6)",J407,IF(H407="7)",J407,IF(H407="8)",J407,0))))))))</f>
        <v/>
      </c>
    </row>
    <row r="409">
      <c r="A409" s="0" t="inlineStr">
        <is>
          <t>New</t>
        </is>
      </c>
      <c r="B409" s="0" t="inlineStr">
        <is>
          <t>Item</t>
        </is>
      </c>
      <c r="C409" s="0" t="inlineStr">
        <is>
          <t>Acquired</t>
        </is>
      </c>
      <c r="D409" s="0" t="inlineStr">
        <is>
          <t>:</t>
        </is>
      </c>
      <c r="E409" s="0" t="inlineStr">
        <is>
          <t>125.00K</t>
        </is>
      </c>
      <c r="F409" s="0" t="inlineStr">
        <is>
          <t>(6,</t>
        </is>
      </c>
      <c r="G409" s="0" t="inlineStr">
        <is>
          <t>12)</t>
        </is>
      </c>
      <c r="K409" s="0">
        <f>IF(H408="1)",1,IF(H408="2)",2,IF(H408="3)",3,IF(H408="4)",4,IF(H408="5)",5,IF(H408="6)",6,IF(H408="7)",7,IF(H408="8)",8,0))))))))</f>
        <v/>
      </c>
      <c r="L409" s="0">
        <f>IF(H408="1)",J408,IF(H408="2)",J408,IF(H408="3)",J408,IF(H408="4)",J408,IF(H408="5)",J408,IF(H408="6)",J408,IF(H408="7)",J408,IF(H408="8)",J408,0))))))))</f>
        <v/>
      </c>
    </row>
    <row r="410">
      <c r="A410" s="0" t="inlineStr">
        <is>
          <t>New</t>
        </is>
      </c>
      <c r="B410" s="0" t="inlineStr">
        <is>
          <t>Item</t>
        </is>
      </c>
      <c r="C410" s="0" t="inlineStr">
        <is>
          <t>Acquired</t>
        </is>
      </c>
      <c r="D410" s="0" t="inlineStr">
        <is>
          <t>:</t>
        </is>
      </c>
      <c r="E410" s="0" t="inlineStr">
        <is>
          <t>75.00K</t>
        </is>
      </c>
      <c r="F410" s="0" t="inlineStr">
        <is>
          <t>(6,</t>
        </is>
      </c>
      <c r="G410" s="0" t="inlineStr">
        <is>
          <t>5)</t>
        </is>
      </c>
      <c r="K410" s="0">
        <f>IF(H409="1)",1,IF(H409="2)",2,IF(H409="3)",3,IF(H409="4)",4,IF(H409="5)",5,IF(H409="6)",6,IF(H409="7)",7,IF(H409="8)",8,0))))))))</f>
        <v/>
      </c>
      <c r="L410" s="0">
        <f>IF(H409="1)",J409,IF(H409="2)",J409,IF(H409="3)",J409,IF(H409="4)",J409,IF(H409="5)",J409,IF(H409="6)",J409,IF(H409="7)",J409,IF(H409="8)",J409,0))))))))</f>
        <v/>
      </c>
    </row>
    <row r="411">
      <c r="A411" s="0" t="inlineStr">
        <is>
          <t>New</t>
        </is>
      </c>
      <c r="B411" s="0" t="inlineStr">
        <is>
          <t>Item</t>
        </is>
      </c>
      <c r="C411" s="0" t="inlineStr">
        <is>
          <t>Acquired</t>
        </is>
      </c>
      <c r="D411" s="0" t="inlineStr">
        <is>
          <t>:</t>
        </is>
      </c>
      <c r="E411" s="0" t="inlineStr">
        <is>
          <t>210.00K</t>
        </is>
      </c>
      <c r="F411" s="0" t="inlineStr">
        <is>
          <t>(7,</t>
        </is>
      </c>
      <c r="G411" s="0" t="inlineStr">
        <is>
          <t>20)</t>
        </is>
      </c>
      <c r="K411" s="0">
        <f>IF(H410="1)",1,IF(H410="2)",2,IF(H410="3)",3,IF(H410="4)",4,IF(H410="5)",5,IF(H410="6)",6,IF(H410="7)",7,IF(H410="8)",8,0))))))))</f>
        <v/>
      </c>
      <c r="L411" s="0">
        <f>IF(H410="1)",J410,IF(H410="2)",J410,IF(H410="3)",J410,IF(H410="4)",J410,IF(H410="5)",J410,IF(H410="6)",J410,IF(H410="7)",J410,IF(H410="8)",J410,0))))))))</f>
        <v/>
      </c>
    </row>
    <row r="412">
      <c r="A412" s="0" t="inlineStr">
        <is>
          <t>Line</t>
        </is>
      </c>
      <c r="B412" s="0" t="inlineStr">
        <is>
          <t>Prize</t>
        </is>
      </c>
      <c r="C412" s="0" t="inlineStr">
        <is>
          <t>Acquired</t>
        </is>
      </c>
      <c r="D412" s="0" t="inlineStr">
        <is>
          <t>:</t>
        </is>
      </c>
      <c r="E412" s="0" t="inlineStr">
        <is>
          <t>750.00K</t>
        </is>
      </c>
      <c r="F412" s="0" t="inlineStr">
        <is>
          <t>(Stage</t>
        </is>
      </c>
      <c r="G412" s="0" t="inlineStr">
        <is>
          <t>:</t>
        </is>
      </c>
      <c r="H412" s="0" t="inlineStr">
        <is>
          <t>7)</t>
        </is>
      </c>
      <c r="I412" s="0" t="inlineStr">
        <is>
          <t>-</t>
        </is>
      </c>
      <c r="J412" s="0" t="n">
        <v>750000</v>
      </c>
      <c r="K412" s="0">
        <f>IF(H411="1)",1,IF(H411="2)",2,IF(H411="3)",3,IF(H411="4)",4,IF(H411="5)",5,IF(H411="6)",6,IF(H411="7)",7,IF(H411="8)",8,0))))))))</f>
        <v/>
      </c>
      <c r="L412" s="0">
        <f>IF(H411="1)",J411,IF(H411="2)",J411,IF(H411="3)",J411,IF(H411="4)",J411,IF(H411="5)",J411,IF(H411="6)",J411,IF(H411="7)",J411,IF(H411="8)",J411,0))))))))</f>
        <v/>
      </c>
    </row>
    <row r="413">
      <c r="A413" s="0" t="inlineStr">
        <is>
          <t>Clear</t>
        </is>
      </c>
      <c r="B413" s="0" t="inlineStr">
        <is>
          <t>Gem</t>
        </is>
      </c>
      <c r="C413" s="0" t="inlineStr">
        <is>
          <t>Acquired</t>
        </is>
      </c>
      <c r="D413" s="0" t="inlineStr">
        <is>
          <t>:</t>
        </is>
      </c>
      <c r="E413" s="0" t="n">
        <v>2100</v>
      </c>
      <c r="F413" s="0" t="inlineStr">
        <is>
          <t>-&gt;</t>
        </is>
      </c>
      <c r="G413" s="0" t="n">
        <v>2200</v>
      </c>
      <c r="H413" s="0" t="inlineStr">
        <is>
          <t>(Stage</t>
        </is>
      </c>
      <c r="I413" s="0" t="inlineStr">
        <is>
          <t>:</t>
        </is>
      </c>
      <c r="J413" s="0" t="inlineStr">
        <is>
          <t>7)</t>
        </is>
      </c>
      <c r="K413" s="0">
        <f>IF(H412="1)",1,IF(H412="2)",2,IF(H412="3)",3,IF(H412="4)",4,IF(H412="5)",5,IF(H412="6)",6,IF(H412="7)",7,IF(H412="8)",8,0))))))))</f>
        <v/>
      </c>
      <c r="L413" s="0">
        <f>IF(H412="1)",J412,IF(H412="2)",J412,IF(H412="3)",J412,IF(H412="4)",J412,IF(H412="5)",J412,IF(H412="6)",J412,IF(H412="7)",J412,IF(H412="8)",J412,0))))))))</f>
        <v/>
      </c>
    </row>
    <row r="414">
      <c r="A414" s="0" t="inlineStr">
        <is>
          <t>New</t>
        </is>
      </c>
      <c r="B414" s="0" t="inlineStr">
        <is>
          <t>Item</t>
        </is>
      </c>
      <c r="C414" s="0" t="inlineStr">
        <is>
          <t>Acquired</t>
        </is>
      </c>
      <c r="D414" s="0" t="inlineStr">
        <is>
          <t>:</t>
        </is>
      </c>
      <c r="E414" s="0" t="inlineStr">
        <is>
          <t>90.00K</t>
        </is>
      </c>
      <c r="F414" s="0" t="inlineStr">
        <is>
          <t>(7,</t>
        </is>
      </c>
      <c r="G414" s="0" t="inlineStr">
        <is>
          <t>19)</t>
        </is>
      </c>
      <c r="K414" s="0">
        <f>IF(H413="1)",1,IF(H413="2)",2,IF(H413="3)",3,IF(H413="4)",4,IF(H413="5)",5,IF(H413="6)",6,IF(H413="7)",7,IF(H413="8)",8,0))))))))</f>
        <v/>
      </c>
      <c r="L414" s="0">
        <f>IF(H413="1)",J413,IF(H413="2)",J413,IF(H413="3)",J413,IF(H413="4)",J413,IF(H413="5)",J413,IF(H413="6)",J413,IF(H413="7)",J413,IF(H413="8)",J413,0))))))))</f>
        <v/>
      </c>
    </row>
    <row r="415">
      <c r="A415" s="0" t="inlineStr">
        <is>
          <t>New</t>
        </is>
      </c>
      <c r="B415" s="0" t="inlineStr">
        <is>
          <t>Item</t>
        </is>
      </c>
      <c r="C415" s="0" t="inlineStr">
        <is>
          <t>Acquired</t>
        </is>
      </c>
      <c r="D415" s="0" t="inlineStr">
        <is>
          <t>:</t>
        </is>
      </c>
      <c r="E415" s="0" t="inlineStr">
        <is>
          <t>90.00K</t>
        </is>
      </c>
      <c r="F415" s="0" t="inlineStr">
        <is>
          <t>(7,</t>
        </is>
      </c>
      <c r="G415" s="0" t="inlineStr">
        <is>
          <t>16)</t>
        </is>
      </c>
      <c r="K415" s="0">
        <f>IF(H414="1)",1,IF(H414="2)",2,IF(H414="3)",3,IF(H414="4)",4,IF(H414="5)",5,IF(H414="6)",6,IF(H414="7)",7,IF(H414="8)",8,0))))))))</f>
        <v/>
      </c>
      <c r="L415" s="0">
        <f>IF(H414="1)",J414,IF(H414="2)",J414,IF(H414="3)",J414,IF(H414="4)",J414,IF(H414="5)",J414,IF(H414="6)",J414,IF(H414="7)",J414,IF(H414="8)",J414,0))))))))</f>
        <v/>
      </c>
    </row>
    <row r="416">
      <c r="A416" s="0" t="inlineStr">
        <is>
          <t>New</t>
        </is>
      </c>
      <c r="B416" s="0" t="inlineStr">
        <is>
          <t>Item</t>
        </is>
      </c>
      <c r="C416" s="0" t="inlineStr">
        <is>
          <t>Acquired</t>
        </is>
      </c>
      <c r="D416" s="0" t="inlineStr">
        <is>
          <t>:</t>
        </is>
      </c>
      <c r="E416" s="0" t="inlineStr">
        <is>
          <t>175.00K</t>
        </is>
      </c>
      <c r="F416" s="0" t="inlineStr">
        <is>
          <t>(6,</t>
        </is>
      </c>
      <c r="G416" s="0" t="inlineStr">
        <is>
          <t>24)</t>
        </is>
      </c>
      <c r="K416" s="0">
        <f>IF(H415="1)",1,IF(H415="2)",2,IF(H415="3)",3,IF(H415="4)",4,IF(H415="5)",5,IF(H415="6)",6,IF(H415="7)",7,IF(H415="8)",8,0))))))))</f>
        <v/>
      </c>
      <c r="L416" s="0">
        <f>IF(H415="1)",J415,IF(H415="2)",J415,IF(H415="3)",J415,IF(H415="4)",J415,IF(H415="5)",J415,IF(H415="6)",J415,IF(H415="7)",J415,IF(H415="8)",J415,0))))))))</f>
        <v/>
      </c>
    </row>
    <row r="417">
      <c r="A417" s="0" t="inlineStr">
        <is>
          <t>New</t>
        </is>
      </c>
      <c r="B417" s="0" t="inlineStr">
        <is>
          <t>Item</t>
        </is>
      </c>
      <c r="C417" s="0" t="inlineStr">
        <is>
          <t>Acquired</t>
        </is>
      </c>
      <c r="D417" s="0" t="inlineStr">
        <is>
          <t>:</t>
        </is>
      </c>
      <c r="E417" s="0" t="inlineStr">
        <is>
          <t>Mini</t>
        </is>
      </c>
      <c r="F417" s="0" t="inlineStr">
        <is>
          <t>(2,</t>
        </is>
      </c>
      <c r="G417" s="0" t="inlineStr">
        <is>
          <t>16)</t>
        </is>
      </c>
      <c r="K417" s="0">
        <f>IF(H416="1)",1,IF(H416="2)",2,IF(H416="3)",3,IF(H416="4)",4,IF(H416="5)",5,IF(H416="6)",6,IF(H416="7)",7,IF(H416="8)",8,0))))))))</f>
        <v/>
      </c>
      <c r="L417" s="0">
        <f>IF(H416="1)",J416,IF(H416="2)",J416,IF(H416="3)",J416,IF(H416="4)",J416,IF(H416="5)",J416,IF(H416="6)",J416,IF(H416="7)",J416,IF(H416="8)",J416,0))))))))</f>
        <v/>
      </c>
    </row>
    <row r="418">
      <c r="A418" s="0" t="inlineStr">
        <is>
          <t>New</t>
        </is>
      </c>
      <c r="B418" s="0" t="inlineStr">
        <is>
          <t>Item</t>
        </is>
      </c>
      <c r="C418" s="0" t="inlineStr">
        <is>
          <t>Acquired</t>
        </is>
      </c>
      <c r="D418" s="0" t="inlineStr">
        <is>
          <t>:</t>
        </is>
      </c>
      <c r="E418" s="0" t="inlineStr">
        <is>
          <t>37.50K</t>
        </is>
      </c>
      <c r="F418" s="0" t="inlineStr">
        <is>
          <t>(2,</t>
        </is>
      </c>
      <c r="G418" s="0" t="inlineStr">
        <is>
          <t>24)</t>
        </is>
      </c>
      <c r="K418" s="0">
        <f>IF(H417="1)",1,IF(H417="2)",2,IF(H417="3)",3,IF(H417="4)",4,IF(H417="5)",5,IF(H417="6)",6,IF(H417="7)",7,IF(H417="8)",8,0))))))))</f>
        <v/>
      </c>
      <c r="L418" s="0">
        <f>IF(H417="1)",J417,IF(H417="2)",J417,IF(H417="3)",J417,IF(H417="4)",J417,IF(H417="5)",J417,IF(H417="6)",J417,IF(H417="7)",J417,IF(H417="8)",J417,0))))))))</f>
        <v/>
      </c>
    </row>
    <row r="419">
      <c r="A419" s="0" t="inlineStr">
        <is>
          <t>New</t>
        </is>
      </c>
      <c r="B419" s="0" t="inlineStr">
        <is>
          <t>Item</t>
        </is>
      </c>
      <c r="C419" s="0" t="inlineStr">
        <is>
          <t>Acquired</t>
        </is>
      </c>
      <c r="D419" s="0" t="inlineStr">
        <is>
          <t>:</t>
        </is>
      </c>
      <c r="E419" s="0" t="inlineStr">
        <is>
          <t>Mini</t>
        </is>
      </c>
      <c r="F419" s="0" t="inlineStr">
        <is>
          <t>(4,</t>
        </is>
      </c>
      <c r="G419" s="0" t="inlineStr">
        <is>
          <t>8)</t>
        </is>
      </c>
      <c r="K419" s="0">
        <f>IF(H418="1)",1,IF(H418="2)",2,IF(H418="3)",3,IF(H418="4)",4,IF(H418="5)",5,IF(H418="6)",6,IF(H418="7)",7,IF(H418="8)",8,0))))))))</f>
        <v/>
      </c>
      <c r="L419" s="0">
        <f>IF(H418="1)",J418,IF(H418="2)",J418,IF(H418="3)",J418,IF(H418="4)",J418,IF(H418="5)",J418,IF(H418="6)",J418,IF(H418="7)",J418,IF(H418="8)",J418,0))))))))</f>
        <v/>
      </c>
    </row>
    <row r="420">
      <c r="A420" s="0" t="inlineStr">
        <is>
          <t>Line</t>
        </is>
      </c>
      <c r="B420" s="0" t="inlineStr">
        <is>
          <t>Prize</t>
        </is>
      </c>
      <c r="C420" s="0" t="inlineStr">
        <is>
          <t>Acquired</t>
        </is>
      </c>
      <c r="D420" s="0" t="inlineStr">
        <is>
          <t>:</t>
        </is>
      </c>
      <c r="E420" s="0" t="inlineStr">
        <is>
          <t>1.92M</t>
        </is>
      </c>
      <c r="F420" s="0" t="inlineStr">
        <is>
          <t>(Stage</t>
        </is>
      </c>
      <c r="G420" s="0" t="inlineStr">
        <is>
          <t>:</t>
        </is>
      </c>
      <c r="H420" s="0" t="inlineStr">
        <is>
          <t>4)</t>
        </is>
      </c>
      <c r="I420" s="0" t="inlineStr">
        <is>
          <t>-</t>
        </is>
      </c>
      <c r="J420" s="0" t="n">
        <v>1920000</v>
      </c>
      <c r="K420" s="0">
        <f>IF(H419="1)",1,IF(H419="2)",2,IF(H419="3)",3,IF(H419="4)",4,IF(H419="5)",5,IF(H419="6)",6,IF(H419="7)",7,IF(H419="8)",8,0))))))))</f>
        <v/>
      </c>
      <c r="L420" s="0">
        <f>IF(H419="1)",J419,IF(H419="2)",J419,IF(H419="3)",J419,IF(H419="4)",J419,IF(H419="5)",J419,IF(H419="6)",J419,IF(H419="7)",J419,IF(H419="8)",J419,0))))))))</f>
        <v/>
      </c>
    </row>
    <row r="421">
      <c r="A421" s="0" t="inlineStr">
        <is>
          <t>Clear</t>
        </is>
      </c>
      <c r="B421" s="0" t="inlineStr">
        <is>
          <t>Gem</t>
        </is>
      </c>
      <c r="C421" s="0" t="inlineStr">
        <is>
          <t>Acquired</t>
        </is>
      </c>
      <c r="D421" s="0" t="inlineStr">
        <is>
          <t>:</t>
        </is>
      </c>
      <c r="E421" s="0" t="n">
        <v>2200</v>
      </c>
      <c r="F421" s="0" t="inlineStr">
        <is>
          <t>-&gt;</t>
        </is>
      </c>
      <c r="G421" s="0" t="n">
        <v>2300</v>
      </c>
      <c r="H421" s="0" t="inlineStr">
        <is>
          <t>(Stage</t>
        </is>
      </c>
      <c r="I421" s="0" t="inlineStr">
        <is>
          <t>:</t>
        </is>
      </c>
      <c r="J421" s="0" t="inlineStr">
        <is>
          <t>4)</t>
        </is>
      </c>
      <c r="K421" s="0">
        <f>IF(H420="1)",1,IF(H420="2)",2,IF(H420="3)",3,IF(H420="4)",4,IF(H420="5)",5,IF(H420="6)",6,IF(H420="7)",7,IF(H420="8)",8,0))))))))</f>
        <v/>
      </c>
      <c r="L421" s="0">
        <f>IF(H420="1)",J420,IF(H420="2)",J420,IF(H420="3)",J420,IF(H420="4)",J420,IF(H420="5)",J420,IF(H420="6)",J420,IF(H420="7)",J420,IF(H420="8)",J420,0))))))))</f>
        <v/>
      </c>
    </row>
    <row r="422">
      <c r="A422" s="0" t="inlineStr">
        <is>
          <t>New</t>
        </is>
      </c>
      <c r="B422" s="0" t="inlineStr">
        <is>
          <t>Item</t>
        </is>
      </c>
      <c r="C422" s="0" t="inlineStr">
        <is>
          <t>Acquired</t>
        </is>
      </c>
      <c r="D422" s="0" t="inlineStr">
        <is>
          <t>:</t>
        </is>
      </c>
      <c r="E422" s="0" t="inlineStr">
        <is>
          <t>45.00K</t>
        </is>
      </c>
      <c r="F422" s="0" t="inlineStr">
        <is>
          <t>(3,</t>
        </is>
      </c>
      <c r="G422" s="0" t="inlineStr">
        <is>
          <t>15)</t>
        </is>
      </c>
      <c r="K422" s="0">
        <f>IF(H421="1)",1,IF(H421="2)",2,IF(H421="3)",3,IF(H421="4)",4,IF(H421="5)",5,IF(H421="6)",6,IF(H421="7)",7,IF(H421="8)",8,0))))))))</f>
        <v/>
      </c>
      <c r="L422" s="0">
        <f>IF(H421="1)",J421,IF(H421="2)",J421,IF(H421="3)",J421,IF(H421="4)",J421,IF(H421="5)",J421,IF(H421="6)",J421,IF(H421="7)",J421,IF(H421="8)",J421,0))))))))</f>
        <v/>
      </c>
    </row>
    <row r="423">
      <c r="A423" s="0" t="inlineStr">
        <is>
          <t>New</t>
        </is>
      </c>
      <c r="B423" s="0" t="inlineStr">
        <is>
          <t>Item</t>
        </is>
      </c>
      <c r="C423" s="0" t="inlineStr">
        <is>
          <t>Acquired</t>
        </is>
      </c>
      <c r="D423" s="0" t="inlineStr">
        <is>
          <t>:</t>
        </is>
      </c>
      <c r="E423" s="0" t="inlineStr">
        <is>
          <t>90.00K</t>
        </is>
      </c>
      <c r="F423" s="0" t="inlineStr">
        <is>
          <t>(7,</t>
        </is>
      </c>
      <c r="G423" s="0" t="inlineStr">
        <is>
          <t>20)</t>
        </is>
      </c>
      <c r="K423" s="0">
        <f>IF(H422="1)",1,IF(H422="2)",2,IF(H422="3)",3,IF(H422="4)",4,IF(H422="5)",5,IF(H422="6)",6,IF(H422="7)",7,IF(H422="8)",8,0))))))))</f>
        <v/>
      </c>
      <c r="L423" s="0">
        <f>IF(H422="1)",J422,IF(H422="2)",J422,IF(H422="3)",J422,IF(H422="4)",J422,IF(H422="5)",J422,IF(H422="6)",J422,IF(H422="7)",J422,IF(H422="8)",J422,0))))))))</f>
        <v/>
      </c>
    </row>
    <row r="424">
      <c r="A424" s="0" t="inlineStr">
        <is>
          <t>New</t>
        </is>
      </c>
      <c r="B424" s="0" t="inlineStr">
        <is>
          <t>Item</t>
        </is>
      </c>
      <c r="C424" s="0" t="inlineStr">
        <is>
          <t>Acquired</t>
        </is>
      </c>
      <c r="D424" s="0" t="inlineStr">
        <is>
          <t>:</t>
        </is>
      </c>
      <c r="E424" s="0" t="inlineStr">
        <is>
          <t>175.00K</t>
        </is>
      </c>
      <c r="F424" s="0" t="inlineStr">
        <is>
          <t>(6,</t>
        </is>
      </c>
      <c r="G424" s="0" t="inlineStr">
        <is>
          <t>25)</t>
        </is>
      </c>
      <c r="K424" s="0">
        <f>IF(H423="1)",1,IF(H423="2)",2,IF(H423="3)",3,IF(H423="4)",4,IF(H423="5)",5,IF(H423="6)",6,IF(H423="7)",7,IF(H423="8)",8,0))))))))</f>
        <v/>
      </c>
      <c r="L424" s="0">
        <f>IF(H423="1)",J423,IF(H423="2)",J423,IF(H423="3)",J423,IF(H423="4)",J423,IF(H423="5)",J423,IF(H423="6)",J423,IF(H423="7)",J423,IF(H423="8)",J423,0))))))))</f>
        <v/>
      </c>
    </row>
    <row r="425">
      <c r="A425" s="0" t="inlineStr">
        <is>
          <t>New</t>
        </is>
      </c>
      <c r="B425" s="0" t="inlineStr">
        <is>
          <t>Item</t>
        </is>
      </c>
      <c r="C425" s="0" t="inlineStr">
        <is>
          <t>Acquired</t>
        </is>
      </c>
      <c r="D425" s="0" t="inlineStr">
        <is>
          <t>:</t>
        </is>
      </c>
      <c r="E425" s="0" t="inlineStr">
        <is>
          <t>Major</t>
        </is>
      </c>
      <c r="F425" s="0" t="inlineStr">
        <is>
          <t>(2,</t>
        </is>
      </c>
      <c r="G425" s="0" t="inlineStr">
        <is>
          <t>3)</t>
        </is>
      </c>
      <c r="K425" s="0">
        <f>IF(H424="1)",1,IF(H424="2)",2,IF(H424="3)",3,IF(H424="4)",4,IF(H424="5)",5,IF(H424="6)",6,IF(H424="7)",7,IF(H424="8)",8,0))))))))</f>
        <v/>
      </c>
      <c r="L425" s="0">
        <f>IF(H424="1)",J424,IF(H424="2)",J424,IF(H424="3)",J424,IF(H424="4)",J424,IF(H424="5)",J424,IF(H424="6)",J424,IF(H424="7)",J424,IF(H424="8)",J424,0))))))))</f>
        <v/>
      </c>
    </row>
    <row r="426">
      <c r="A426" s="0" t="inlineStr">
        <is>
          <t>New</t>
        </is>
      </c>
      <c r="B426" s="0" t="inlineStr">
        <is>
          <t>Item</t>
        </is>
      </c>
      <c r="C426" s="0" t="inlineStr">
        <is>
          <t>Acquired</t>
        </is>
      </c>
      <c r="D426" s="0" t="inlineStr">
        <is>
          <t>:</t>
        </is>
      </c>
      <c r="E426" s="0" t="inlineStr">
        <is>
          <t>112.50K</t>
        </is>
      </c>
      <c r="F426" s="0" t="inlineStr">
        <is>
          <t>(5,</t>
        </is>
      </c>
      <c r="G426" s="0" t="inlineStr">
        <is>
          <t>11)</t>
        </is>
      </c>
      <c r="K426" s="0">
        <f>IF(H425="1)",1,IF(H425="2)",2,IF(H425="3)",3,IF(H425="4)",4,IF(H425="5)",5,IF(H425="6)",6,IF(H425="7)",7,IF(H425="8)",8,0))))))))</f>
        <v/>
      </c>
      <c r="L426" s="0">
        <f>IF(H425="1)",J425,IF(H425="2)",J425,IF(H425="3)",J425,IF(H425="4)",J425,IF(H425="5)",J425,IF(H425="6)",J425,IF(H425="7)",J425,IF(H425="8)",J425,0))))))))</f>
        <v/>
      </c>
    </row>
    <row r="427">
      <c r="A427" s="0" t="inlineStr">
        <is>
          <t>New</t>
        </is>
      </c>
      <c r="B427" s="0" t="inlineStr">
        <is>
          <t>Item</t>
        </is>
      </c>
      <c r="C427" s="0" t="inlineStr">
        <is>
          <t>Acquired</t>
        </is>
      </c>
      <c r="D427" s="0" t="inlineStr">
        <is>
          <t>:</t>
        </is>
      </c>
      <c r="E427" s="0" t="inlineStr">
        <is>
          <t>87.50K</t>
        </is>
      </c>
      <c r="F427" s="0" t="inlineStr">
        <is>
          <t>(2,</t>
        </is>
      </c>
      <c r="G427" s="0" t="inlineStr">
        <is>
          <t>1)</t>
        </is>
      </c>
      <c r="K427" s="0">
        <f>IF(H426="1)",1,IF(H426="2)",2,IF(H426="3)",3,IF(H426="4)",4,IF(H426="5)",5,IF(H426="6)",6,IF(H426="7)",7,IF(H426="8)",8,0))))))))</f>
        <v/>
      </c>
      <c r="L427" s="0">
        <f>IF(H426="1)",J426,IF(H426="2)",J426,IF(H426="3)",J426,IF(H426="4)",J426,IF(H426="5)",J426,IF(H426="6)",J426,IF(H426="7)",J426,IF(H426="8)",J426,0))))))))</f>
        <v/>
      </c>
    </row>
    <row r="428">
      <c r="A428" s="0" t="inlineStr">
        <is>
          <t>New</t>
        </is>
      </c>
      <c r="B428" s="0" t="inlineStr">
        <is>
          <t>Item</t>
        </is>
      </c>
      <c r="C428" s="0" t="inlineStr">
        <is>
          <t>Acquired</t>
        </is>
      </c>
      <c r="D428" s="0" t="inlineStr">
        <is>
          <t>:</t>
        </is>
      </c>
      <c r="E428" s="0" t="inlineStr">
        <is>
          <t>30.00K</t>
        </is>
      </c>
      <c r="F428" s="0" t="inlineStr">
        <is>
          <t>(1,</t>
        </is>
      </c>
      <c r="G428" s="0" t="inlineStr">
        <is>
          <t>6)</t>
        </is>
      </c>
      <c r="K428" s="0">
        <f>IF(H427="1)",1,IF(H427="2)",2,IF(H427="3)",3,IF(H427="4)",4,IF(H427="5)",5,IF(H427="6)",6,IF(H427="7)",7,IF(H427="8)",8,0))))))))</f>
        <v/>
      </c>
      <c r="L428" s="0">
        <f>IF(H427="1)",J427,IF(H427="2)",J427,IF(H427="3)",J427,IF(H427="4)",J427,IF(H427="5)",J427,IF(H427="6)",J427,IF(H427="7)",J427,IF(H427="8)",J427,0))))))))</f>
        <v/>
      </c>
    </row>
    <row r="429">
      <c r="A429" s="0" t="inlineStr">
        <is>
          <t>New</t>
        </is>
      </c>
      <c r="B429" s="0" t="inlineStr">
        <is>
          <t>Item</t>
        </is>
      </c>
      <c r="C429" s="0" t="inlineStr">
        <is>
          <t>Acquired</t>
        </is>
      </c>
      <c r="D429" s="0" t="inlineStr">
        <is>
          <t>:</t>
        </is>
      </c>
      <c r="E429" s="0" t="inlineStr">
        <is>
          <t>30.00K</t>
        </is>
      </c>
      <c r="F429" s="0" t="inlineStr">
        <is>
          <t>(1,</t>
        </is>
      </c>
      <c r="G429" s="0" t="inlineStr">
        <is>
          <t>19)</t>
        </is>
      </c>
      <c r="K429" s="0">
        <f>IF(H428="1)",1,IF(H428="2)",2,IF(H428="3)",3,IF(H428="4)",4,IF(H428="5)",5,IF(H428="6)",6,IF(H428="7)",7,IF(H428="8)",8,0))))))))</f>
        <v/>
      </c>
      <c r="L429" s="0">
        <f>IF(H428="1)",J428,IF(H428="2)",J428,IF(H428="3)",J428,IF(H428="4)",J428,IF(H428="5)",J428,IF(H428="6)",J428,IF(H428="7)",J428,IF(H428="8)",J428,0))))))))</f>
        <v/>
      </c>
    </row>
    <row r="430">
      <c r="A430" s="0" t="inlineStr">
        <is>
          <t>New</t>
        </is>
      </c>
      <c r="B430" s="0" t="inlineStr">
        <is>
          <t>Item</t>
        </is>
      </c>
      <c r="C430" s="0" t="inlineStr">
        <is>
          <t>Acquired</t>
        </is>
      </c>
      <c r="D430" s="0" t="inlineStr">
        <is>
          <t>:</t>
        </is>
      </c>
      <c r="E430" s="0" t="inlineStr">
        <is>
          <t>90.00K</t>
        </is>
      </c>
      <c r="F430" s="0" t="inlineStr">
        <is>
          <t>(7,</t>
        </is>
      </c>
      <c r="G430" s="0" t="inlineStr">
        <is>
          <t>2)</t>
        </is>
      </c>
      <c r="K430" s="0">
        <f>IF(H429="1)",1,IF(H429="2)",2,IF(H429="3)",3,IF(H429="4)",4,IF(H429="5)",5,IF(H429="6)",6,IF(H429="7)",7,IF(H429="8)",8,0))))))))</f>
        <v/>
      </c>
      <c r="L430" s="0">
        <f>IF(H429="1)",J429,IF(H429="2)",J429,IF(H429="3)",J429,IF(H429="4)",J429,IF(H429="5)",J429,IF(H429="6)",J429,IF(H429="7)",J429,IF(H429="8)",J429,0))))))))</f>
        <v/>
      </c>
    </row>
    <row r="431">
      <c r="A431" s="0" t="inlineStr">
        <is>
          <t>New</t>
        </is>
      </c>
      <c r="B431" s="0" t="inlineStr">
        <is>
          <t>Item</t>
        </is>
      </c>
      <c r="C431" s="0" t="inlineStr">
        <is>
          <t>Acquired</t>
        </is>
      </c>
      <c r="D431" s="0" t="inlineStr">
        <is>
          <t>:</t>
        </is>
      </c>
      <c r="E431" s="0" t="inlineStr">
        <is>
          <t>157.50K</t>
        </is>
      </c>
      <c r="F431" s="0" t="inlineStr">
        <is>
          <t>(5,</t>
        </is>
      </c>
      <c r="G431" s="0" t="inlineStr">
        <is>
          <t>19)</t>
        </is>
      </c>
      <c r="K431" s="0">
        <f>IF(H430="1)",1,IF(H430="2)",2,IF(H430="3)",3,IF(H430="4)",4,IF(H430="5)",5,IF(H430="6)",6,IF(H430="7)",7,IF(H430="8)",8,0))))))))</f>
        <v/>
      </c>
      <c r="L431" s="0">
        <f>IF(H430="1)",J430,IF(H430="2)",J430,IF(H430="3)",J430,IF(H430="4)",J430,IF(H430="5)",J430,IF(H430="6)",J430,IF(H430="7)",J430,IF(H430="8)",J430,0))))))))</f>
        <v/>
      </c>
    </row>
    <row r="432">
      <c r="A432" s="0" t="inlineStr">
        <is>
          <t>New</t>
        </is>
      </c>
      <c r="B432" s="0" t="inlineStr">
        <is>
          <t>Item</t>
        </is>
      </c>
      <c r="C432" s="0" t="inlineStr">
        <is>
          <t>Acquired</t>
        </is>
      </c>
      <c r="D432" s="0" t="inlineStr">
        <is>
          <t>:</t>
        </is>
      </c>
      <c r="E432" s="0" t="inlineStr">
        <is>
          <t>67.50K</t>
        </is>
      </c>
      <c r="F432" s="0" t="inlineStr">
        <is>
          <t>(5,</t>
        </is>
      </c>
      <c r="G432" s="0" t="inlineStr">
        <is>
          <t>4)</t>
        </is>
      </c>
      <c r="K432" s="0">
        <f>IF(H431="1)",1,IF(H431="2)",2,IF(H431="3)",3,IF(H431="4)",4,IF(H431="5)",5,IF(H431="6)",6,IF(H431="7)",7,IF(H431="8)",8,0))))))))</f>
        <v/>
      </c>
      <c r="L432" s="0">
        <f>IF(H431="1)",J431,IF(H431="2)",J431,IF(H431="3)",J431,IF(H431="4)",J431,IF(H431="5)",J431,IF(H431="6)",J431,IF(H431="7)",J431,IF(H431="8)",J431,0))))))))</f>
        <v/>
      </c>
    </row>
    <row r="433">
      <c r="A433" s="0" t="inlineStr">
        <is>
          <t>New</t>
        </is>
      </c>
      <c r="B433" s="0" t="inlineStr">
        <is>
          <t>Item</t>
        </is>
      </c>
      <c r="C433" s="0" t="inlineStr">
        <is>
          <t>Acquired</t>
        </is>
      </c>
      <c r="D433" s="0" t="inlineStr">
        <is>
          <t>:</t>
        </is>
      </c>
      <c r="E433" s="0" t="inlineStr">
        <is>
          <t>157.50K</t>
        </is>
      </c>
      <c r="F433" s="0" t="inlineStr">
        <is>
          <t>(5,</t>
        </is>
      </c>
      <c r="G433" s="0" t="inlineStr">
        <is>
          <t>18)</t>
        </is>
      </c>
      <c r="K433" s="0">
        <f>IF(H432="1)",1,IF(H432="2)",2,IF(H432="3)",3,IF(H432="4)",4,IF(H432="5)",5,IF(H432="6)",6,IF(H432="7)",7,IF(H432="8)",8,0))))))))</f>
        <v/>
      </c>
      <c r="L433" s="0">
        <f>IF(H432="1)",J432,IF(H432="2)",J432,IF(H432="3)",J432,IF(H432="4)",J432,IF(H432="5)",J432,IF(H432="6)",J432,IF(H432="7)",J432,IF(H432="8)",J432,0))))))))</f>
        <v/>
      </c>
    </row>
    <row r="434">
      <c r="A434" s="0" t="inlineStr">
        <is>
          <t>New</t>
        </is>
      </c>
      <c r="B434" s="0" t="inlineStr">
        <is>
          <t>Item</t>
        </is>
      </c>
      <c r="C434" s="0" t="inlineStr">
        <is>
          <t>Acquired</t>
        </is>
      </c>
      <c r="D434" s="0" t="inlineStr">
        <is>
          <t>:</t>
        </is>
      </c>
      <c r="E434" s="0" t="inlineStr">
        <is>
          <t>210.00K</t>
        </is>
      </c>
      <c r="F434" s="0" t="inlineStr">
        <is>
          <t>(7,</t>
        </is>
      </c>
      <c r="G434" s="0" t="inlineStr">
        <is>
          <t>3)</t>
        </is>
      </c>
      <c r="K434" s="0">
        <f>IF(H433="1)",1,IF(H433="2)",2,IF(H433="3)",3,IF(H433="4)",4,IF(H433="5)",5,IF(H433="6)",6,IF(H433="7)",7,IF(H433="8)",8,0))))))))</f>
        <v/>
      </c>
      <c r="L434" s="0">
        <f>IF(H433="1)",J433,IF(H433="2)",J433,IF(H433="3)",J433,IF(H433="4)",J433,IF(H433="5)",J433,IF(H433="6)",J433,IF(H433="7)",J433,IF(H433="8)",J433,0))))))))</f>
        <v/>
      </c>
    </row>
    <row r="435">
      <c r="A435" s="0" t="inlineStr">
        <is>
          <t>New</t>
        </is>
      </c>
      <c r="B435" s="0" t="inlineStr">
        <is>
          <t>Item</t>
        </is>
      </c>
      <c r="C435" s="0" t="inlineStr">
        <is>
          <t>Acquired</t>
        </is>
      </c>
      <c r="D435" s="0" t="inlineStr">
        <is>
          <t>:</t>
        </is>
      </c>
      <c r="E435" s="0" t="inlineStr">
        <is>
          <t>45.00K</t>
        </is>
      </c>
      <c r="F435" s="0" t="inlineStr">
        <is>
          <t>(3,</t>
        </is>
      </c>
      <c r="G435" s="0" t="inlineStr">
        <is>
          <t>19)</t>
        </is>
      </c>
      <c r="K435" s="0">
        <f>IF(H434="1)",1,IF(H434="2)",2,IF(H434="3)",3,IF(H434="4)",4,IF(H434="5)",5,IF(H434="6)",6,IF(H434="7)",7,IF(H434="8)",8,0))))))))</f>
        <v/>
      </c>
      <c r="L435" s="0">
        <f>IF(H434="1)",J434,IF(H434="2)",J434,IF(H434="3)",J434,IF(H434="4)",J434,IF(H434="5)",J434,IF(H434="6)",J434,IF(H434="7)",J434,IF(H434="8)",J434,0))))))))</f>
        <v/>
      </c>
    </row>
    <row r="436">
      <c r="A436" s="0" t="inlineStr">
        <is>
          <t>Line</t>
        </is>
      </c>
      <c r="B436" s="0" t="inlineStr">
        <is>
          <t>Prize</t>
        </is>
      </c>
      <c r="C436" s="0" t="inlineStr">
        <is>
          <t>Acquired</t>
        </is>
      </c>
      <c r="D436" s="0" t="inlineStr">
        <is>
          <t>:</t>
        </is>
      </c>
      <c r="E436" s="0" t="inlineStr">
        <is>
          <t>315.00K</t>
        </is>
      </c>
      <c r="F436" s="0" t="inlineStr">
        <is>
          <t>(Stage</t>
        </is>
      </c>
      <c r="G436" s="0" t="inlineStr">
        <is>
          <t>:</t>
        </is>
      </c>
      <c r="H436" s="0" t="inlineStr">
        <is>
          <t>3)</t>
        </is>
      </c>
      <c r="I436" s="0" t="inlineStr">
        <is>
          <t>-</t>
        </is>
      </c>
      <c r="J436" s="0" t="n">
        <v>315000</v>
      </c>
      <c r="K436" s="0">
        <f>IF(H435="1)",1,IF(H435="2)",2,IF(H435="3)",3,IF(H435="4)",4,IF(H435="5)",5,IF(H435="6)",6,IF(H435="7)",7,IF(H435="8)",8,0))))))))</f>
        <v/>
      </c>
      <c r="L436" s="0">
        <f>IF(H435="1)",J435,IF(H435="2)",J435,IF(H435="3)",J435,IF(H435="4)",J435,IF(H435="5)",J435,IF(H435="6)",J435,IF(H435="7)",J435,IF(H435="8)",J435,0))))))))</f>
        <v/>
      </c>
    </row>
    <row r="437">
      <c r="A437" s="0" t="inlineStr">
        <is>
          <t>Clear</t>
        </is>
      </c>
      <c r="B437" s="0" t="inlineStr">
        <is>
          <t>Gem</t>
        </is>
      </c>
      <c r="C437" s="0" t="inlineStr">
        <is>
          <t>Acquired</t>
        </is>
      </c>
      <c r="D437" s="0" t="inlineStr">
        <is>
          <t>:</t>
        </is>
      </c>
      <c r="E437" s="0" t="n">
        <v>2300</v>
      </c>
      <c r="F437" s="0" t="inlineStr">
        <is>
          <t>-&gt;</t>
        </is>
      </c>
      <c r="G437" s="0" t="n">
        <v>2400</v>
      </c>
      <c r="H437" s="0" t="inlineStr">
        <is>
          <t>(Stage</t>
        </is>
      </c>
      <c r="I437" s="0" t="inlineStr">
        <is>
          <t>:</t>
        </is>
      </c>
      <c r="J437" s="0" t="inlineStr">
        <is>
          <t>3)</t>
        </is>
      </c>
      <c r="K437" s="0">
        <f>IF(H436="1)",1,IF(H436="2)",2,IF(H436="3)",3,IF(H436="4)",4,IF(H436="5)",5,IF(H436="6)",6,IF(H436="7)",7,IF(H436="8)",8,0))))))))</f>
        <v/>
      </c>
      <c r="L437" s="0">
        <f>IF(H436="1)",J436,IF(H436="2)",J436,IF(H436="3)",J436,IF(H436="4)",J436,IF(H436="5)",J436,IF(H436="6)",J436,IF(H436="7)",J436,IF(H436="8)",J436,0))))))))</f>
        <v/>
      </c>
    </row>
    <row r="438">
      <c r="A438" s="0" t="inlineStr">
        <is>
          <t>New</t>
        </is>
      </c>
      <c r="B438" s="0" t="inlineStr">
        <is>
          <t>Item</t>
        </is>
      </c>
      <c r="C438" s="0" t="inlineStr">
        <is>
          <t>Acquired</t>
        </is>
      </c>
      <c r="D438" s="0" t="inlineStr">
        <is>
          <t>:</t>
        </is>
      </c>
      <c r="E438" s="0" t="inlineStr">
        <is>
          <t>60.00K</t>
        </is>
      </c>
      <c r="F438" s="0" t="inlineStr">
        <is>
          <t>(4,</t>
        </is>
      </c>
      <c r="G438" s="0" t="inlineStr">
        <is>
          <t>19)</t>
        </is>
      </c>
      <c r="K438" s="0">
        <f>IF(H437="1)",1,IF(H437="2)",2,IF(H437="3)",3,IF(H437="4)",4,IF(H437="5)",5,IF(H437="6)",6,IF(H437="7)",7,IF(H437="8)",8,0))))))))</f>
        <v/>
      </c>
      <c r="L438" s="0">
        <f>IF(H437="1)",J437,IF(H437="2)",J437,IF(H437="3)",J437,IF(H437="4)",J437,IF(H437="5)",J437,IF(H437="6)",J437,IF(H437="7)",J437,IF(H437="8)",J437,0))))))))</f>
        <v/>
      </c>
    </row>
    <row r="439">
      <c r="A439" s="0" t="inlineStr">
        <is>
          <t>New</t>
        </is>
      </c>
      <c r="B439" s="0" t="inlineStr">
        <is>
          <t>Item</t>
        </is>
      </c>
      <c r="C439" s="0" t="inlineStr">
        <is>
          <t>Acquired</t>
        </is>
      </c>
      <c r="D439" s="0" t="inlineStr">
        <is>
          <t>:</t>
        </is>
      </c>
      <c r="E439" s="0" t="inlineStr">
        <is>
          <t>75.00K</t>
        </is>
      </c>
      <c r="F439" s="0" t="inlineStr">
        <is>
          <t>(4,</t>
        </is>
      </c>
      <c r="G439" s="0" t="inlineStr">
        <is>
          <t>2)</t>
        </is>
      </c>
      <c r="K439" s="0">
        <f>IF(H438="1)",1,IF(H438="2)",2,IF(H438="3)",3,IF(H438="4)",4,IF(H438="5)",5,IF(H438="6)",6,IF(H438="7)",7,IF(H438="8)",8,0))))))))</f>
        <v/>
      </c>
      <c r="L439" s="0">
        <f>IF(H438="1)",J438,IF(H438="2)",J438,IF(H438="3)",J438,IF(H438="4)",J438,IF(H438="5)",J438,IF(H438="6)",J438,IF(H438="7)",J438,IF(H438="8)",J438,0))))))))</f>
        <v/>
      </c>
    </row>
    <row r="440">
      <c r="A440" s="0" t="inlineStr">
        <is>
          <t>New</t>
        </is>
      </c>
      <c r="B440" s="0" t="inlineStr">
        <is>
          <t>Item</t>
        </is>
      </c>
      <c r="C440" s="0" t="inlineStr">
        <is>
          <t>Acquired</t>
        </is>
      </c>
      <c r="D440" s="0" t="inlineStr">
        <is>
          <t>:</t>
        </is>
      </c>
      <c r="E440" s="0" t="inlineStr">
        <is>
          <t>75.00K</t>
        </is>
      </c>
      <c r="F440" s="0" t="inlineStr">
        <is>
          <t>(4,</t>
        </is>
      </c>
      <c r="G440" s="0" t="inlineStr">
        <is>
          <t>7)</t>
        </is>
      </c>
      <c r="K440" s="0">
        <f>IF(H439="1)",1,IF(H439="2)",2,IF(H439="3)",3,IF(H439="4)",4,IF(H439="5)",5,IF(H439="6)",6,IF(H439="7)",7,IF(H439="8)",8,0))))))))</f>
        <v/>
      </c>
      <c r="L440" s="0">
        <f>IF(H439="1)",J439,IF(H439="2)",J439,IF(H439="3)",J439,IF(H439="4)",J439,IF(H439="5)",J439,IF(H439="6)",J439,IF(H439="7)",J439,IF(H439="8)",J439,0))))))))</f>
        <v/>
      </c>
    </row>
    <row r="441">
      <c r="A441" s="0" t="inlineStr">
        <is>
          <t>New</t>
        </is>
      </c>
      <c r="B441" s="0" t="inlineStr">
        <is>
          <t>Item</t>
        </is>
      </c>
      <c r="C441" s="0" t="inlineStr">
        <is>
          <t>Acquired</t>
        </is>
      </c>
      <c r="D441" s="0" t="inlineStr">
        <is>
          <t>:</t>
        </is>
      </c>
      <c r="E441" s="0" t="inlineStr">
        <is>
          <t>Mini</t>
        </is>
      </c>
      <c r="F441" s="0" t="inlineStr">
        <is>
          <t>(7,</t>
        </is>
      </c>
      <c r="G441" s="0" t="inlineStr">
        <is>
          <t>8)</t>
        </is>
      </c>
      <c r="K441" s="0">
        <f>IF(H440="1)",1,IF(H440="2)",2,IF(H440="3)",3,IF(H440="4)",4,IF(H440="5)",5,IF(H440="6)",6,IF(H440="7)",7,IF(H440="8)",8,0))))))))</f>
        <v/>
      </c>
      <c r="L441" s="0">
        <f>IF(H440="1)",J440,IF(H440="2)",J440,IF(H440="3)",J440,IF(H440="4)",J440,IF(H440="5)",J440,IF(H440="6)",J440,IF(H440="7)",J440,IF(H440="8)",J440,0))))))))</f>
        <v/>
      </c>
    </row>
    <row r="442">
      <c r="A442" s="0" t="inlineStr">
        <is>
          <t>New</t>
        </is>
      </c>
      <c r="B442" s="0" t="inlineStr">
        <is>
          <t>Item</t>
        </is>
      </c>
      <c r="C442" s="0" t="inlineStr">
        <is>
          <t>Acquired</t>
        </is>
      </c>
      <c r="D442" s="0" t="inlineStr">
        <is>
          <t>:</t>
        </is>
      </c>
      <c r="E442" s="0" t="inlineStr">
        <is>
          <t>Mini</t>
        </is>
      </c>
      <c r="F442" s="0" t="inlineStr">
        <is>
          <t>(1,</t>
        </is>
      </c>
      <c r="G442" s="0" t="inlineStr">
        <is>
          <t>7)</t>
        </is>
      </c>
      <c r="K442" s="0">
        <f>IF(H441="1)",1,IF(H441="2)",2,IF(H441="3)",3,IF(H441="4)",4,IF(H441="5)",5,IF(H441="6)",6,IF(H441="7)",7,IF(H441="8)",8,0))))))))</f>
        <v/>
      </c>
      <c r="L442" s="0">
        <f>IF(H441="1)",J441,IF(H441="2)",J441,IF(H441="3)",J441,IF(H441="4)",J441,IF(H441="5)",J441,IF(H441="6)",J441,IF(H441="7)",J441,IF(H441="8)",J441,0))))))))</f>
        <v/>
      </c>
    </row>
    <row r="443">
      <c r="A443" s="0" t="inlineStr">
        <is>
          <t>New</t>
        </is>
      </c>
      <c r="B443" s="0" t="inlineStr">
        <is>
          <t>Item</t>
        </is>
      </c>
      <c r="C443" s="0" t="inlineStr">
        <is>
          <t>Acquired</t>
        </is>
      </c>
      <c r="D443" s="0" t="inlineStr">
        <is>
          <t>:</t>
        </is>
      </c>
      <c r="E443" s="0" t="inlineStr">
        <is>
          <t>105.00K</t>
        </is>
      </c>
      <c r="F443" s="0" t="inlineStr">
        <is>
          <t>(3,</t>
        </is>
      </c>
      <c r="G443" s="0" t="inlineStr">
        <is>
          <t>15)</t>
        </is>
      </c>
      <c r="K443" s="0">
        <f>IF(H442="1)",1,IF(H442="2)",2,IF(H442="3)",3,IF(H442="4)",4,IF(H442="5)",5,IF(H442="6)",6,IF(H442="7)",7,IF(H442="8)",8,0))))))))</f>
        <v/>
      </c>
      <c r="L443" s="0">
        <f>IF(H442="1)",J442,IF(H442="2)",J442,IF(H442="3)",J442,IF(H442="4)",J442,IF(H442="5)",J442,IF(H442="6)",J442,IF(H442="7)",J442,IF(H442="8)",J442,0))))))))</f>
        <v/>
      </c>
    </row>
    <row r="444">
      <c r="A444" s="0" t="inlineStr">
        <is>
          <t>New</t>
        </is>
      </c>
      <c r="B444" s="0" t="inlineStr">
        <is>
          <t>Item</t>
        </is>
      </c>
      <c r="C444" s="0" t="inlineStr">
        <is>
          <t>Acquired</t>
        </is>
      </c>
      <c r="D444" s="0" t="inlineStr">
        <is>
          <t>:</t>
        </is>
      </c>
      <c r="E444" s="0" t="inlineStr">
        <is>
          <t>67.50K</t>
        </is>
      </c>
      <c r="F444" s="0" t="inlineStr">
        <is>
          <t>(5,</t>
        </is>
      </c>
      <c r="G444" s="0" t="inlineStr">
        <is>
          <t>7)</t>
        </is>
      </c>
      <c r="K444" s="0">
        <f>IF(H443="1)",1,IF(H443="2)",2,IF(H443="3)",3,IF(H443="4)",4,IF(H443="5)",5,IF(H443="6)",6,IF(H443="7)",7,IF(H443="8)",8,0))))))))</f>
        <v/>
      </c>
      <c r="L444" s="0">
        <f>IF(H443="1)",J443,IF(H443="2)",J443,IF(H443="3)",J443,IF(H443="4)",J443,IF(H443="5)",J443,IF(H443="6)",J443,IF(H443="7)",J443,IF(H443="8)",J443,0))))))))</f>
        <v/>
      </c>
    </row>
    <row r="445">
      <c r="A445" s="0" t="inlineStr">
        <is>
          <t>Item</t>
        </is>
      </c>
      <c r="B445" s="0" t="inlineStr">
        <is>
          <t>ReSelect</t>
        </is>
      </c>
      <c r="C445" s="0" t="inlineStr">
        <is>
          <t>Failed</t>
        </is>
      </c>
      <c r="D445" s="0" t="inlineStr">
        <is>
          <t>:</t>
        </is>
      </c>
      <c r="E445" s="0" t="inlineStr">
        <is>
          <t>Attempt</t>
        </is>
      </c>
      <c r="F445" s="0" t="inlineStr">
        <is>
          <t>Count</t>
        </is>
      </c>
      <c r="G445" s="0" t="inlineStr">
        <is>
          <t>-</t>
        </is>
      </c>
      <c r="H445" s="0" t="n">
        <v>3</v>
      </c>
      <c r="K445" s="0">
        <f>IF(H444="1)",1,IF(H444="2)",2,IF(H444="3)",3,IF(H444="4)",4,IF(H444="5)",5,IF(H444="6)",6,IF(H444="7)",7,IF(H444="8)",8,0))))))))</f>
        <v/>
      </c>
      <c r="L445" s="0">
        <f>IF(H444="1)",J444,IF(H444="2)",J444,IF(H444="3)",J444,IF(H444="4)",J444,IF(H444="5)",J444,IF(H444="6)",J444,IF(H444="7)",J444,IF(H444="8)",J444,0))))))))</f>
        <v/>
      </c>
    </row>
    <row r="446">
      <c r="A446" s="0" t="inlineStr">
        <is>
          <t>New</t>
        </is>
      </c>
      <c r="B446" s="0" t="inlineStr">
        <is>
          <t>Item</t>
        </is>
      </c>
      <c r="C446" s="0" t="inlineStr">
        <is>
          <t>Acquired</t>
        </is>
      </c>
      <c r="D446" s="0" t="inlineStr">
        <is>
          <t>:</t>
        </is>
      </c>
      <c r="E446" s="0" t="inlineStr">
        <is>
          <t>120.00K</t>
        </is>
      </c>
      <c r="F446" s="0" t="inlineStr">
        <is>
          <t>(8,</t>
        </is>
      </c>
      <c r="G446" s="0" t="inlineStr">
        <is>
          <t>15)</t>
        </is>
      </c>
      <c r="K446" s="0">
        <f>IF(H445="1)",1,IF(H445="2)",2,IF(H445="3)",3,IF(H445="4)",4,IF(H445="5)",5,IF(H445="6)",6,IF(H445="7)",7,IF(H445="8)",8,0))))))))</f>
        <v/>
      </c>
      <c r="L446" s="0">
        <f>IF(H445="1)",J445,IF(H445="2)",J445,IF(H445="3)",J445,IF(H445="4)",J445,IF(H445="5)",J445,IF(H445="6)",J445,IF(H445="7)",J445,IF(H445="8)",J445,0))))))))</f>
        <v/>
      </c>
    </row>
    <row r="447">
      <c r="A447" s="0" t="inlineStr">
        <is>
          <t>New</t>
        </is>
      </c>
      <c r="B447" s="0" t="inlineStr">
        <is>
          <t>Item</t>
        </is>
      </c>
      <c r="C447" s="0" t="inlineStr">
        <is>
          <t>Acquired</t>
        </is>
      </c>
      <c r="D447" s="0" t="inlineStr">
        <is>
          <t>:</t>
        </is>
      </c>
      <c r="E447" s="0" t="inlineStr">
        <is>
          <t>105.00K</t>
        </is>
      </c>
      <c r="F447" s="0" t="inlineStr">
        <is>
          <t>(3,</t>
        </is>
      </c>
      <c r="G447" s="0" t="inlineStr">
        <is>
          <t>8)</t>
        </is>
      </c>
      <c r="K447" s="0">
        <f>IF(H446="1)",1,IF(H446="2)",2,IF(H446="3)",3,IF(H446="4)",4,IF(H446="5)",5,IF(H446="6)",6,IF(H446="7)",7,IF(H446="8)",8,0))))))))</f>
        <v/>
      </c>
      <c r="L447" s="0">
        <f>IF(H446="1)",J446,IF(H446="2)",J446,IF(H446="3)",J446,IF(H446="4)",J446,IF(H446="5)",J446,IF(H446="6)",J446,IF(H446="7)",J446,IF(H446="8)",J446,0))))))))</f>
        <v/>
      </c>
    </row>
    <row r="448">
      <c r="A448" s="0" t="inlineStr">
        <is>
          <t>Item</t>
        </is>
      </c>
      <c r="B448" s="0" t="inlineStr">
        <is>
          <t>ReSelect</t>
        </is>
      </c>
      <c r="C448" s="0" t="inlineStr">
        <is>
          <t>Failed</t>
        </is>
      </c>
      <c r="D448" s="0" t="inlineStr">
        <is>
          <t>:</t>
        </is>
      </c>
      <c r="E448" s="0" t="inlineStr">
        <is>
          <t>Attempt</t>
        </is>
      </c>
      <c r="F448" s="0" t="inlineStr">
        <is>
          <t>Count</t>
        </is>
      </c>
      <c r="G448" s="0" t="inlineStr">
        <is>
          <t>-</t>
        </is>
      </c>
      <c r="H448" s="0" t="n">
        <v>3</v>
      </c>
      <c r="K448" s="0">
        <f>IF(H447="1)",1,IF(H447="2)",2,IF(H447="3)",3,IF(H447="4)",4,IF(H447="5)",5,IF(H447="6)",6,IF(H447="7)",7,IF(H447="8)",8,0))))))))</f>
        <v/>
      </c>
      <c r="L448" s="0">
        <f>IF(H447="1)",J447,IF(H447="2)",J447,IF(H447="3)",J447,IF(H447="4)",J447,IF(H447="5)",J447,IF(H447="6)",J447,IF(H447="7)",J447,IF(H447="8)",J447,0))))))))</f>
        <v/>
      </c>
    </row>
    <row r="449">
      <c r="A449" s="0" t="inlineStr">
        <is>
          <t>New</t>
        </is>
      </c>
      <c r="B449" s="0" t="inlineStr">
        <is>
          <t>Item</t>
        </is>
      </c>
      <c r="C449" s="0" t="inlineStr">
        <is>
          <t>Acquired</t>
        </is>
      </c>
      <c r="D449" s="0" t="inlineStr">
        <is>
          <t>:</t>
        </is>
      </c>
      <c r="E449" s="0" t="inlineStr">
        <is>
          <t>175.00K</t>
        </is>
      </c>
      <c r="F449" s="0" t="inlineStr">
        <is>
          <t>(6,</t>
        </is>
      </c>
      <c r="G449" s="0" t="inlineStr">
        <is>
          <t>9)</t>
        </is>
      </c>
      <c r="K449" s="0">
        <f>IF(H448="1)",1,IF(H448="2)",2,IF(H448="3)",3,IF(H448="4)",4,IF(H448="5)",5,IF(H448="6)",6,IF(H448="7)",7,IF(H448="8)",8,0))))))))</f>
        <v/>
      </c>
      <c r="L449" s="0">
        <f>IF(H448="1)",J448,IF(H448="2)",J448,IF(H448="3)",J448,IF(H448="4)",J448,IF(H448="5)",J448,IF(H448="6)",J448,IF(H448="7)",J448,IF(H448="8)",J448,0))))))))</f>
        <v/>
      </c>
    </row>
    <row r="450">
      <c r="A450" s="0" t="inlineStr">
        <is>
          <t>New</t>
        </is>
      </c>
      <c r="B450" s="0" t="inlineStr">
        <is>
          <t>Item</t>
        </is>
      </c>
      <c r="C450" s="0" t="inlineStr">
        <is>
          <t>Acquired</t>
        </is>
      </c>
      <c r="D450" s="0" t="inlineStr">
        <is>
          <t>:</t>
        </is>
      </c>
      <c r="E450" s="0" t="inlineStr">
        <is>
          <t>60.00K</t>
        </is>
      </c>
      <c r="F450" s="0" t="inlineStr">
        <is>
          <t>(4,</t>
        </is>
      </c>
      <c r="G450" s="0" t="inlineStr">
        <is>
          <t>11)</t>
        </is>
      </c>
      <c r="K450" s="0">
        <f>IF(H449="1)",1,IF(H449="2)",2,IF(H449="3)",3,IF(H449="4)",4,IF(H449="5)",5,IF(H449="6)",6,IF(H449="7)",7,IF(H449="8)",8,0))))))))</f>
        <v/>
      </c>
      <c r="L450" s="0">
        <f>IF(H449="1)",J449,IF(H449="2)",J449,IF(H449="3)",J449,IF(H449="4)",J449,IF(H449="5)",J449,IF(H449="6)",J449,IF(H449="7)",J449,IF(H449="8)",J449,0))))))))</f>
        <v/>
      </c>
    </row>
    <row r="451">
      <c r="A451" s="0" t="inlineStr">
        <is>
          <t>New</t>
        </is>
      </c>
      <c r="B451" s="0" t="inlineStr">
        <is>
          <t>Item</t>
        </is>
      </c>
      <c r="C451" s="0" t="inlineStr">
        <is>
          <t>Acquired</t>
        </is>
      </c>
      <c r="D451" s="0" t="inlineStr">
        <is>
          <t>:</t>
        </is>
      </c>
      <c r="E451" s="0" t="inlineStr">
        <is>
          <t>75.00K</t>
        </is>
      </c>
      <c r="F451" s="0" t="inlineStr">
        <is>
          <t>(3,</t>
        </is>
      </c>
      <c r="G451" s="0" t="inlineStr">
        <is>
          <t>23)</t>
        </is>
      </c>
      <c r="K451" s="0">
        <f>IF(H450="1)",1,IF(H450="2)",2,IF(H450="3)",3,IF(H450="4)",4,IF(H450="5)",5,IF(H450="6)",6,IF(H450="7)",7,IF(H450="8)",8,0))))))))</f>
        <v/>
      </c>
      <c r="L451" s="0">
        <f>IF(H450="1)",J450,IF(H450="2)",J450,IF(H450="3)",J450,IF(H450="4)",J450,IF(H450="5)",J450,IF(H450="6)",J450,IF(H450="7)",J450,IF(H450="8)",J450,0))))))))</f>
        <v/>
      </c>
    </row>
    <row r="452">
      <c r="A452" s="0" t="inlineStr">
        <is>
          <t>New</t>
        </is>
      </c>
      <c r="B452" s="0" t="inlineStr">
        <is>
          <t>Item</t>
        </is>
      </c>
      <c r="C452" s="0" t="inlineStr">
        <is>
          <t>Acquired</t>
        </is>
      </c>
      <c r="D452" s="0" t="inlineStr">
        <is>
          <t>:</t>
        </is>
      </c>
      <c r="E452" s="0" t="inlineStr">
        <is>
          <t>150.00K</t>
        </is>
      </c>
      <c r="F452" s="0" t="inlineStr">
        <is>
          <t>(7,</t>
        </is>
      </c>
      <c r="G452" s="0" t="inlineStr">
        <is>
          <t>6)</t>
        </is>
      </c>
      <c r="K452" s="0">
        <f>IF(H451="1)",1,IF(H451="2)",2,IF(H451="3)",3,IF(H451="4)",4,IF(H451="5)",5,IF(H451="6)",6,IF(H451="7)",7,IF(H451="8)",8,0))))))))</f>
        <v/>
      </c>
      <c r="L452" s="0">
        <f>IF(H451="1)",J451,IF(H451="2)",J451,IF(H451="3)",J451,IF(H451="4)",J451,IF(H451="5)",J451,IF(H451="6)",J451,IF(H451="7)",J451,IF(H451="8)",J451,0))))))))</f>
        <v/>
      </c>
    </row>
    <row r="453">
      <c r="A453" s="0" t="inlineStr">
        <is>
          <t>New</t>
        </is>
      </c>
      <c r="B453" s="0" t="inlineStr">
        <is>
          <t>Item</t>
        </is>
      </c>
      <c r="C453" s="0" t="inlineStr">
        <is>
          <t>Acquired</t>
        </is>
      </c>
      <c r="D453" s="0" t="inlineStr">
        <is>
          <t>:</t>
        </is>
      </c>
      <c r="E453" s="0" t="inlineStr">
        <is>
          <t>75.00K</t>
        </is>
      </c>
      <c r="F453" s="0" t="inlineStr">
        <is>
          <t>(3,</t>
        </is>
      </c>
      <c r="G453" s="0" t="inlineStr">
        <is>
          <t>2)</t>
        </is>
      </c>
      <c r="K453" s="0">
        <f>IF(H452="1)",1,IF(H452="2)",2,IF(H452="3)",3,IF(H452="4)",4,IF(H452="5)",5,IF(H452="6)",6,IF(H452="7)",7,IF(H452="8)",8,0))))))))</f>
        <v/>
      </c>
      <c r="L453" s="0">
        <f>IF(H452="1)",J452,IF(H452="2)",J452,IF(H452="3)",J452,IF(H452="4)",J452,IF(H452="5)",J452,IF(H452="6)",J452,IF(H452="7)",J452,IF(H452="8)",J452,0))))))))</f>
        <v/>
      </c>
    </row>
    <row r="454">
      <c r="A454" s="0" t="inlineStr">
        <is>
          <t>New</t>
        </is>
      </c>
      <c r="B454" s="0" t="inlineStr">
        <is>
          <t>Item</t>
        </is>
      </c>
      <c r="C454" s="0" t="inlineStr">
        <is>
          <t>Acquired</t>
        </is>
      </c>
      <c r="D454" s="0" t="inlineStr">
        <is>
          <t>:</t>
        </is>
      </c>
      <c r="E454" s="0" t="inlineStr">
        <is>
          <t>50.00K</t>
        </is>
      </c>
      <c r="F454" s="0" t="inlineStr">
        <is>
          <t>(1,</t>
        </is>
      </c>
      <c r="G454" s="0" t="inlineStr">
        <is>
          <t>14)</t>
        </is>
      </c>
      <c r="K454" s="0">
        <f>IF(H453="1)",1,IF(H453="2)",2,IF(H453="3)",3,IF(H453="4)",4,IF(H453="5)",5,IF(H453="6)",6,IF(H453="7)",7,IF(H453="8)",8,0))))))))</f>
        <v/>
      </c>
      <c r="L454" s="0">
        <f>IF(H453="1)",J453,IF(H453="2)",J453,IF(H453="3)",J453,IF(H453="4)",J453,IF(H453="5)",J453,IF(H453="6)",J453,IF(H453="7)",J453,IF(H453="8)",J453,0))))))))</f>
        <v/>
      </c>
    </row>
    <row r="455">
      <c r="A455" s="0" t="inlineStr">
        <is>
          <t>New</t>
        </is>
      </c>
      <c r="B455" s="0" t="inlineStr">
        <is>
          <t>Item</t>
        </is>
      </c>
      <c r="C455" s="0" t="inlineStr">
        <is>
          <t>Acquired</t>
        </is>
      </c>
      <c r="D455" s="0" t="inlineStr">
        <is>
          <t>:</t>
        </is>
      </c>
      <c r="E455" s="0" t="inlineStr">
        <is>
          <t>30.00K</t>
        </is>
      </c>
      <c r="F455" s="0" t="inlineStr">
        <is>
          <t>(1,</t>
        </is>
      </c>
      <c r="G455" s="0" t="inlineStr">
        <is>
          <t>18)</t>
        </is>
      </c>
      <c r="K455" s="0">
        <f>IF(H454="1)",1,IF(H454="2)",2,IF(H454="3)",3,IF(H454="4)",4,IF(H454="5)",5,IF(H454="6)",6,IF(H454="7)",7,IF(H454="8)",8,0))))))))</f>
        <v/>
      </c>
      <c r="L455" s="0">
        <f>IF(H454="1)",J454,IF(H454="2)",J454,IF(H454="3)",J454,IF(H454="4)",J454,IF(H454="5)",J454,IF(H454="6)",J454,IF(H454="7)",J454,IF(H454="8)",J454,0))))))))</f>
        <v/>
      </c>
    </row>
    <row r="456">
      <c r="A456" s="0" t="inlineStr">
        <is>
          <t>New</t>
        </is>
      </c>
      <c r="B456" s="0" t="inlineStr">
        <is>
          <t>Item</t>
        </is>
      </c>
      <c r="C456" s="0" t="inlineStr">
        <is>
          <t>Acquired</t>
        </is>
      </c>
      <c r="D456" s="0" t="inlineStr">
        <is>
          <t>:</t>
        </is>
      </c>
      <c r="E456" s="0" t="inlineStr">
        <is>
          <t>30.00K</t>
        </is>
      </c>
      <c r="F456" s="0" t="inlineStr">
        <is>
          <t>(1,</t>
        </is>
      </c>
      <c r="G456" s="0" t="inlineStr">
        <is>
          <t>11)</t>
        </is>
      </c>
      <c r="K456" s="0">
        <f>IF(H455="1)",1,IF(H455="2)",2,IF(H455="3)",3,IF(H455="4)",4,IF(H455="5)",5,IF(H455="6)",6,IF(H455="7)",7,IF(H455="8)",8,0))))))))</f>
        <v/>
      </c>
      <c r="L456" s="0">
        <f>IF(H455="1)",J455,IF(H455="2)",J455,IF(H455="3)",J455,IF(H455="4)",J455,IF(H455="5)",J455,IF(H455="6)",J455,IF(H455="7)",J455,IF(H455="8)",J455,0))))))))</f>
        <v/>
      </c>
    </row>
    <row r="457">
      <c r="A457" s="0" t="inlineStr">
        <is>
          <t>New</t>
        </is>
      </c>
      <c r="B457" s="0" t="inlineStr">
        <is>
          <t>Item</t>
        </is>
      </c>
      <c r="C457" s="0" t="inlineStr">
        <is>
          <t>Acquired</t>
        </is>
      </c>
      <c r="D457" s="0" t="inlineStr">
        <is>
          <t>:</t>
        </is>
      </c>
      <c r="E457" s="0" t="inlineStr">
        <is>
          <t>62.50K</t>
        </is>
      </c>
      <c r="F457" s="0" t="inlineStr">
        <is>
          <t>(2,</t>
        </is>
      </c>
      <c r="G457" s="0" t="inlineStr">
        <is>
          <t>6)</t>
        </is>
      </c>
      <c r="K457" s="0">
        <f>IF(H456="1)",1,IF(H456="2)",2,IF(H456="3)",3,IF(H456="4)",4,IF(H456="5)",5,IF(H456="6)",6,IF(H456="7)",7,IF(H456="8)",8,0))))))))</f>
        <v/>
      </c>
      <c r="L457" s="0">
        <f>IF(H456="1)",J456,IF(H456="2)",J456,IF(H456="3)",J456,IF(H456="4)",J456,IF(H456="5)",J456,IF(H456="6)",J456,IF(H456="7)",J456,IF(H456="8)",J456,0))))))))</f>
        <v/>
      </c>
    </row>
    <row r="458">
      <c r="A458" s="0" t="inlineStr">
        <is>
          <t>New</t>
        </is>
      </c>
      <c r="B458" s="0" t="inlineStr">
        <is>
          <t>Item</t>
        </is>
      </c>
      <c r="C458" s="0" t="inlineStr">
        <is>
          <t>Acquired</t>
        </is>
      </c>
      <c r="D458" s="0" t="inlineStr">
        <is>
          <t>:</t>
        </is>
      </c>
      <c r="E458" s="0" t="inlineStr">
        <is>
          <t>45.00K</t>
        </is>
      </c>
      <c r="F458" s="0" t="inlineStr">
        <is>
          <t>(3,</t>
        </is>
      </c>
      <c r="G458" s="0" t="inlineStr">
        <is>
          <t>12)</t>
        </is>
      </c>
      <c r="K458" s="0">
        <f>IF(H457="1)",1,IF(H457="2)",2,IF(H457="3)",3,IF(H457="4)",4,IF(H457="5)",5,IF(H457="6)",6,IF(H457="7)",7,IF(H457="8)",8,0))))))))</f>
        <v/>
      </c>
      <c r="L458" s="0">
        <f>IF(H457="1)",J457,IF(H457="2)",J457,IF(H457="3)",J457,IF(H457="4)",J457,IF(H457="5)",J457,IF(H457="6)",J457,IF(H457="7)",J457,IF(H457="8)",J457,0))))))))</f>
        <v/>
      </c>
    </row>
    <row r="459">
      <c r="A459" s="0" t="inlineStr">
        <is>
          <t>New</t>
        </is>
      </c>
      <c r="B459" s="0" t="inlineStr">
        <is>
          <t>Item</t>
        </is>
      </c>
      <c r="C459" s="0" t="inlineStr">
        <is>
          <t>Acquired</t>
        </is>
      </c>
      <c r="D459" s="0" t="inlineStr">
        <is>
          <t>:</t>
        </is>
      </c>
      <c r="E459" s="0" t="inlineStr">
        <is>
          <t>Minor</t>
        </is>
      </c>
      <c r="F459" s="0" t="inlineStr">
        <is>
          <t>(2,</t>
        </is>
      </c>
      <c r="G459" s="0" t="inlineStr">
        <is>
          <t>18)</t>
        </is>
      </c>
      <c r="K459" s="0">
        <f>IF(H458="1)",1,IF(H458="2)",2,IF(H458="3)",3,IF(H458="4)",4,IF(H458="5)",5,IF(H458="6)",6,IF(H458="7)",7,IF(H458="8)",8,0))))))))</f>
        <v/>
      </c>
      <c r="L459" s="0">
        <f>IF(H458="1)",J458,IF(H458="2)",J458,IF(H458="3)",J458,IF(H458="4)",J458,IF(H458="5)",J458,IF(H458="6)",J458,IF(H458="7)",J458,IF(H458="8)",J458,0))))))))</f>
        <v/>
      </c>
    </row>
    <row r="460">
      <c r="A460" s="0" t="inlineStr">
        <is>
          <t>New</t>
        </is>
      </c>
      <c r="B460" s="0" t="inlineStr">
        <is>
          <t>Item</t>
        </is>
      </c>
      <c r="C460" s="0" t="inlineStr">
        <is>
          <t>Acquired</t>
        </is>
      </c>
      <c r="D460" s="0" t="inlineStr">
        <is>
          <t>:</t>
        </is>
      </c>
      <c r="E460" s="0" t="inlineStr">
        <is>
          <t>120.00K</t>
        </is>
      </c>
      <c r="F460" s="0" t="inlineStr">
        <is>
          <t>(8,</t>
        </is>
      </c>
      <c r="G460" s="0" t="inlineStr">
        <is>
          <t>11)</t>
        </is>
      </c>
      <c r="K460" s="0">
        <f>IF(H459="1)",1,IF(H459="2)",2,IF(H459="3)",3,IF(H459="4)",4,IF(H459="5)",5,IF(H459="6)",6,IF(H459="7)",7,IF(H459="8)",8,0))))))))</f>
        <v/>
      </c>
      <c r="L460" s="0">
        <f>IF(H459="1)",J459,IF(H459="2)",J459,IF(H459="3)",J459,IF(H459="4)",J459,IF(H459="5)",J459,IF(H459="6)",J459,IF(H459="7)",J459,IF(H459="8)",J459,0))))))))</f>
        <v/>
      </c>
    </row>
    <row r="461">
      <c r="A461" s="0" t="inlineStr">
        <is>
          <t>Line</t>
        </is>
      </c>
      <c r="B461" s="0" t="inlineStr">
        <is>
          <t>Prize</t>
        </is>
      </c>
      <c r="C461" s="0" t="inlineStr">
        <is>
          <t>Acquired</t>
        </is>
      </c>
      <c r="D461" s="0" t="inlineStr">
        <is>
          <t>:</t>
        </is>
      </c>
      <c r="E461" s="0" t="inlineStr">
        <is>
          <t>3.84M</t>
        </is>
      </c>
      <c r="F461" s="0" t="inlineStr">
        <is>
          <t>(Stage</t>
        </is>
      </c>
      <c r="G461" s="0" t="inlineStr">
        <is>
          <t>:</t>
        </is>
      </c>
      <c r="H461" s="0" t="inlineStr">
        <is>
          <t>8)</t>
        </is>
      </c>
      <c r="I461" s="0" t="inlineStr">
        <is>
          <t>-</t>
        </is>
      </c>
      <c r="J461" s="0" t="n">
        <v>3840000</v>
      </c>
      <c r="K461" s="0">
        <f>IF(H460="1)",1,IF(H460="2)",2,IF(H460="3)",3,IF(H460="4)",4,IF(H460="5)",5,IF(H460="6)",6,IF(H460="7)",7,IF(H460="8)",8,0))))))))</f>
        <v/>
      </c>
      <c r="L461" s="0">
        <f>IF(H460="1)",J460,IF(H460="2)",J460,IF(H460="3)",J460,IF(H460="4)",J460,IF(H460="5)",J460,IF(H460="6)",J460,IF(H460="7)",J460,IF(H460="8)",J460,0))))))))</f>
        <v/>
      </c>
    </row>
    <row r="462">
      <c r="A462" s="0" t="inlineStr">
        <is>
          <t>Clear</t>
        </is>
      </c>
      <c r="B462" s="0" t="inlineStr">
        <is>
          <t>Gem</t>
        </is>
      </c>
      <c r="C462" s="0" t="inlineStr">
        <is>
          <t>Acquired</t>
        </is>
      </c>
      <c r="D462" s="0" t="inlineStr">
        <is>
          <t>:</t>
        </is>
      </c>
      <c r="E462" s="0" t="n">
        <v>2400</v>
      </c>
      <c r="F462" s="0" t="inlineStr">
        <is>
          <t>-&gt;</t>
        </is>
      </c>
      <c r="G462" s="0" t="n">
        <v>2500</v>
      </c>
      <c r="H462" s="0" t="inlineStr">
        <is>
          <t>(Stage</t>
        </is>
      </c>
      <c r="I462" s="0" t="inlineStr">
        <is>
          <t>:</t>
        </is>
      </c>
      <c r="J462" s="0" t="inlineStr">
        <is>
          <t>8)</t>
        </is>
      </c>
      <c r="K462" s="0">
        <f>IF(H461="1)",1,IF(H461="2)",2,IF(H461="3)",3,IF(H461="4)",4,IF(H461="5)",5,IF(H461="6)",6,IF(H461="7)",7,IF(H461="8)",8,0))))))))</f>
        <v/>
      </c>
      <c r="L462" s="0">
        <f>IF(H461="1)",J461,IF(H461="2)",J461,IF(H461="3)",J461,IF(H461="4)",J461,IF(H461="5)",J461,IF(H461="6)",J461,IF(H461="7)",J461,IF(H461="8)",J461,0))))))))</f>
        <v/>
      </c>
    </row>
    <row r="463">
      <c r="A463" s="0" t="inlineStr">
        <is>
          <t>New</t>
        </is>
      </c>
      <c r="B463" s="0" t="inlineStr">
        <is>
          <t>Item</t>
        </is>
      </c>
      <c r="C463" s="0" t="inlineStr">
        <is>
          <t>Acquired</t>
        </is>
      </c>
      <c r="D463" s="0" t="inlineStr">
        <is>
          <t>:</t>
        </is>
      </c>
      <c r="E463" s="0" t="inlineStr">
        <is>
          <t>60.00K</t>
        </is>
      </c>
      <c r="F463" s="0" t="inlineStr">
        <is>
          <t>(4,</t>
        </is>
      </c>
      <c r="G463" s="0" t="inlineStr">
        <is>
          <t>9)</t>
        </is>
      </c>
      <c r="K463" s="0">
        <f>IF(H462="1)",1,IF(H462="2)",2,IF(H462="3)",3,IF(H462="4)",4,IF(H462="5)",5,IF(H462="6)",6,IF(H462="7)",7,IF(H462="8)",8,0))))))))</f>
        <v/>
      </c>
      <c r="L463" s="0">
        <f>IF(H462="1)",J462,IF(H462="2)",J462,IF(H462="3)",J462,IF(H462="4)",J462,IF(H462="5)",J462,IF(H462="6)",J462,IF(H462="7)",J462,IF(H462="8)",J462,0))))))))</f>
        <v/>
      </c>
    </row>
    <row r="464">
      <c r="A464" s="0" t="inlineStr">
        <is>
          <t>New</t>
        </is>
      </c>
      <c r="B464" s="0" t="inlineStr">
        <is>
          <t>Item</t>
        </is>
      </c>
      <c r="C464" s="0" t="inlineStr">
        <is>
          <t>Acquired</t>
        </is>
      </c>
      <c r="D464" s="0" t="inlineStr">
        <is>
          <t>:</t>
        </is>
      </c>
      <c r="E464" s="0" t="inlineStr">
        <is>
          <t>120.00K</t>
        </is>
      </c>
      <c r="F464" s="0" t="inlineStr">
        <is>
          <t>(8,</t>
        </is>
      </c>
      <c r="G464" s="0" t="inlineStr">
        <is>
          <t>5)</t>
        </is>
      </c>
      <c r="K464" s="0">
        <f>IF(H463="1)",1,IF(H463="2)",2,IF(H463="3)",3,IF(H463="4)",4,IF(H463="5)",5,IF(H463="6)",6,IF(H463="7)",7,IF(H463="8)",8,0))))))))</f>
        <v/>
      </c>
      <c r="L464" s="0">
        <f>IF(H463="1)",J463,IF(H463="2)",J463,IF(H463="3)",J463,IF(H463="4)",J463,IF(H463="5)",J463,IF(H463="6)",J463,IF(H463="7)",J463,IF(H463="8)",J463,0))))))))</f>
        <v/>
      </c>
    </row>
    <row r="465">
      <c r="A465" s="0" t="inlineStr">
        <is>
          <t>New</t>
        </is>
      </c>
      <c r="B465" s="0" t="inlineStr">
        <is>
          <t>Item</t>
        </is>
      </c>
      <c r="C465" s="0" t="inlineStr">
        <is>
          <t>Acquired</t>
        </is>
      </c>
      <c r="D465" s="0" t="inlineStr">
        <is>
          <t>:</t>
        </is>
      </c>
      <c r="E465" s="0" t="inlineStr">
        <is>
          <t>30.00K</t>
        </is>
      </c>
      <c r="F465" s="0" t="inlineStr">
        <is>
          <t>(1,</t>
        </is>
      </c>
      <c r="G465" s="0" t="inlineStr">
        <is>
          <t>25)</t>
        </is>
      </c>
      <c r="K465" s="0">
        <f>IF(H464="1)",1,IF(H464="2)",2,IF(H464="3)",3,IF(H464="4)",4,IF(H464="5)",5,IF(H464="6)",6,IF(H464="7)",7,IF(H464="8)",8,0))))))))</f>
        <v/>
      </c>
      <c r="L465" s="0">
        <f>IF(H464="1)",J464,IF(H464="2)",J464,IF(H464="3)",J464,IF(H464="4)",J464,IF(H464="5)",J464,IF(H464="6)",J464,IF(H464="7)",J464,IF(H464="8)",J464,0))))))))</f>
        <v/>
      </c>
    </row>
    <row r="466">
      <c r="A466" s="0" t="inlineStr">
        <is>
          <t>New</t>
        </is>
      </c>
      <c r="B466" s="0" t="inlineStr">
        <is>
          <t>Item</t>
        </is>
      </c>
      <c r="C466" s="0" t="inlineStr">
        <is>
          <t>Acquired</t>
        </is>
      </c>
      <c r="D466" s="0" t="inlineStr">
        <is>
          <t>:</t>
        </is>
      </c>
      <c r="E466" s="0" t="inlineStr">
        <is>
          <t>Mini</t>
        </is>
      </c>
      <c r="F466" s="0" t="inlineStr">
        <is>
          <t>(3,</t>
        </is>
      </c>
      <c r="G466" s="0" t="inlineStr">
        <is>
          <t>19)</t>
        </is>
      </c>
      <c r="K466" s="0">
        <f>IF(H465="1)",1,IF(H465="2)",2,IF(H465="3)",3,IF(H465="4)",4,IF(H465="5)",5,IF(H465="6)",6,IF(H465="7)",7,IF(H465="8)",8,0))))))))</f>
        <v/>
      </c>
      <c r="L466" s="0">
        <f>IF(H465="1)",J465,IF(H465="2)",J465,IF(H465="3)",J465,IF(H465="4)",J465,IF(H465="5)",J465,IF(H465="6)",J465,IF(H465="7)",J465,IF(H465="8)",J465,0))))))))</f>
        <v/>
      </c>
    </row>
    <row r="467">
      <c r="A467" s="0" t="inlineStr">
        <is>
          <t>New</t>
        </is>
      </c>
      <c r="B467" s="0" t="inlineStr">
        <is>
          <t>Item</t>
        </is>
      </c>
      <c r="C467" s="0" t="inlineStr">
        <is>
          <t>Acquired</t>
        </is>
      </c>
      <c r="D467" s="0" t="inlineStr">
        <is>
          <t>:</t>
        </is>
      </c>
      <c r="E467" s="0" t="inlineStr">
        <is>
          <t>157.50K</t>
        </is>
      </c>
      <c r="F467" s="0" t="inlineStr">
        <is>
          <t>(5,</t>
        </is>
      </c>
      <c r="G467" s="0" t="inlineStr">
        <is>
          <t>22)</t>
        </is>
      </c>
      <c r="K467" s="0">
        <f>IF(H466="1)",1,IF(H466="2)",2,IF(H466="3)",3,IF(H466="4)",4,IF(H466="5)",5,IF(H466="6)",6,IF(H466="7)",7,IF(H466="8)",8,0))))))))</f>
        <v/>
      </c>
      <c r="L467" s="0">
        <f>IF(H466="1)",J466,IF(H466="2)",J466,IF(H466="3)",J466,IF(H466="4)",J466,IF(H466="5)",J466,IF(H466="6)",J466,IF(H466="7)",J466,IF(H466="8)",J466,0))))))))</f>
        <v/>
      </c>
    </row>
    <row r="468">
      <c r="A468" s="0" t="inlineStr">
        <is>
          <t>New</t>
        </is>
      </c>
      <c r="B468" s="0" t="inlineStr">
        <is>
          <t>Item</t>
        </is>
      </c>
      <c r="C468" s="0" t="inlineStr">
        <is>
          <t>Acquired</t>
        </is>
      </c>
      <c r="D468" s="0" t="inlineStr">
        <is>
          <t>:</t>
        </is>
      </c>
      <c r="E468" s="0" t="inlineStr">
        <is>
          <t>60.00K</t>
        </is>
      </c>
      <c r="F468" s="0" t="inlineStr">
        <is>
          <t>(4,</t>
        </is>
      </c>
      <c r="G468" s="0" t="inlineStr">
        <is>
          <t>12)</t>
        </is>
      </c>
      <c r="K468" s="0">
        <f>IF(H467="1)",1,IF(H467="2)",2,IF(H467="3)",3,IF(H467="4)",4,IF(H467="5)",5,IF(H467="6)",6,IF(H467="7)",7,IF(H467="8)",8,0))))))))</f>
        <v/>
      </c>
      <c r="L468" s="0">
        <f>IF(H467="1)",J467,IF(H467="2)",J467,IF(H467="3)",J467,IF(H467="4)",J467,IF(H467="5)",J467,IF(H467="6)",J467,IF(H467="7)",J467,IF(H467="8)",J467,0))))))))</f>
        <v/>
      </c>
    </row>
    <row r="469">
      <c r="A469" s="0" t="inlineStr">
        <is>
          <t>New</t>
        </is>
      </c>
      <c r="B469" s="0" t="inlineStr">
        <is>
          <t>Item</t>
        </is>
      </c>
      <c r="C469" s="0" t="inlineStr">
        <is>
          <t>Acquired</t>
        </is>
      </c>
      <c r="D469" s="0" t="inlineStr">
        <is>
          <t>:</t>
        </is>
      </c>
      <c r="E469" s="0" t="inlineStr">
        <is>
          <t>Mini</t>
        </is>
      </c>
      <c r="F469" s="0" t="inlineStr">
        <is>
          <t>(1,</t>
        </is>
      </c>
      <c r="G469" s="0" t="inlineStr">
        <is>
          <t>2)</t>
        </is>
      </c>
      <c r="K469" s="0">
        <f>IF(H468="1)",1,IF(H468="2)",2,IF(H468="3)",3,IF(H468="4)",4,IF(H468="5)",5,IF(H468="6)",6,IF(H468="7)",7,IF(H468="8)",8,0))))))))</f>
        <v/>
      </c>
      <c r="L469" s="0">
        <f>IF(H468="1)",J468,IF(H468="2)",J468,IF(H468="3)",J468,IF(H468="4)",J468,IF(H468="5)",J468,IF(H468="6)",J468,IF(H468="7)",J468,IF(H468="8)",J468,0))))))))</f>
        <v/>
      </c>
    </row>
    <row r="470">
      <c r="A470" s="0" t="inlineStr">
        <is>
          <t>Item</t>
        </is>
      </c>
      <c r="B470" s="0" t="inlineStr">
        <is>
          <t>ReSelect</t>
        </is>
      </c>
      <c r="C470" s="0" t="inlineStr">
        <is>
          <t>Failed</t>
        </is>
      </c>
      <c r="D470" s="0" t="inlineStr">
        <is>
          <t>:</t>
        </is>
      </c>
      <c r="E470" s="0" t="inlineStr">
        <is>
          <t>Attempt</t>
        </is>
      </c>
      <c r="F470" s="0" t="inlineStr">
        <is>
          <t>Count</t>
        </is>
      </c>
      <c r="G470" s="0" t="inlineStr">
        <is>
          <t>-</t>
        </is>
      </c>
      <c r="H470" s="0" t="n">
        <v>3</v>
      </c>
      <c r="K470" s="0">
        <f>IF(H469="1)",1,IF(H469="2)",2,IF(H469="3)",3,IF(H469="4)",4,IF(H469="5)",5,IF(H469="6)",6,IF(H469="7)",7,IF(H469="8)",8,0))))))))</f>
        <v/>
      </c>
      <c r="L470" s="0">
        <f>IF(H469="1)",J469,IF(H469="2)",J469,IF(H469="3)",J469,IF(H469="4)",J469,IF(H469="5)",J469,IF(H469="6)",J469,IF(H469="7)",J469,IF(H469="8)",J469,0))))))))</f>
        <v/>
      </c>
    </row>
    <row r="471">
      <c r="A471" s="0" t="inlineStr">
        <is>
          <t>New</t>
        </is>
      </c>
      <c r="B471" s="0" t="inlineStr">
        <is>
          <t>Item</t>
        </is>
      </c>
      <c r="C471" s="0" t="inlineStr">
        <is>
          <t>Acquired</t>
        </is>
      </c>
      <c r="D471" s="0" t="inlineStr">
        <is>
          <t>:</t>
        </is>
      </c>
      <c r="E471" s="0" t="inlineStr">
        <is>
          <t>70.00K</t>
        </is>
      </c>
      <c r="F471" s="0" t="inlineStr">
        <is>
          <t>(1,</t>
        </is>
      </c>
      <c r="G471" s="0" t="inlineStr">
        <is>
          <t>20)</t>
        </is>
      </c>
      <c r="K471" s="0">
        <f>IF(H470="1)",1,IF(H470="2)",2,IF(H470="3)",3,IF(H470="4)",4,IF(H470="5)",5,IF(H470="6)",6,IF(H470="7)",7,IF(H470="8)",8,0))))))))</f>
        <v/>
      </c>
      <c r="L471" s="0">
        <f>IF(H470="1)",J470,IF(H470="2)",J470,IF(H470="3)",J470,IF(H470="4)",J470,IF(H470="5)",J470,IF(H470="6)",J470,IF(H470="7)",J470,IF(H470="8)",J470,0))))))))</f>
        <v/>
      </c>
    </row>
    <row r="472">
      <c r="A472" s="0" t="inlineStr">
        <is>
          <t>New</t>
        </is>
      </c>
      <c r="B472" s="0" t="inlineStr">
        <is>
          <t>Item</t>
        </is>
      </c>
      <c r="C472" s="0" t="inlineStr">
        <is>
          <t>Acquired</t>
        </is>
      </c>
      <c r="D472" s="0" t="inlineStr">
        <is>
          <t>:</t>
        </is>
      </c>
      <c r="E472" s="0" t="inlineStr">
        <is>
          <t>75.00K</t>
        </is>
      </c>
      <c r="F472" s="0" t="inlineStr">
        <is>
          <t>(6,</t>
        </is>
      </c>
      <c r="G472" s="0" t="inlineStr">
        <is>
          <t>11)</t>
        </is>
      </c>
      <c r="K472" s="0">
        <f>IF(H471="1)",1,IF(H471="2)",2,IF(H471="3)",3,IF(H471="4)",4,IF(H471="5)",5,IF(H471="6)",6,IF(H471="7)",7,IF(H471="8)",8,0))))))))</f>
        <v/>
      </c>
      <c r="L472" s="0">
        <f>IF(H471="1)",J471,IF(H471="2)",J471,IF(H471="3)",J471,IF(H471="4)",J471,IF(H471="5)",J471,IF(H471="6)",J471,IF(H471="7)",J471,IF(H471="8)",J471,0))))))))</f>
        <v/>
      </c>
    </row>
    <row r="473">
      <c r="A473" s="0" t="inlineStr">
        <is>
          <t>New</t>
        </is>
      </c>
      <c r="B473" s="0" t="inlineStr">
        <is>
          <t>Item</t>
        </is>
      </c>
      <c r="C473" s="0" t="inlineStr">
        <is>
          <t>Acquired</t>
        </is>
      </c>
      <c r="D473" s="0" t="inlineStr">
        <is>
          <t>:</t>
        </is>
      </c>
      <c r="E473" s="0" t="inlineStr">
        <is>
          <t>105.00K</t>
        </is>
      </c>
      <c r="F473" s="0" t="inlineStr">
        <is>
          <t>(4,</t>
        </is>
      </c>
      <c r="G473" s="0" t="inlineStr">
        <is>
          <t>10)</t>
        </is>
      </c>
      <c r="K473" s="0">
        <f>IF(H472="1)",1,IF(H472="2)",2,IF(H472="3)",3,IF(H472="4)",4,IF(H472="5)",5,IF(H472="6)",6,IF(H472="7)",7,IF(H472="8)",8,0))))))))</f>
        <v/>
      </c>
      <c r="L473" s="0">
        <f>IF(H472="1)",J472,IF(H472="2)",J472,IF(H472="3)",J472,IF(H472="4)",J472,IF(H472="5)",J472,IF(H472="6)",J472,IF(H472="7)",J472,IF(H472="8)",J472,0))))))))</f>
        <v/>
      </c>
    </row>
    <row r="474">
      <c r="A474" s="0" t="inlineStr">
        <is>
          <t>New</t>
        </is>
      </c>
      <c r="B474" s="0" t="inlineStr">
        <is>
          <t>Item</t>
        </is>
      </c>
      <c r="C474" s="0" t="inlineStr">
        <is>
          <t>Acquired</t>
        </is>
      </c>
      <c r="D474" s="0" t="inlineStr">
        <is>
          <t>:</t>
        </is>
      </c>
      <c r="E474" s="0" t="inlineStr">
        <is>
          <t>120.00K</t>
        </is>
      </c>
      <c r="F474" s="0" t="inlineStr">
        <is>
          <t>(8,</t>
        </is>
      </c>
      <c r="G474" s="0" t="inlineStr">
        <is>
          <t>6)</t>
        </is>
      </c>
      <c r="K474" s="0">
        <f>IF(H473="1)",1,IF(H473="2)",2,IF(H473="3)",3,IF(H473="4)",4,IF(H473="5)",5,IF(H473="6)",6,IF(H473="7)",7,IF(H473="8)",8,0))))))))</f>
        <v/>
      </c>
      <c r="L474" s="0">
        <f>IF(H473="1)",J473,IF(H473="2)",J473,IF(H473="3)",J473,IF(H473="4)",J473,IF(H473="5)",J473,IF(H473="6)",J473,IF(H473="7)",J473,IF(H473="8)",J473,0))))))))</f>
        <v/>
      </c>
    </row>
    <row r="475">
      <c r="A475" s="0" t="inlineStr">
        <is>
          <t>New</t>
        </is>
      </c>
      <c r="B475" s="0" t="inlineStr">
        <is>
          <t>Item</t>
        </is>
      </c>
      <c r="C475" s="0" t="inlineStr">
        <is>
          <t>Acquired</t>
        </is>
      </c>
      <c r="D475" s="0" t="inlineStr">
        <is>
          <t>:</t>
        </is>
      </c>
      <c r="E475" s="0" t="inlineStr">
        <is>
          <t>105.00K</t>
        </is>
      </c>
      <c r="F475" s="0" t="inlineStr">
        <is>
          <t>(3,</t>
        </is>
      </c>
      <c r="G475" s="0" t="inlineStr">
        <is>
          <t>3)</t>
        </is>
      </c>
      <c r="K475" s="0">
        <f>IF(H474="1)",1,IF(H474="2)",2,IF(H474="3)",3,IF(H474="4)",4,IF(H474="5)",5,IF(H474="6)",6,IF(H474="7)",7,IF(H474="8)",8,0))))))))</f>
        <v/>
      </c>
      <c r="L475" s="0">
        <f>IF(H474="1)",J474,IF(H474="2)",J474,IF(H474="3)",J474,IF(H474="4)",J474,IF(H474="5)",J474,IF(H474="6)",J474,IF(H474="7)",J474,IF(H474="8)",J474,0))))))))</f>
        <v/>
      </c>
    </row>
    <row r="476">
      <c r="A476" s="0" t="inlineStr">
        <is>
          <t>New</t>
        </is>
      </c>
      <c r="B476" s="0" t="inlineStr">
        <is>
          <t>Item</t>
        </is>
      </c>
      <c r="C476" s="0" t="inlineStr">
        <is>
          <t>Acquired</t>
        </is>
      </c>
      <c r="D476" s="0" t="inlineStr">
        <is>
          <t>:</t>
        </is>
      </c>
      <c r="E476" s="0" t="inlineStr">
        <is>
          <t>105.00K</t>
        </is>
      </c>
      <c r="F476" s="0" t="inlineStr">
        <is>
          <t>(4,</t>
        </is>
      </c>
      <c r="G476" s="0" t="inlineStr">
        <is>
          <t>16)</t>
        </is>
      </c>
      <c r="K476" s="0">
        <f>IF(H475="1)",1,IF(H475="2)",2,IF(H475="3)",3,IF(H475="4)",4,IF(H475="5)",5,IF(H475="6)",6,IF(H475="7)",7,IF(H475="8)",8,0))))))))</f>
        <v/>
      </c>
      <c r="L476" s="0">
        <f>IF(H475="1)",J475,IF(H475="2)",J475,IF(H475="3)",J475,IF(H475="4)",J475,IF(H475="5)",J475,IF(H475="6)",J475,IF(H475="7)",J475,IF(H475="8)",J475,0))))))))</f>
        <v/>
      </c>
    </row>
    <row r="477">
      <c r="A477" s="0" t="inlineStr">
        <is>
          <t>New</t>
        </is>
      </c>
      <c r="B477" s="0" t="inlineStr">
        <is>
          <t>Item</t>
        </is>
      </c>
      <c r="C477" s="0" t="inlineStr">
        <is>
          <t>Acquired</t>
        </is>
      </c>
      <c r="D477" s="0" t="inlineStr">
        <is>
          <t>:</t>
        </is>
      </c>
      <c r="E477" s="0" t="inlineStr">
        <is>
          <t>90.00K</t>
        </is>
      </c>
      <c r="F477" s="0" t="inlineStr">
        <is>
          <t>(7,</t>
        </is>
      </c>
      <c r="G477" s="0" t="inlineStr">
        <is>
          <t>10)</t>
        </is>
      </c>
      <c r="K477" s="0">
        <f>IF(H476="1)",1,IF(H476="2)",2,IF(H476="3)",3,IF(H476="4)",4,IF(H476="5)",5,IF(H476="6)",6,IF(H476="7)",7,IF(H476="8)",8,0))))))))</f>
        <v/>
      </c>
      <c r="L477" s="0">
        <f>IF(H476="1)",J476,IF(H476="2)",J476,IF(H476="3)",J476,IF(H476="4)",J476,IF(H476="5)",J476,IF(H476="6)",J476,IF(H476="7)",J476,IF(H476="8)",J476,0))))))))</f>
        <v/>
      </c>
    </row>
    <row r="478">
      <c r="A478" s="0" t="inlineStr">
        <is>
          <t>New</t>
        </is>
      </c>
      <c r="B478" s="0" t="inlineStr">
        <is>
          <t>Item</t>
        </is>
      </c>
      <c r="C478" s="0" t="inlineStr">
        <is>
          <t>Acquired</t>
        </is>
      </c>
      <c r="D478" s="0" t="inlineStr">
        <is>
          <t>:</t>
        </is>
      </c>
      <c r="E478" s="0" t="inlineStr">
        <is>
          <t>125.00K</t>
        </is>
      </c>
      <c r="F478" s="0" t="inlineStr">
        <is>
          <t>(6,</t>
        </is>
      </c>
      <c r="G478" s="0" t="inlineStr">
        <is>
          <t>15)</t>
        </is>
      </c>
      <c r="K478" s="0">
        <f>IF(H477="1)",1,IF(H477="2)",2,IF(H477="3)",3,IF(H477="4)",4,IF(H477="5)",5,IF(H477="6)",6,IF(H477="7)",7,IF(H477="8)",8,0))))))))</f>
        <v/>
      </c>
      <c r="L478" s="0">
        <f>IF(H477="1)",J477,IF(H477="2)",J477,IF(H477="3)",J477,IF(H477="4)",J477,IF(H477="5)",J477,IF(H477="6)",J477,IF(H477="7)",J477,IF(H477="8)",J477,0))))))))</f>
        <v/>
      </c>
    </row>
    <row r="479">
      <c r="A479" s="0" t="inlineStr">
        <is>
          <t>New</t>
        </is>
      </c>
      <c r="B479" s="0" t="inlineStr">
        <is>
          <t>Item</t>
        </is>
      </c>
      <c r="C479" s="0" t="inlineStr">
        <is>
          <t>Acquired</t>
        </is>
      </c>
      <c r="D479" s="0" t="inlineStr">
        <is>
          <t>:</t>
        </is>
      </c>
      <c r="E479" s="0" t="inlineStr">
        <is>
          <t>75.00K</t>
        </is>
      </c>
      <c r="F479" s="0" t="inlineStr">
        <is>
          <t>(4,</t>
        </is>
      </c>
      <c r="G479" s="0" t="inlineStr">
        <is>
          <t>20)</t>
        </is>
      </c>
      <c r="K479" s="0">
        <f>IF(H478="1)",1,IF(H478="2)",2,IF(H478="3)",3,IF(H478="4)",4,IF(H478="5)",5,IF(H478="6)",6,IF(H478="7)",7,IF(H478="8)",8,0))))))))</f>
        <v/>
      </c>
      <c r="L479" s="0">
        <f>IF(H478="1)",J478,IF(H478="2)",J478,IF(H478="3)",J478,IF(H478="4)",J478,IF(H478="5)",J478,IF(H478="6)",J478,IF(H478="7)",J478,IF(H478="8)",J478,0))))))))</f>
        <v/>
      </c>
    </row>
    <row r="480">
      <c r="A480" s="0" t="inlineStr">
        <is>
          <t>New</t>
        </is>
      </c>
      <c r="B480" s="0" t="inlineStr">
        <is>
          <t>Item</t>
        </is>
      </c>
      <c r="C480" s="0" t="inlineStr">
        <is>
          <t>Acquired</t>
        </is>
      </c>
      <c r="D480" s="0" t="inlineStr">
        <is>
          <t>:</t>
        </is>
      </c>
      <c r="E480" s="0" t="inlineStr">
        <is>
          <t>75.00K</t>
        </is>
      </c>
      <c r="F480" s="0" t="inlineStr">
        <is>
          <t>(3,</t>
        </is>
      </c>
      <c r="G480" s="0" t="inlineStr">
        <is>
          <t>6)</t>
        </is>
      </c>
      <c r="K480" s="0">
        <f>IF(H479="1)",1,IF(H479="2)",2,IF(H479="3)",3,IF(H479="4)",4,IF(H479="5)",5,IF(H479="6)",6,IF(H479="7)",7,IF(H479="8)",8,0))))))))</f>
        <v/>
      </c>
      <c r="L480" s="0">
        <f>IF(H479="1)",J479,IF(H479="2)",J479,IF(H479="3)",J479,IF(H479="4)",J479,IF(H479="5)",J479,IF(H479="6)",J479,IF(H479="7)",J479,IF(H479="8)",J479,0))))))))</f>
        <v/>
      </c>
    </row>
    <row r="481">
      <c r="A481" s="0" t="inlineStr">
        <is>
          <t>New</t>
        </is>
      </c>
      <c r="B481" s="0" t="inlineStr">
        <is>
          <t>Item</t>
        </is>
      </c>
      <c r="C481" s="0" t="inlineStr">
        <is>
          <t>Acquired</t>
        </is>
      </c>
      <c r="D481" s="0" t="inlineStr">
        <is>
          <t>:</t>
        </is>
      </c>
      <c r="E481" s="0" t="inlineStr">
        <is>
          <t>67.50K</t>
        </is>
      </c>
      <c r="F481" s="0" t="inlineStr">
        <is>
          <t>(5,</t>
        </is>
      </c>
      <c r="G481" s="0" t="inlineStr">
        <is>
          <t>12)</t>
        </is>
      </c>
      <c r="K481" s="0">
        <f>IF(H480="1)",1,IF(H480="2)",2,IF(H480="3)",3,IF(H480="4)",4,IF(H480="5)",5,IF(H480="6)",6,IF(H480="7)",7,IF(H480="8)",8,0))))))))</f>
        <v/>
      </c>
      <c r="L481" s="0">
        <f>IF(H480="1)",J480,IF(H480="2)",J480,IF(H480="3)",J480,IF(H480="4)",J480,IF(H480="5)",J480,IF(H480="6)",J480,IF(H480="7)",J480,IF(H480="8)",J480,0))))))))</f>
        <v/>
      </c>
    </row>
    <row r="482">
      <c r="A482" s="0" t="inlineStr">
        <is>
          <t>New</t>
        </is>
      </c>
      <c r="B482" s="0" t="inlineStr">
        <is>
          <t>Item</t>
        </is>
      </c>
      <c r="C482" s="0" t="inlineStr">
        <is>
          <t>Acquired</t>
        </is>
      </c>
      <c r="D482" s="0" t="inlineStr">
        <is>
          <t>:</t>
        </is>
      </c>
      <c r="E482" s="0" t="inlineStr">
        <is>
          <t>50.00K</t>
        </is>
      </c>
      <c r="F482" s="0" t="inlineStr">
        <is>
          <t>(1,</t>
        </is>
      </c>
      <c r="G482" s="0" t="inlineStr">
        <is>
          <t>8)</t>
        </is>
      </c>
      <c r="K482" s="0">
        <f>IF(H481="1)",1,IF(H481="2)",2,IF(H481="3)",3,IF(H481="4)",4,IF(H481="5)",5,IF(H481="6)",6,IF(H481="7)",7,IF(H481="8)",8,0))))))))</f>
        <v/>
      </c>
      <c r="L482" s="0">
        <f>IF(H481="1)",J481,IF(H481="2)",J481,IF(H481="3)",J481,IF(H481="4)",J481,IF(H481="5)",J481,IF(H481="6)",J481,IF(H481="7)",J481,IF(H481="8)",J481,0))))))))</f>
        <v/>
      </c>
    </row>
    <row r="483">
      <c r="A483" s="0" t="inlineStr">
        <is>
          <t>Line</t>
        </is>
      </c>
      <c r="B483" s="0" t="inlineStr">
        <is>
          <t>Prize</t>
        </is>
      </c>
      <c r="C483" s="0" t="inlineStr">
        <is>
          <t>Acquired</t>
        </is>
      </c>
      <c r="D483" s="0" t="inlineStr">
        <is>
          <t>:</t>
        </is>
      </c>
      <c r="E483" s="0" t="inlineStr">
        <is>
          <t>400.00K</t>
        </is>
      </c>
      <c r="F483" s="0" t="inlineStr">
        <is>
          <t>(Stage</t>
        </is>
      </c>
      <c r="G483" s="0" t="inlineStr">
        <is>
          <t>:</t>
        </is>
      </c>
      <c r="H483" s="0" t="inlineStr">
        <is>
          <t>1)</t>
        </is>
      </c>
      <c r="I483" s="0" t="inlineStr">
        <is>
          <t>-</t>
        </is>
      </c>
      <c r="J483" s="0" t="n">
        <v>400000</v>
      </c>
      <c r="K483" s="0">
        <f>IF(H482="1)",1,IF(H482="2)",2,IF(H482="3)",3,IF(H482="4)",4,IF(H482="5)",5,IF(H482="6)",6,IF(H482="7)",7,IF(H482="8)",8,0))))))))</f>
        <v/>
      </c>
      <c r="L483" s="0">
        <f>IF(H482="1)",J482,IF(H482="2)",J482,IF(H482="3)",J482,IF(H482="4)",J482,IF(H482="5)",J482,IF(H482="6)",J482,IF(H482="7)",J482,IF(H482="8)",J482,0))))))))</f>
        <v/>
      </c>
    </row>
    <row r="484">
      <c r="A484" s="0" t="inlineStr">
        <is>
          <t>Clear</t>
        </is>
      </c>
      <c r="B484" s="0" t="inlineStr">
        <is>
          <t>Gem</t>
        </is>
      </c>
      <c r="C484" s="0" t="inlineStr">
        <is>
          <t>Acquired</t>
        </is>
      </c>
      <c r="D484" s="0" t="inlineStr">
        <is>
          <t>:</t>
        </is>
      </c>
      <c r="E484" s="0" t="n">
        <v>2500</v>
      </c>
      <c r="F484" s="0" t="inlineStr">
        <is>
          <t>-&gt;</t>
        </is>
      </c>
      <c r="G484" s="0" t="n">
        <v>2600</v>
      </c>
      <c r="H484" s="0" t="inlineStr">
        <is>
          <t>(Stage</t>
        </is>
      </c>
      <c r="I484" s="0" t="inlineStr">
        <is>
          <t>:</t>
        </is>
      </c>
      <c r="J484" s="0" t="inlineStr">
        <is>
          <t>1)</t>
        </is>
      </c>
      <c r="K484" s="0">
        <f>IF(H483="1)",1,IF(H483="2)",2,IF(H483="3)",3,IF(H483="4)",4,IF(H483="5)",5,IF(H483="6)",6,IF(H483="7)",7,IF(H483="8)",8,0))))))))</f>
        <v/>
      </c>
      <c r="L484" s="0">
        <f>IF(H483="1)",J483,IF(H483="2)",J483,IF(H483="3)",J483,IF(H483="4)",J483,IF(H483="5)",J483,IF(H483="6)",J483,IF(H483="7)",J483,IF(H483="8)",J483,0))))))))</f>
        <v/>
      </c>
    </row>
    <row r="485">
      <c r="A485" s="0" t="inlineStr">
        <is>
          <t>New</t>
        </is>
      </c>
      <c r="B485" s="0" t="inlineStr">
        <is>
          <t>Item</t>
        </is>
      </c>
      <c r="C485" s="0" t="inlineStr">
        <is>
          <t>Acquired</t>
        </is>
      </c>
      <c r="D485" s="0" t="inlineStr">
        <is>
          <t>:</t>
        </is>
      </c>
      <c r="E485" s="0" t="inlineStr">
        <is>
          <t>45.00K</t>
        </is>
      </c>
      <c r="F485" s="0" t="inlineStr">
        <is>
          <t>(3,</t>
        </is>
      </c>
      <c r="G485" s="0" t="inlineStr">
        <is>
          <t>4)</t>
        </is>
      </c>
      <c r="K485" s="0">
        <f>IF(H484="1)",1,IF(H484="2)",2,IF(H484="3)",3,IF(H484="4)",4,IF(H484="5)",5,IF(H484="6)",6,IF(H484="7)",7,IF(H484="8)",8,0))))))))</f>
        <v/>
      </c>
      <c r="L485" s="0">
        <f>IF(H484="1)",J484,IF(H484="2)",J484,IF(H484="3)",J484,IF(H484="4)",J484,IF(H484="5)",J484,IF(H484="6)",J484,IF(H484="7)",J484,IF(H484="8)",J484,0))))))))</f>
        <v/>
      </c>
    </row>
    <row r="486">
      <c r="A486" s="0" t="inlineStr">
        <is>
          <t>New</t>
        </is>
      </c>
      <c r="B486" s="0" t="inlineStr">
        <is>
          <t>Item</t>
        </is>
      </c>
      <c r="C486" s="0" t="inlineStr">
        <is>
          <t>Acquired</t>
        </is>
      </c>
      <c r="D486" s="0" t="inlineStr">
        <is>
          <t>:</t>
        </is>
      </c>
      <c r="E486" s="0" t="inlineStr">
        <is>
          <t>50.00K</t>
        </is>
      </c>
      <c r="F486" s="0" t="inlineStr">
        <is>
          <t>(1,</t>
        </is>
      </c>
      <c r="G486" s="0" t="inlineStr">
        <is>
          <t>16)</t>
        </is>
      </c>
      <c r="K486" s="0">
        <f>IF(H485="1)",1,IF(H485="2)",2,IF(H485="3)",3,IF(H485="4)",4,IF(H485="5)",5,IF(H485="6)",6,IF(H485="7)",7,IF(H485="8)",8,0))))))))</f>
        <v/>
      </c>
      <c r="L486" s="0">
        <f>IF(H485="1)",J485,IF(H485="2)",J485,IF(H485="3)",J485,IF(H485="4)",J485,IF(H485="5)",J485,IF(H485="6)",J485,IF(H485="7)",J485,IF(H485="8)",J485,0))))))))</f>
        <v/>
      </c>
    </row>
    <row r="487">
      <c r="A487" s="0" t="inlineStr">
        <is>
          <t>New</t>
        </is>
      </c>
      <c r="B487" s="0" t="inlineStr">
        <is>
          <t>Item</t>
        </is>
      </c>
      <c r="C487" s="0" t="inlineStr">
        <is>
          <t>Acquired</t>
        </is>
      </c>
      <c r="D487" s="0" t="inlineStr">
        <is>
          <t>:</t>
        </is>
      </c>
      <c r="E487" s="0" t="inlineStr">
        <is>
          <t>Mini</t>
        </is>
      </c>
      <c r="F487" s="0" t="inlineStr">
        <is>
          <t>(1,</t>
        </is>
      </c>
      <c r="G487" s="0" t="inlineStr">
        <is>
          <t>4)</t>
        </is>
      </c>
      <c r="K487" s="0">
        <f>IF(H486="1)",1,IF(H486="2)",2,IF(H486="3)",3,IF(H486="4)",4,IF(H486="5)",5,IF(H486="6)",6,IF(H486="7)",7,IF(H486="8)",8,0))))))))</f>
        <v/>
      </c>
      <c r="L487" s="0">
        <f>IF(H486="1)",J486,IF(H486="2)",J486,IF(H486="3)",J486,IF(H486="4)",J486,IF(H486="5)",J486,IF(H486="6)",J486,IF(H486="7)",J486,IF(H486="8)",J486,0))))))))</f>
        <v/>
      </c>
    </row>
    <row r="488">
      <c r="A488" s="0" t="inlineStr">
        <is>
          <t>New</t>
        </is>
      </c>
      <c r="B488" s="0" t="inlineStr">
        <is>
          <t>Item</t>
        </is>
      </c>
      <c r="C488" s="0" t="inlineStr">
        <is>
          <t>Acquired</t>
        </is>
      </c>
      <c r="D488" s="0" t="inlineStr">
        <is>
          <t>:</t>
        </is>
      </c>
      <c r="E488" s="0" t="inlineStr">
        <is>
          <t>70.00K</t>
        </is>
      </c>
      <c r="F488" s="0" t="inlineStr">
        <is>
          <t>(1,</t>
        </is>
      </c>
      <c r="G488" s="0" t="inlineStr">
        <is>
          <t>8)</t>
        </is>
      </c>
      <c r="K488" s="0">
        <f>IF(H487="1)",1,IF(H487="2)",2,IF(H487="3)",3,IF(H487="4)",4,IF(H487="5)",5,IF(H487="6)",6,IF(H487="7)",7,IF(H487="8)",8,0))))))))</f>
        <v/>
      </c>
      <c r="L488" s="0">
        <f>IF(H487="1)",J487,IF(H487="2)",J487,IF(H487="3)",J487,IF(H487="4)",J487,IF(H487="5)",J487,IF(H487="6)",J487,IF(H487="7)",J487,IF(H487="8)",J487,0))))))))</f>
        <v/>
      </c>
    </row>
    <row r="489">
      <c r="A489" s="0" t="inlineStr">
        <is>
          <t>New</t>
        </is>
      </c>
      <c r="B489" s="0" t="inlineStr">
        <is>
          <t>Item</t>
        </is>
      </c>
      <c r="C489" s="0" t="inlineStr">
        <is>
          <t>Acquired</t>
        </is>
      </c>
      <c r="D489" s="0" t="inlineStr">
        <is>
          <t>:</t>
        </is>
      </c>
      <c r="E489" s="0" t="inlineStr">
        <is>
          <t>105.00K</t>
        </is>
      </c>
      <c r="F489" s="0" t="inlineStr">
        <is>
          <t>(4,</t>
        </is>
      </c>
      <c r="G489" s="0" t="inlineStr">
        <is>
          <t>21)</t>
        </is>
      </c>
      <c r="K489" s="0">
        <f>IF(H488="1)",1,IF(H488="2)",2,IF(H488="3)",3,IF(H488="4)",4,IF(H488="5)",5,IF(H488="6)",6,IF(H488="7)",7,IF(H488="8)",8,0))))))))</f>
        <v/>
      </c>
      <c r="L489" s="0">
        <f>IF(H488="1)",J488,IF(H488="2)",J488,IF(H488="3)",J488,IF(H488="4)",J488,IF(H488="5)",J488,IF(H488="6)",J488,IF(H488="7)",J488,IF(H488="8)",J488,0))))))))</f>
        <v/>
      </c>
    </row>
    <row r="490">
      <c r="A490" s="0" t="inlineStr">
        <is>
          <t>New</t>
        </is>
      </c>
      <c r="B490" s="0" t="inlineStr">
        <is>
          <t>Item</t>
        </is>
      </c>
      <c r="C490" s="0" t="inlineStr">
        <is>
          <t>Acquired</t>
        </is>
      </c>
      <c r="D490" s="0" t="inlineStr">
        <is>
          <t>:</t>
        </is>
      </c>
      <c r="E490" s="0" t="inlineStr">
        <is>
          <t>Minor</t>
        </is>
      </c>
      <c r="F490" s="0" t="inlineStr">
        <is>
          <t>(3,</t>
        </is>
      </c>
      <c r="G490" s="0" t="inlineStr">
        <is>
          <t>1)</t>
        </is>
      </c>
      <c r="K490" s="0">
        <f>IF(H489="1)",1,IF(H489="2)",2,IF(H489="3)",3,IF(H489="4)",4,IF(H489="5)",5,IF(H489="6)",6,IF(H489="7)",7,IF(H489="8)",8,0))))))))</f>
        <v/>
      </c>
      <c r="L490" s="0">
        <f>IF(H489="1)",J489,IF(H489="2)",J489,IF(H489="3)",J489,IF(H489="4)",J489,IF(H489="5)",J489,IF(H489="6)",J489,IF(H489="7)",J489,IF(H489="8)",J489,0))))))))</f>
        <v/>
      </c>
    </row>
    <row r="491">
      <c r="A491" s="0" t="inlineStr">
        <is>
          <t>New</t>
        </is>
      </c>
      <c r="B491" s="0" t="inlineStr">
        <is>
          <t>Item</t>
        </is>
      </c>
      <c r="C491" s="0" t="inlineStr">
        <is>
          <t>Acquired</t>
        </is>
      </c>
      <c r="D491" s="0" t="inlineStr">
        <is>
          <t>:</t>
        </is>
      </c>
      <c r="E491" s="0" t="inlineStr">
        <is>
          <t>200.00K</t>
        </is>
      </c>
      <c r="F491" s="0" t="inlineStr">
        <is>
          <t>(8,</t>
        </is>
      </c>
      <c r="G491" s="0" t="inlineStr">
        <is>
          <t>10)</t>
        </is>
      </c>
      <c r="K491" s="0">
        <f>IF(H490="1)",1,IF(H490="2)",2,IF(H490="3)",3,IF(H490="4)",4,IF(H490="5)",5,IF(H490="6)",6,IF(H490="7)",7,IF(H490="8)",8,0))))))))</f>
        <v/>
      </c>
      <c r="L491" s="0">
        <f>IF(H490="1)",J490,IF(H490="2)",J490,IF(H490="3)",J490,IF(H490="4)",J490,IF(H490="5)",J490,IF(H490="6)",J490,IF(H490="7)",J490,IF(H490="8)",J490,0))))))))</f>
        <v/>
      </c>
    </row>
    <row r="492">
      <c r="A492" s="0" t="inlineStr">
        <is>
          <t>New</t>
        </is>
      </c>
      <c r="B492" s="0" t="inlineStr">
        <is>
          <t>Item</t>
        </is>
      </c>
      <c r="C492" s="0" t="inlineStr">
        <is>
          <t>Acquired</t>
        </is>
      </c>
      <c r="D492" s="0" t="inlineStr">
        <is>
          <t>:</t>
        </is>
      </c>
      <c r="E492" s="0" t="inlineStr">
        <is>
          <t>75.00K</t>
        </is>
      </c>
      <c r="F492" s="0" t="inlineStr">
        <is>
          <t>(4,</t>
        </is>
      </c>
      <c r="G492" s="0" t="inlineStr">
        <is>
          <t>14)</t>
        </is>
      </c>
      <c r="K492" s="0">
        <f>IF(H491="1)",1,IF(H491="2)",2,IF(H491="3)",3,IF(H491="4)",4,IF(H491="5)",5,IF(H491="6)",6,IF(H491="7)",7,IF(H491="8)",8,0))))))))</f>
        <v/>
      </c>
      <c r="L492" s="0">
        <f>IF(H491="1)",J491,IF(H491="2)",J491,IF(H491="3)",J491,IF(H491="4)",J491,IF(H491="5)",J491,IF(H491="6)",J491,IF(H491="7)",J491,IF(H491="8)",J491,0))))))))</f>
        <v/>
      </c>
    </row>
    <row r="493">
      <c r="A493" s="0" t="inlineStr">
        <is>
          <t>New</t>
        </is>
      </c>
      <c r="B493" s="0" t="inlineStr">
        <is>
          <t>Item</t>
        </is>
      </c>
      <c r="C493" s="0" t="inlineStr">
        <is>
          <t>Acquired</t>
        </is>
      </c>
      <c r="D493" s="0" t="inlineStr">
        <is>
          <t>:</t>
        </is>
      </c>
      <c r="E493" s="0" t="inlineStr">
        <is>
          <t>200.00K</t>
        </is>
      </c>
      <c r="F493" s="0" t="inlineStr">
        <is>
          <t>(8,</t>
        </is>
      </c>
      <c r="G493" s="0" t="inlineStr">
        <is>
          <t>8)</t>
        </is>
      </c>
      <c r="K493" s="0">
        <f>IF(H492="1)",1,IF(H492="2)",2,IF(H492="3)",3,IF(H492="4)",4,IF(H492="5)",5,IF(H492="6)",6,IF(H492="7)",7,IF(H492="8)",8,0))))))))</f>
        <v/>
      </c>
      <c r="L493" s="0">
        <f>IF(H492="1)",J492,IF(H492="2)",J492,IF(H492="3)",J492,IF(H492="4)",J492,IF(H492="5)",J492,IF(H492="6)",J492,IF(H492="7)",J492,IF(H492="8)",J492,0))))))))</f>
        <v/>
      </c>
    </row>
    <row r="494">
      <c r="A494" s="0" t="inlineStr">
        <is>
          <t>New</t>
        </is>
      </c>
      <c r="B494" s="0" t="inlineStr">
        <is>
          <t>Item</t>
        </is>
      </c>
      <c r="C494" s="0" t="inlineStr">
        <is>
          <t>Acquired</t>
        </is>
      </c>
      <c r="D494" s="0" t="inlineStr">
        <is>
          <t>:</t>
        </is>
      </c>
      <c r="E494" s="0" t="inlineStr">
        <is>
          <t>75.00K</t>
        </is>
      </c>
      <c r="F494" s="0" t="inlineStr">
        <is>
          <t>(6,</t>
        </is>
      </c>
      <c r="G494" s="0" t="inlineStr">
        <is>
          <t>20)</t>
        </is>
      </c>
      <c r="K494" s="0">
        <f>IF(H493="1)",1,IF(H493="2)",2,IF(H493="3)",3,IF(H493="4)",4,IF(H493="5)",5,IF(H493="6)",6,IF(H493="7)",7,IF(H493="8)",8,0))))))))</f>
        <v/>
      </c>
      <c r="L494" s="0">
        <f>IF(H493="1)",J493,IF(H493="2)",J493,IF(H493="3)",J493,IF(H493="4)",J493,IF(H493="5)",J493,IF(H493="6)",J493,IF(H493="7)",J493,IF(H493="8)",J493,0))))))))</f>
        <v/>
      </c>
    </row>
    <row r="495">
      <c r="A495" s="0" t="inlineStr">
        <is>
          <t>Line</t>
        </is>
      </c>
      <c r="B495" s="0" t="inlineStr">
        <is>
          <t>Prize</t>
        </is>
      </c>
      <c r="C495" s="0" t="inlineStr">
        <is>
          <t>Acquired</t>
        </is>
      </c>
      <c r="D495" s="0" t="inlineStr">
        <is>
          <t>:</t>
        </is>
      </c>
      <c r="E495" s="0" t="inlineStr">
        <is>
          <t>2.95M</t>
        </is>
      </c>
      <c r="F495" s="0" t="inlineStr">
        <is>
          <t>(Stage</t>
        </is>
      </c>
      <c r="G495" s="0" t="inlineStr">
        <is>
          <t>:</t>
        </is>
      </c>
      <c r="H495" s="0" t="inlineStr">
        <is>
          <t>6)</t>
        </is>
      </c>
      <c r="I495" s="0" t="inlineStr">
        <is>
          <t>-</t>
        </is>
      </c>
      <c r="J495" s="0" t="n">
        <v>2950000</v>
      </c>
      <c r="K495" s="0">
        <f>IF(H494="1)",1,IF(H494="2)",2,IF(H494="3)",3,IF(H494="4)",4,IF(H494="5)",5,IF(H494="6)",6,IF(H494="7)",7,IF(H494="8)",8,0))))))))</f>
        <v/>
      </c>
      <c r="L495" s="0">
        <f>IF(H494="1)",J494,IF(H494="2)",J494,IF(H494="3)",J494,IF(H494="4)",J494,IF(H494="5)",J494,IF(H494="6)",J494,IF(H494="7)",J494,IF(H494="8)",J494,0))))))))</f>
        <v/>
      </c>
    </row>
    <row r="496">
      <c r="A496" s="0" t="inlineStr">
        <is>
          <t>Clear</t>
        </is>
      </c>
      <c r="B496" s="0" t="inlineStr">
        <is>
          <t>Gem</t>
        </is>
      </c>
      <c r="C496" s="0" t="inlineStr">
        <is>
          <t>Acquired</t>
        </is>
      </c>
      <c r="D496" s="0" t="inlineStr">
        <is>
          <t>:</t>
        </is>
      </c>
      <c r="E496" s="0" t="n">
        <v>2600</v>
      </c>
      <c r="F496" s="0" t="inlineStr">
        <is>
          <t>-&gt;</t>
        </is>
      </c>
      <c r="G496" s="0" t="n">
        <v>2700</v>
      </c>
      <c r="H496" s="0" t="inlineStr">
        <is>
          <t>(Stage</t>
        </is>
      </c>
      <c r="I496" s="0" t="inlineStr">
        <is>
          <t>:</t>
        </is>
      </c>
      <c r="J496" s="0" t="inlineStr">
        <is>
          <t>6)</t>
        </is>
      </c>
      <c r="K496" s="0">
        <f>IF(H495="1)",1,IF(H495="2)",2,IF(H495="3)",3,IF(H495="4)",4,IF(H495="5)",5,IF(H495="6)",6,IF(H495="7)",7,IF(H495="8)",8,0))))))))</f>
        <v/>
      </c>
      <c r="L496" s="0">
        <f>IF(H495="1)",J495,IF(H495="2)",J495,IF(H495="3)",J495,IF(H495="4)",J495,IF(H495="5)",J495,IF(H495="6)",J495,IF(H495="7)",J495,IF(H495="8)",J495,0))))))))</f>
        <v/>
      </c>
    </row>
    <row r="497">
      <c r="A497" s="0" t="inlineStr">
        <is>
          <t>New</t>
        </is>
      </c>
      <c r="B497" s="0" t="inlineStr">
        <is>
          <t>Item</t>
        </is>
      </c>
      <c r="C497" s="0" t="inlineStr">
        <is>
          <t>Acquired</t>
        </is>
      </c>
      <c r="D497" s="0" t="inlineStr">
        <is>
          <t>:</t>
        </is>
      </c>
      <c r="E497" s="0" t="inlineStr">
        <is>
          <t>120.00K</t>
        </is>
      </c>
      <c r="F497" s="0" t="inlineStr">
        <is>
          <t>(8,</t>
        </is>
      </c>
      <c r="G497" s="0" t="inlineStr">
        <is>
          <t>3)</t>
        </is>
      </c>
      <c r="K497" s="0">
        <f>IF(H496="1)",1,IF(H496="2)",2,IF(H496="3)",3,IF(H496="4)",4,IF(H496="5)",5,IF(H496="6)",6,IF(H496="7)",7,IF(H496="8)",8,0))))))))</f>
        <v/>
      </c>
      <c r="L497" s="0">
        <f>IF(H496="1)",J496,IF(H496="2)",J496,IF(H496="3)",J496,IF(H496="4)",J496,IF(H496="5)",J496,IF(H496="6)",J496,IF(H496="7)",J496,IF(H496="8)",J496,0))))))))</f>
        <v/>
      </c>
    </row>
    <row r="498">
      <c r="A498" s="0" t="inlineStr">
        <is>
          <t>New</t>
        </is>
      </c>
      <c r="B498" s="0" t="inlineStr">
        <is>
          <t>Item</t>
        </is>
      </c>
      <c r="C498" s="0" t="inlineStr">
        <is>
          <t>Acquired</t>
        </is>
      </c>
      <c r="D498" s="0" t="inlineStr">
        <is>
          <t>:</t>
        </is>
      </c>
      <c r="E498" s="0" t="inlineStr">
        <is>
          <t>37.50K</t>
        </is>
      </c>
      <c r="F498" s="0" t="inlineStr">
        <is>
          <t>(2,</t>
        </is>
      </c>
      <c r="G498" s="0" t="inlineStr">
        <is>
          <t>23)</t>
        </is>
      </c>
      <c r="K498" s="0">
        <f>IF(H497="1)",1,IF(H497="2)",2,IF(H497="3)",3,IF(H497="4)",4,IF(H497="5)",5,IF(H497="6)",6,IF(H497="7)",7,IF(H497="8)",8,0))))))))</f>
        <v/>
      </c>
      <c r="L498" s="0">
        <f>IF(H497="1)",J497,IF(H497="2)",J497,IF(H497="3)",J497,IF(H497="4)",J497,IF(H497="5)",J497,IF(H497="6)",J497,IF(H497="7)",J497,IF(H497="8)",J497,0))))))))</f>
        <v/>
      </c>
    </row>
    <row r="499">
      <c r="A499" s="0" t="inlineStr">
        <is>
          <t>New</t>
        </is>
      </c>
      <c r="B499" s="0" t="inlineStr">
        <is>
          <t>Item</t>
        </is>
      </c>
      <c r="C499" s="0" t="inlineStr">
        <is>
          <t>Acquired</t>
        </is>
      </c>
      <c r="D499" s="0" t="inlineStr">
        <is>
          <t>:</t>
        </is>
      </c>
      <c r="E499" s="0" t="inlineStr">
        <is>
          <t>30.00K</t>
        </is>
      </c>
      <c r="F499" s="0" t="inlineStr">
        <is>
          <t>(1,</t>
        </is>
      </c>
      <c r="G499" s="0" t="inlineStr">
        <is>
          <t>22)</t>
        </is>
      </c>
      <c r="K499" s="0">
        <f>IF(H498="1)",1,IF(H498="2)",2,IF(H498="3)",3,IF(H498="4)",4,IF(H498="5)",5,IF(H498="6)",6,IF(H498="7)",7,IF(H498="8)",8,0))))))))</f>
        <v/>
      </c>
      <c r="L499" s="0">
        <f>IF(H498="1)",J498,IF(H498="2)",J498,IF(H498="3)",J498,IF(H498="4)",J498,IF(H498="5)",J498,IF(H498="6)",J498,IF(H498="7)",J498,IF(H498="8)",J498,0))))))))</f>
        <v/>
      </c>
    </row>
    <row r="500">
      <c r="A500" s="0" t="inlineStr">
        <is>
          <t>Item</t>
        </is>
      </c>
      <c r="B500" s="0" t="inlineStr">
        <is>
          <t>ReSelect</t>
        </is>
      </c>
      <c r="C500" s="0" t="inlineStr">
        <is>
          <t>Failed</t>
        </is>
      </c>
      <c r="D500" s="0" t="inlineStr">
        <is>
          <t>:</t>
        </is>
      </c>
      <c r="E500" s="0" t="inlineStr">
        <is>
          <t>Attempt</t>
        </is>
      </c>
      <c r="F500" s="0" t="inlineStr">
        <is>
          <t>Count</t>
        </is>
      </c>
      <c r="G500" s="0" t="inlineStr">
        <is>
          <t>-</t>
        </is>
      </c>
      <c r="H500" s="0" t="n">
        <v>3</v>
      </c>
      <c r="K500" s="0">
        <f>IF(H499="1)",1,IF(H499="2)",2,IF(H499="3)",3,IF(H499="4)",4,IF(H499="5)",5,IF(H499="6)",6,IF(H499="7)",7,IF(H499="8)",8,0))))))))</f>
        <v/>
      </c>
      <c r="L500" s="0">
        <f>IF(H499="1)",J499,IF(H499="2)",J499,IF(H499="3)",J499,IF(H499="4)",J499,IF(H499="5)",J499,IF(H499="6)",J499,IF(H499="7)",J499,IF(H499="8)",J499,0))))))))</f>
        <v/>
      </c>
    </row>
    <row r="501">
      <c r="A501" s="0" t="inlineStr">
        <is>
          <t>New</t>
        </is>
      </c>
      <c r="B501" s="0" t="inlineStr">
        <is>
          <t>Item</t>
        </is>
      </c>
      <c r="C501" s="0" t="inlineStr">
        <is>
          <t>Acquired</t>
        </is>
      </c>
      <c r="D501" s="0" t="inlineStr">
        <is>
          <t>:</t>
        </is>
      </c>
      <c r="E501" s="0" t="inlineStr">
        <is>
          <t>90.00K</t>
        </is>
      </c>
      <c r="F501" s="0" t="inlineStr">
        <is>
          <t>(7,</t>
        </is>
      </c>
      <c r="G501" s="0" t="inlineStr">
        <is>
          <t>22)</t>
        </is>
      </c>
      <c r="K501" s="0">
        <f>IF(H500="1)",1,IF(H500="2)",2,IF(H500="3)",3,IF(H500="4)",4,IF(H500="5)",5,IF(H500="6)",6,IF(H500="7)",7,IF(H500="8)",8,0))))))))</f>
        <v/>
      </c>
      <c r="L501" s="0">
        <f>IF(H500="1)",J500,IF(H500="2)",J500,IF(H500="3)",J500,IF(H500="4)",J500,IF(H500="5)",J500,IF(H500="6)",J500,IF(H500="7)",J500,IF(H500="8)",J500,0))))))))</f>
        <v/>
      </c>
    </row>
    <row r="502">
      <c r="A502" s="0" t="inlineStr">
        <is>
          <t>New</t>
        </is>
      </c>
      <c r="B502" s="0" t="inlineStr">
        <is>
          <t>Item</t>
        </is>
      </c>
      <c r="C502" s="0" t="inlineStr">
        <is>
          <t>Acquired</t>
        </is>
      </c>
      <c r="D502" s="0" t="inlineStr">
        <is>
          <t>:</t>
        </is>
      </c>
      <c r="E502" s="0" t="inlineStr">
        <is>
          <t>75.00K</t>
        </is>
      </c>
      <c r="F502" s="0" t="inlineStr">
        <is>
          <t>(6,</t>
        </is>
      </c>
      <c r="G502" s="0" t="inlineStr">
        <is>
          <t>24)</t>
        </is>
      </c>
      <c r="K502" s="0">
        <f>IF(H501="1)",1,IF(H501="2)",2,IF(H501="3)",3,IF(H501="4)",4,IF(H501="5)",5,IF(H501="6)",6,IF(H501="7)",7,IF(H501="8)",8,0))))))))</f>
        <v/>
      </c>
      <c r="L502" s="0">
        <f>IF(H501="1)",J501,IF(H501="2)",J501,IF(H501="3)",J501,IF(H501="4)",J501,IF(H501="5)",J501,IF(H501="6)",J501,IF(H501="7)",J501,IF(H501="8)",J501,0))))))))</f>
        <v/>
      </c>
    </row>
    <row r="503">
      <c r="A503" s="0" t="inlineStr">
        <is>
          <t>New</t>
        </is>
      </c>
      <c r="B503" s="0" t="inlineStr">
        <is>
          <t>Item</t>
        </is>
      </c>
      <c r="C503" s="0" t="inlineStr">
        <is>
          <t>Acquired</t>
        </is>
      </c>
      <c r="D503" s="0" t="inlineStr">
        <is>
          <t>:</t>
        </is>
      </c>
      <c r="E503" s="0" t="inlineStr">
        <is>
          <t>30.00K</t>
        </is>
      </c>
      <c r="F503" s="0" t="inlineStr">
        <is>
          <t>(1,</t>
        </is>
      </c>
      <c r="G503" s="0" t="inlineStr">
        <is>
          <t>19)</t>
        </is>
      </c>
      <c r="K503" s="0">
        <f>IF(H502="1)",1,IF(H502="2)",2,IF(H502="3)",3,IF(H502="4)",4,IF(H502="5)",5,IF(H502="6)",6,IF(H502="7)",7,IF(H502="8)",8,0))))))))</f>
        <v/>
      </c>
      <c r="L503" s="0">
        <f>IF(H502="1)",J502,IF(H502="2)",J502,IF(H502="3)",J502,IF(H502="4)",J502,IF(H502="5)",J502,IF(H502="6)",J502,IF(H502="7)",J502,IF(H502="8)",J502,0))))))))</f>
        <v/>
      </c>
    </row>
    <row r="504">
      <c r="A504" s="0" t="inlineStr">
        <is>
          <t>New</t>
        </is>
      </c>
      <c r="B504" s="0" t="inlineStr">
        <is>
          <t>Item</t>
        </is>
      </c>
      <c r="C504" s="0" t="inlineStr">
        <is>
          <t>Acquired</t>
        </is>
      </c>
      <c r="D504" s="0" t="inlineStr">
        <is>
          <t>:</t>
        </is>
      </c>
      <c r="E504" s="0" t="inlineStr">
        <is>
          <t>Mega</t>
        </is>
      </c>
      <c r="F504" s="0" t="inlineStr">
        <is>
          <t>(1,</t>
        </is>
      </c>
      <c r="G504" s="0" t="inlineStr">
        <is>
          <t>17)</t>
        </is>
      </c>
      <c r="K504" s="0">
        <f>IF(H503="1)",1,IF(H503="2)",2,IF(H503="3)",3,IF(H503="4)",4,IF(H503="5)",5,IF(H503="6)",6,IF(H503="7)",7,IF(H503="8)",8,0))))))))</f>
        <v/>
      </c>
      <c r="L504" s="0">
        <f>IF(H503="1)",J503,IF(H503="2)",J503,IF(H503="3)",J503,IF(H503="4)",J503,IF(H503="5)",J503,IF(H503="6)",J503,IF(H503="7)",J503,IF(H503="8)",J503,0))))))))</f>
        <v/>
      </c>
    </row>
    <row r="505">
      <c r="A505" s="0" t="inlineStr">
        <is>
          <t>New</t>
        </is>
      </c>
      <c r="B505" s="0" t="inlineStr">
        <is>
          <t>Item</t>
        </is>
      </c>
      <c r="C505" s="0" t="inlineStr">
        <is>
          <t>Acquired</t>
        </is>
      </c>
      <c r="D505" s="0" t="inlineStr">
        <is>
          <t>:</t>
        </is>
      </c>
      <c r="E505" s="0" t="inlineStr">
        <is>
          <t>37.50K</t>
        </is>
      </c>
      <c r="F505" s="0" t="inlineStr">
        <is>
          <t>(2,</t>
        </is>
      </c>
      <c r="G505" s="0" t="inlineStr">
        <is>
          <t>9)</t>
        </is>
      </c>
      <c r="K505" s="0">
        <f>IF(H504="1)",1,IF(H504="2)",2,IF(H504="3)",3,IF(H504="4)",4,IF(H504="5)",5,IF(H504="6)",6,IF(H504="7)",7,IF(H504="8)",8,0))))))))</f>
        <v/>
      </c>
      <c r="L505" s="0">
        <f>IF(H504="1)",J504,IF(H504="2)",J504,IF(H504="3)",J504,IF(H504="4)",J504,IF(H504="5)",J504,IF(H504="6)",J504,IF(H504="7)",J504,IF(H504="8)",J504,0))))))))</f>
        <v/>
      </c>
    </row>
    <row r="506">
      <c r="A506" s="0" t="inlineStr">
        <is>
          <t>New</t>
        </is>
      </c>
      <c r="B506" s="0" t="inlineStr">
        <is>
          <t>Item</t>
        </is>
      </c>
      <c r="C506" s="0" t="inlineStr">
        <is>
          <t>Acquired</t>
        </is>
      </c>
      <c r="D506" s="0" t="inlineStr">
        <is>
          <t>:</t>
        </is>
      </c>
      <c r="E506" s="0" t="inlineStr">
        <is>
          <t>175.00K</t>
        </is>
      </c>
      <c r="F506" s="0" t="inlineStr">
        <is>
          <t>(6,</t>
        </is>
      </c>
      <c r="G506" s="0" t="inlineStr">
        <is>
          <t>1)</t>
        </is>
      </c>
      <c r="K506" s="0">
        <f>IF(H505="1)",1,IF(H505="2)",2,IF(H505="3)",3,IF(H505="4)",4,IF(H505="5)",5,IF(H505="6)",6,IF(H505="7)",7,IF(H505="8)",8,0))))))))</f>
        <v/>
      </c>
      <c r="L506" s="0">
        <f>IF(H505="1)",J505,IF(H505="2)",J505,IF(H505="3)",J505,IF(H505="4)",J505,IF(H505="5)",J505,IF(H505="6)",J505,IF(H505="7)",J505,IF(H505="8)",J505,0))))))))</f>
        <v/>
      </c>
    </row>
    <row r="507">
      <c r="A507" s="0" t="inlineStr">
        <is>
          <t>New</t>
        </is>
      </c>
      <c r="B507" s="0" t="inlineStr">
        <is>
          <t>Item</t>
        </is>
      </c>
      <c r="C507" s="0" t="inlineStr">
        <is>
          <t>Acquired</t>
        </is>
      </c>
      <c r="D507" s="0" t="inlineStr">
        <is>
          <t>:</t>
        </is>
      </c>
      <c r="E507" s="0" t="inlineStr">
        <is>
          <t>60.00K</t>
        </is>
      </c>
      <c r="F507" s="0" t="inlineStr">
        <is>
          <t>(4,</t>
        </is>
      </c>
      <c r="G507" s="0" t="inlineStr">
        <is>
          <t>1)</t>
        </is>
      </c>
      <c r="K507" s="0">
        <f>IF(H506="1)",1,IF(H506="2)",2,IF(H506="3)",3,IF(H506="4)",4,IF(H506="5)",5,IF(H506="6)",6,IF(H506="7)",7,IF(H506="8)",8,0))))))))</f>
        <v/>
      </c>
      <c r="L507" s="0">
        <f>IF(H506="1)",J506,IF(H506="2)",J506,IF(H506="3)",J506,IF(H506="4)",J506,IF(H506="5)",J506,IF(H506="6)",J506,IF(H506="7)",J506,IF(H506="8)",J506,0))))))))</f>
        <v/>
      </c>
    </row>
    <row r="508">
      <c r="A508" s="0" t="inlineStr">
        <is>
          <t>New</t>
        </is>
      </c>
      <c r="B508" s="0" t="inlineStr">
        <is>
          <t>Item</t>
        </is>
      </c>
      <c r="C508" s="0" t="inlineStr">
        <is>
          <t>Acquired</t>
        </is>
      </c>
      <c r="D508" s="0" t="inlineStr">
        <is>
          <t>:</t>
        </is>
      </c>
      <c r="E508" s="0" t="inlineStr">
        <is>
          <t>30.00K</t>
        </is>
      </c>
      <c r="F508" s="0" t="inlineStr">
        <is>
          <t>(1,</t>
        </is>
      </c>
      <c r="G508" s="0" t="inlineStr">
        <is>
          <t>21)</t>
        </is>
      </c>
      <c r="K508" s="0">
        <f>IF(H507="1)",1,IF(H507="2)",2,IF(H507="3)",3,IF(H507="4)",4,IF(H507="5)",5,IF(H507="6)",6,IF(H507="7)",7,IF(H507="8)",8,0))))))))</f>
        <v/>
      </c>
      <c r="L508" s="0">
        <f>IF(H507="1)",J507,IF(H507="2)",J507,IF(H507="3)",J507,IF(H507="4)",J507,IF(H507="5)",J507,IF(H507="6)",J507,IF(H507="7)",J507,IF(H507="8)",J507,0))))))))</f>
        <v/>
      </c>
    </row>
    <row r="509">
      <c r="A509" s="0" t="inlineStr">
        <is>
          <t>New</t>
        </is>
      </c>
      <c r="B509" s="0" t="inlineStr">
        <is>
          <t>Item</t>
        </is>
      </c>
      <c r="C509" s="0" t="inlineStr">
        <is>
          <t>Acquired</t>
        </is>
      </c>
      <c r="D509" s="0" t="inlineStr">
        <is>
          <t>:</t>
        </is>
      </c>
      <c r="E509" s="0" t="inlineStr">
        <is>
          <t>200.00K</t>
        </is>
      </c>
      <c r="F509" s="0" t="inlineStr">
        <is>
          <t>(8,</t>
        </is>
      </c>
      <c r="G509" s="0" t="inlineStr">
        <is>
          <t>19)</t>
        </is>
      </c>
      <c r="K509" s="0">
        <f>IF(H508="1)",1,IF(H508="2)",2,IF(H508="3)",3,IF(H508="4)",4,IF(H508="5)",5,IF(H508="6)",6,IF(H508="7)",7,IF(H508="8)",8,0))))))))</f>
        <v/>
      </c>
      <c r="L509" s="0">
        <f>IF(H508="1)",J508,IF(H508="2)",J508,IF(H508="3)",J508,IF(H508="4)",J508,IF(H508="5)",J508,IF(H508="6)",J508,IF(H508="7)",J508,IF(H508="8)",J508,0))))))))</f>
        <v/>
      </c>
    </row>
    <row r="510">
      <c r="A510" s="0" t="inlineStr">
        <is>
          <t>New</t>
        </is>
      </c>
      <c r="B510" s="0" t="inlineStr">
        <is>
          <t>Item</t>
        </is>
      </c>
      <c r="C510" s="0" t="inlineStr">
        <is>
          <t>Acquired</t>
        </is>
      </c>
      <c r="D510" s="0" t="inlineStr">
        <is>
          <t>:</t>
        </is>
      </c>
      <c r="E510" s="0" t="inlineStr">
        <is>
          <t>75.00K</t>
        </is>
      </c>
      <c r="F510" s="0" t="inlineStr">
        <is>
          <t>(6,</t>
        </is>
      </c>
      <c r="G510" s="0" t="inlineStr">
        <is>
          <t>2)</t>
        </is>
      </c>
      <c r="K510" s="0">
        <f>IF(H509="1)",1,IF(H509="2)",2,IF(H509="3)",3,IF(H509="4)",4,IF(H509="5)",5,IF(H509="6)",6,IF(H509="7)",7,IF(H509="8)",8,0))))))))</f>
        <v/>
      </c>
      <c r="L510" s="0">
        <f>IF(H509="1)",J509,IF(H509="2)",J509,IF(H509="3)",J509,IF(H509="4)",J509,IF(H509="5)",J509,IF(H509="6)",J509,IF(H509="7)",J509,IF(H509="8)",J509,0))))))))</f>
        <v/>
      </c>
    </row>
    <row r="511">
      <c r="A511" s="0" t="inlineStr">
        <is>
          <t>New</t>
        </is>
      </c>
      <c r="B511" s="0" t="inlineStr">
        <is>
          <t>Item</t>
        </is>
      </c>
      <c r="C511" s="0" t="inlineStr">
        <is>
          <t>Acquired</t>
        </is>
      </c>
      <c r="D511" s="0" t="inlineStr">
        <is>
          <t>:</t>
        </is>
      </c>
      <c r="E511" s="0" t="inlineStr">
        <is>
          <t>Major</t>
        </is>
      </c>
      <c r="F511" s="0" t="inlineStr">
        <is>
          <t>(1,</t>
        </is>
      </c>
      <c r="G511" s="0" t="inlineStr">
        <is>
          <t>9)</t>
        </is>
      </c>
      <c r="K511" s="0">
        <f>IF(H510="1)",1,IF(H510="2)",2,IF(H510="3)",3,IF(H510="4)",4,IF(H510="5)",5,IF(H510="6)",6,IF(H510="7)",7,IF(H510="8)",8,0))))))))</f>
        <v/>
      </c>
      <c r="L511" s="0">
        <f>IF(H510="1)",J510,IF(H510="2)",J510,IF(H510="3)",J510,IF(H510="4)",J510,IF(H510="5)",J510,IF(H510="6)",J510,IF(H510="7)",J510,IF(H510="8)",J510,0))))))))</f>
        <v/>
      </c>
    </row>
    <row r="512">
      <c r="A512" s="0" t="inlineStr">
        <is>
          <t>New</t>
        </is>
      </c>
      <c r="B512" s="0" t="inlineStr">
        <is>
          <t>Item</t>
        </is>
      </c>
      <c r="C512" s="0" t="inlineStr">
        <is>
          <t>Acquired</t>
        </is>
      </c>
      <c r="D512" s="0" t="inlineStr">
        <is>
          <t>:</t>
        </is>
      </c>
      <c r="E512" s="0" t="inlineStr">
        <is>
          <t>125.00K</t>
        </is>
      </c>
      <c r="F512" s="0" t="inlineStr">
        <is>
          <t>(6,</t>
        </is>
      </c>
      <c r="G512" s="0" t="inlineStr">
        <is>
          <t>6)</t>
        </is>
      </c>
      <c r="K512" s="0">
        <f>IF(H511="1)",1,IF(H511="2)",2,IF(H511="3)",3,IF(H511="4)",4,IF(H511="5)",5,IF(H511="6)",6,IF(H511="7)",7,IF(H511="8)",8,0))))))))</f>
        <v/>
      </c>
      <c r="L512" s="0">
        <f>IF(H511="1)",J511,IF(H511="2)",J511,IF(H511="3)",J511,IF(H511="4)",J511,IF(H511="5)",J511,IF(H511="6)",J511,IF(H511="7)",J511,IF(H511="8)",J511,0))))))))</f>
        <v/>
      </c>
    </row>
    <row r="513">
      <c r="A513" s="0" t="inlineStr">
        <is>
          <t>New</t>
        </is>
      </c>
      <c r="B513" s="0" t="inlineStr">
        <is>
          <t>Item</t>
        </is>
      </c>
      <c r="C513" s="0" t="inlineStr">
        <is>
          <t>Acquired</t>
        </is>
      </c>
      <c r="D513" s="0" t="inlineStr">
        <is>
          <t>:</t>
        </is>
      </c>
      <c r="E513" s="0" t="inlineStr">
        <is>
          <t>Major</t>
        </is>
      </c>
      <c r="F513" s="0" t="inlineStr">
        <is>
          <t>(7,</t>
        </is>
      </c>
      <c r="G513" s="0" t="inlineStr">
        <is>
          <t>25)</t>
        </is>
      </c>
      <c r="K513" s="0">
        <f>IF(H512="1)",1,IF(H512="2)",2,IF(H512="3)",3,IF(H512="4)",4,IF(H512="5)",5,IF(H512="6)",6,IF(H512="7)",7,IF(H512="8)",8,0))))))))</f>
        <v/>
      </c>
      <c r="L513" s="0">
        <f>IF(H512="1)",J512,IF(H512="2)",J512,IF(H512="3)",J512,IF(H512="4)",J512,IF(H512="5)",J512,IF(H512="6)",J512,IF(H512="7)",J512,IF(H512="8)",J512,0))))))))</f>
        <v/>
      </c>
    </row>
    <row r="514">
      <c r="A514" s="0" t="inlineStr">
        <is>
          <t>New</t>
        </is>
      </c>
      <c r="B514" s="0" t="inlineStr">
        <is>
          <t>Item</t>
        </is>
      </c>
      <c r="C514" s="0" t="inlineStr">
        <is>
          <t>Acquired</t>
        </is>
      </c>
      <c r="D514" s="0" t="inlineStr">
        <is>
          <t>:</t>
        </is>
      </c>
      <c r="E514" s="0" t="inlineStr">
        <is>
          <t>200.00K</t>
        </is>
      </c>
      <c r="F514" s="0" t="inlineStr">
        <is>
          <t>(8,</t>
        </is>
      </c>
      <c r="G514" s="0" t="inlineStr">
        <is>
          <t>25)</t>
        </is>
      </c>
      <c r="K514" s="0">
        <f>IF(H513="1)",1,IF(H513="2)",2,IF(H513="3)",3,IF(H513="4)",4,IF(H513="5)",5,IF(H513="6)",6,IF(H513="7)",7,IF(H513="8)",8,0))))))))</f>
        <v/>
      </c>
      <c r="L514" s="0">
        <f>IF(H513="1)",J513,IF(H513="2)",J513,IF(H513="3)",J513,IF(H513="4)",J513,IF(H513="5)",J513,IF(H513="6)",J513,IF(H513="7)",J513,IF(H513="8)",J513,0))))))))</f>
        <v/>
      </c>
    </row>
    <row r="515">
      <c r="A515" s="0" t="inlineStr">
        <is>
          <t>New</t>
        </is>
      </c>
      <c r="B515" s="0" t="inlineStr">
        <is>
          <t>Item</t>
        </is>
      </c>
      <c r="C515" s="0" t="inlineStr">
        <is>
          <t>Acquired</t>
        </is>
      </c>
      <c r="D515" s="0" t="inlineStr">
        <is>
          <t>:</t>
        </is>
      </c>
      <c r="E515" s="0" t="inlineStr">
        <is>
          <t>60.00K</t>
        </is>
      </c>
      <c r="F515" s="0" t="inlineStr">
        <is>
          <t>(4,</t>
        </is>
      </c>
      <c r="G515" s="0" t="inlineStr">
        <is>
          <t>25)</t>
        </is>
      </c>
      <c r="K515" s="0">
        <f>IF(H514="1)",1,IF(H514="2)",2,IF(H514="3)",3,IF(H514="4)",4,IF(H514="5)",5,IF(H514="6)",6,IF(H514="7)",7,IF(H514="8)",8,0))))))))</f>
        <v/>
      </c>
      <c r="L515" s="0">
        <f>IF(H514="1)",J514,IF(H514="2)",J514,IF(H514="3)",J514,IF(H514="4)",J514,IF(H514="5)",J514,IF(H514="6)",J514,IF(H514="7)",J514,IF(H514="8)",J514,0))))))))</f>
        <v/>
      </c>
    </row>
    <row r="516">
      <c r="A516" s="0" t="inlineStr">
        <is>
          <t>Line</t>
        </is>
      </c>
      <c r="B516" s="0" t="inlineStr">
        <is>
          <t>Prize</t>
        </is>
      </c>
      <c r="C516" s="0" t="inlineStr">
        <is>
          <t>Acquired</t>
        </is>
      </c>
      <c r="D516" s="0" t="inlineStr">
        <is>
          <t>:</t>
        </is>
      </c>
      <c r="E516" s="0" t="inlineStr">
        <is>
          <t>1.05M</t>
        </is>
      </c>
      <c r="F516" s="0" t="inlineStr">
        <is>
          <t>(Stage</t>
        </is>
      </c>
      <c r="G516" s="0" t="inlineStr">
        <is>
          <t>:</t>
        </is>
      </c>
      <c r="H516" s="0" t="inlineStr">
        <is>
          <t>4)</t>
        </is>
      </c>
      <c r="I516" s="0" t="inlineStr">
        <is>
          <t>-</t>
        </is>
      </c>
      <c r="J516" s="0" t="n">
        <v>1055000</v>
      </c>
      <c r="K516" s="0">
        <f>IF(H515="1)",1,IF(H515="2)",2,IF(H515="3)",3,IF(H515="4)",4,IF(H515="5)",5,IF(H515="6)",6,IF(H515="7)",7,IF(H515="8)",8,0))))))))</f>
        <v/>
      </c>
      <c r="L516" s="0">
        <f>IF(H515="1)",J515,IF(H515="2)",J515,IF(H515="3)",J515,IF(H515="4)",J515,IF(H515="5)",J515,IF(H515="6)",J515,IF(H515="7)",J515,IF(H515="8)",J515,0))))))))</f>
        <v/>
      </c>
    </row>
    <row r="517">
      <c r="A517" s="0" t="inlineStr">
        <is>
          <t>Clear</t>
        </is>
      </c>
      <c r="B517" s="0" t="inlineStr">
        <is>
          <t>Gem</t>
        </is>
      </c>
      <c r="C517" s="0" t="inlineStr">
        <is>
          <t>Acquired</t>
        </is>
      </c>
      <c r="D517" s="0" t="inlineStr">
        <is>
          <t>:</t>
        </is>
      </c>
      <c r="E517" s="0" t="n">
        <v>2700</v>
      </c>
      <c r="F517" s="0" t="inlineStr">
        <is>
          <t>-&gt;</t>
        </is>
      </c>
      <c r="G517" s="0" t="n">
        <v>2800</v>
      </c>
      <c r="H517" s="0" t="inlineStr">
        <is>
          <t>(Stage</t>
        </is>
      </c>
      <c r="I517" s="0" t="inlineStr">
        <is>
          <t>:</t>
        </is>
      </c>
      <c r="J517" s="0" t="inlineStr">
        <is>
          <t>4)</t>
        </is>
      </c>
      <c r="K517" s="0">
        <f>IF(H516="1)",1,IF(H516="2)",2,IF(H516="3)",3,IF(H516="4)",4,IF(H516="5)",5,IF(H516="6)",6,IF(H516="7)",7,IF(H516="8)",8,0))))))))</f>
        <v/>
      </c>
      <c r="L517" s="0">
        <f>IF(H516="1)",J516,IF(H516="2)",J516,IF(H516="3)",J516,IF(H516="4)",J516,IF(H516="5)",J516,IF(H516="6)",J516,IF(H516="7)",J516,IF(H516="8)",J516,0))))))))</f>
        <v/>
      </c>
    </row>
    <row r="518">
      <c r="A518" s="0" t="inlineStr">
        <is>
          <t>New</t>
        </is>
      </c>
      <c r="B518" s="0" t="inlineStr">
        <is>
          <t>Item</t>
        </is>
      </c>
      <c r="C518" s="0" t="inlineStr">
        <is>
          <t>Acquired</t>
        </is>
      </c>
      <c r="D518" s="0" t="inlineStr">
        <is>
          <t>:</t>
        </is>
      </c>
      <c r="E518" s="0" t="inlineStr">
        <is>
          <t>75.00K</t>
        </is>
      </c>
      <c r="F518" s="0" t="inlineStr">
        <is>
          <t>(6,</t>
        </is>
      </c>
      <c r="G518" s="0" t="inlineStr">
        <is>
          <t>23)</t>
        </is>
      </c>
      <c r="K518" s="0">
        <f>IF(H517="1)",1,IF(H517="2)",2,IF(H517="3)",3,IF(H517="4)",4,IF(H517="5)",5,IF(H517="6)",6,IF(H517="7)",7,IF(H517="8)",8,0))))))))</f>
        <v/>
      </c>
      <c r="L518" s="0">
        <f>IF(H517="1)",J517,IF(H517="2)",J517,IF(H517="3)",J517,IF(H517="4)",J517,IF(H517="5)",J517,IF(H517="6)",J517,IF(H517="7)",J517,IF(H517="8)",J517,0))))))))</f>
        <v/>
      </c>
    </row>
    <row r="519">
      <c r="A519" s="0" t="inlineStr">
        <is>
          <t>New</t>
        </is>
      </c>
      <c r="B519" s="0" t="inlineStr">
        <is>
          <t>Item</t>
        </is>
      </c>
      <c r="C519" s="0" t="inlineStr">
        <is>
          <t>Acquired</t>
        </is>
      </c>
      <c r="D519" s="0" t="inlineStr">
        <is>
          <t>:</t>
        </is>
      </c>
      <c r="E519" s="0" t="inlineStr">
        <is>
          <t>45.00K</t>
        </is>
      </c>
      <c r="F519" s="0" t="inlineStr">
        <is>
          <t>(3,</t>
        </is>
      </c>
      <c r="G519" s="0" t="inlineStr">
        <is>
          <t>18)</t>
        </is>
      </c>
      <c r="K519" s="0">
        <f>IF(H518="1)",1,IF(H518="2)",2,IF(H518="3)",3,IF(H518="4)",4,IF(H518="5)",5,IF(H518="6)",6,IF(H518="7)",7,IF(H518="8)",8,0))))))))</f>
        <v/>
      </c>
      <c r="L519" s="0">
        <f>IF(H518="1)",J518,IF(H518="2)",J518,IF(H518="3)",J518,IF(H518="4)",J518,IF(H518="5)",J518,IF(H518="6)",J518,IF(H518="7)",J518,IF(H518="8)",J518,0))))))))</f>
        <v/>
      </c>
    </row>
    <row r="520">
      <c r="A520" s="0" t="inlineStr">
        <is>
          <t>Line</t>
        </is>
      </c>
      <c r="B520" s="0" t="inlineStr">
        <is>
          <t>Prize</t>
        </is>
      </c>
      <c r="C520" s="0" t="inlineStr">
        <is>
          <t>Acquired</t>
        </is>
      </c>
      <c r="D520" s="0" t="inlineStr">
        <is>
          <t>:</t>
        </is>
      </c>
      <c r="E520" s="0" t="inlineStr">
        <is>
          <t>930.00K</t>
        </is>
      </c>
      <c r="F520" s="0" t="inlineStr">
        <is>
          <t>(Stage</t>
        </is>
      </c>
      <c r="G520" s="0" t="inlineStr">
        <is>
          <t>:</t>
        </is>
      </c>
      <c r="H520" s="0" t="inlineStr">
        <is>
          <t>3)</t>
        </is>
      </c>
      <c r="I520" s="0" t="inlineStr">
        <is>
          <t>-</t>
        </is>
      </c>
      <c r="J520" s="0" t="n">
        <v>930000</v>
      </c>
      <c r="K520" s="0">
        <f>IF(H519="1)",1,IF(H519="2)",2,IF(H519="3)",3,IF(H519="4)",4,IF(H519="5)",5,IF(H519="6)",6,IF(H519="7)",7,IF(H519="8)",8,0))))))))</f>
        <v/>
      </c>
      <c r="L520" s="0">
        <f>IF(H519="1)",J519,IF(H519="2)",J519,IF(H519="3)",J519,IF(H519="4)",J519,IF(H519="5)",J519,IF(H519="6)",J519,IF(H519="7)",J519,IF(H519="8)",J519,0))))))))</f>
        <v/>
      </c>
    </row>
    <row r="521">
      <c r="A521" s="0" t="inlineStr">
        <is>
          <t>Clear</t>
        </is>
      </c>
      <c r="B521" s="0" t="inlineStr">
        <is>
          <t>Gem</t>
        </is>
      </c>
      <c r="C521" s="0" t="inlineStr">
        <is>
          <t>Acquired</t>
        </is>
      </c>
      <c r="D521" s="0" t="inlineStr">
        <is>
          <t>:</t>
        </is>
      </c>
      <c r="E521" s="0" t="n">
        <v>2800</v>
      </c>
      <c r="F521" s="0" t="inlineStr">
        <is>
          <t>-&gt;</t>
        </is>
      </c>
      <c r="G521" s="0" t="n">
        <v>2900</v>
      </c>
      <c r="H521" s="0" t="inlineStr">
        <is>
          <t>(Stage</t>
        </is>
      </c>
      <c r="I521" s="0" t="inlineStr">
        <is>
          <t>:</t>
        </is>
      </c>
      <c r="J521" s="0" t="inlineStr">
        <is>
          <t>3)</t>
        </is>
      </c>
      <c r="K521" s="0">
        <f>IF(H520="1)",1,IF(H520="2)",2,IF(H520="3)",3,IF(H520="4)",4,IF(H520="5)",5,IF(H520="6)",6,IF(H520="7)",7,IF(H520="8)",8,0))))))))</f>
        <v/>
      </c>
      <c r="L521" s="0">
        <f>IF(H520="1)",J520,IF(H520="2)",J520,IF(H520="3)",J520,IF(H520="4)",J520,IF(H520="5)",J520,IF(H520="6)",J520,IF(H520="7)",J520,IF(H520="8)",J520,0))))))))</f>
        <v/>
      </c>
    </row>
    <row r="522">
      <c r="A522" s="0" t="inlineStr">
        <is>
          <t>New</t>
        </is>
      </c>
      <c r="B522" s="0" t="inlineStr">
        <is>
          <t>Item</t>
        </is>
      </c>
      <c r="C522" s="0" t="inlineStr">
        <is>
          <t>Acquired</t>
        </is>
      </c>
      <c r="D522" s="0" t="inlineStr">
        <is>
          <t>:</t>
        </is>
      </c>
      <c r="E522" s="0" t="inlineStr">
        <is>
          <t>Minor</t>
        </is>
      </c>
      <c r="F522" s="0" t="inlineStr">
        <is>
          <t>(4,</t>
        </is>
      </c>
      <c r="G522" s="0" t="inlineStr">
        <is>
          <t>4)</t>
        </is>
      </c>
      <c r="K522" s="0">
        <f>IF(H521="1)",1,IF(H521="2)",2,IF(H521="3)",3,IF(H521="4)",4,IF(H521="5)",5,IF(H521="6)",6,IF(H521="7)",7,IF(H521="8)",8,0))))))))</f>
        <v/>
      </c>
      <c r="L522" s="0">
        <f>IF(H521="1)",J521,IF(H521="2)",J521,IF(H521="3)",J521,IF(H521="4)",J521,IF(H521="5)",J521,IF(H521="6)",J521,IF(H521="7)",J521,IF(H521="8)",J521,0))))))))</f>
        <v/>
      </c>
    </row>
    <row r="523">
      <c r="A523" s="0" t="inlineStr">
        <is>
          <t>New</t>
        </is>
      </c>
      <c r="B523" s="0" t="inlineStr">
        <is>
          <t>Item</t>
        </is>
      </c>
      <c r="C523" s="0" t="inlineStr">
        <is>
          <t>Acquired</t>
        </is>
      </c>
      <c r="D523" s="0" t="inlineStr">
        <is>
          <t>:</t>
        </is>
      </c>
      <c r="E523" s="0" t="inlineStr">
        <is>
          <t>45.00K</t>
        </is>
      </c>
      <c r="F523" s="0" t="inlineStr">
        <is>
          <t>(3,</t>
        </is>
      </c>
      <c r="G523" s="0" t="inlineStr">
        <is>
          <t>15)</t>
        </is>
      </c>
      <c r="K523" s="0">
        <f>IF(H522="1)",1,IF(H522="2)",2,IF(H522="3)",3,IF(H522="4)",4,IF(H522="5)",5,IF(H522="6)",6,IF(H522="7)",7,IF(H522="8)",8,0))))))))</f>
        <v/>
      </c>
      <c r="L523" s="0">
        <f>IF(H522="1)",J522,IF(H522="2)",J522,IF(H522="3)",J522,IF(H522="4)",J522,IF(H522="5)",J522,IF(H522="6)",J522,IF(H522="7)",J522,IF(H522="8)",J522,0))))))))</f>
        <v/>
      </c>
    </row>
    <row r="524">
      <c r="A524" s="0" t="inlineStr">
        <is>
          <t>Item</t>
        </is>
      </c>
      <c r="B524" s="0" t="inlineStr">
        <is>
          <t>ReSelect</t>
        </is>
      </c>
      <c r="C524" s="0" t="inlineStr">
        <is>
          <t>Failed</t>
        </is>
      </c>
      <c r="D524" s="0" t="inlineStr">
        <is>
          <t>:</t>
        </is>
      </c>
      <c r="E524" s="0" t="inlineStr">
        <is>
          <t>Attempt</t>
        </is>
      </c>
      <c r="F524" s="0" t="inlineStr">
        <is>
          <t>Count</t>
        </is>
      </c>
      <c r="G524" s="0" t="inlineStr">
        <is>
          <t>-</t>
        </is>
      </c>
      <c r="H524" s="0" t="n">
        <v>3</v>
      </c>
      <c r="K524" s="0">
        <f>IF(H523="1)",1,IF(H523="2)",2,IF(H523="3)",3,IF(H523="4)",4,IF(H523="5)",5,IF(H523="6)",6,IF(H523="7)",7,IF(H523="8)",8,0))))))))</f>
        <v/>
      </c>
      <c r="L524" s="0">
        <f>IF(H523="1)",J523,IF(H523="2)",J523,IF(H523="3)",J523,IF(H523="4)",J523,IF(H523="5)",J523,IF(H523="6)",J523,IF(H523="7)",J523,IF(H523="8)",J523,0))))))))</f>
        <v/>
      </c>
    </row>
    <row r="525">
      <c r="A525" s="0" t="inlineStr">
        <is>
          <t>New</t>
        </is>
      </c>
      <c r="B525" s="0" t="inlineStr">
        <is>
          <t>Item</t>
        </is>
      </c>
      <c r="C525" s="0" t="inlineStr">
        <is>
          <t>Acquired</t>
        </is>
      </c>
      <c r="D525" s="0" t="inlineStr">
        <is>
          <t>:</t>
        </is>
      </c>
      <c r="E525" s="0" t="inlineStr">
        <is>
          <t>90.00K</t>
        </is>
      </c>
      <c r="F525" s="0" t="inlineStr">
        <is>
          <t>(7,</t>
        </is>
      </c>
      <c r="G525" s="0" t="inlineStr">
        <is>
          <t>17)</t>
        </is>
      </c>
      <c r="K525" s="0">
        <f>IF(H524="1)",1,IF(H524="2)",2,IF(H524="3)",3,IF(H524="4)",4,IF(H524="5)",5,IF(H524="6)",6,IF(H524="7)",7,IF(H524="8)",8,0))))))))</f>
        <v/>
      </c>
      <c r="L525" s="0">
        <f>IF(H524="1)",J524,IF(H524="2)",J524,IF(H524="3)",J524,IF(H524="4)",J524,IF(H524="5)",J524,IF(H524="6)",J524,IF(H524="7)",J524,IF(H524="8)",J524,0))))))))</f>
        <v/>
      </c>
    </row>
    <row r="526">
      <c r="A526" s="0" t="inlineStr">
        <is>
          <t>New</t>
        </is>
      </c>
      <c r="B526" s="0" t="inlineStr">
        <is>
          <t>Item</t>
        </is>
      </c>
      <c r="C526" s="0" t="inlineStr">
        <is>
          <t>Acquired</t>
        </is>
      </c>
      <c r="D526" s="0" t="inlineStr">
        <is>
          <t>:</t>
        </is>
      </c>
      <c r="E526" s="0" t="inlineStr">
        <is>
          <t>30.00K</t>
        </is>
      </c>
      <c r="F526" s="0" t="inlineStr">
        <is>
          <t>(1,</t>
        </is>
      </c>
      <c r="G526" s="0" t="inlineStr">
        <is>
          <t>25)</t>
        </is>
      </c>
      <c r="K526" s="0">
        <f>IF(H525="1)",1,IF(H525="2)",2,IF(H525="3)",3,IF(H525="4)",4,IF(H525="5)",5,IF(H525="6)",6,IF(H525="7)",7,IF(H525="8)",8,0))))))))</f>
        <v/>
      </c>
      <c r="L526" s="0">
        <f>IF(H525="1)",J525,IF(H525="2)",J525,IF(H525="3)",J525,IF(H525="4)",J525,IF(H525="5)",J525,IF(H525="6)",J525,IF(H525="7)",J525,IF(H525="8)",J525,0))))))))</f>
        <v/>
      </c>
    </row>
    <row r="527">
      <c r="A527" s="0" t="inlineStr">
        <is>
          <t>New</t>
        </is>
      </c>
      <c r="B527" s="0" t="inlineStr">
        <is>
          <t>Item</t>
        </is>
      </c>
      <c r="C527" s="0" t="inlineStr">
        <is>
          <t>Acquired</t>
        </is>
      </c>
      <c r="D527" s="0" t="inlineStr">
        <is>
          <t>:</t>
        </is>
      </c>
      <c r="E527" s="0" t="inlineStr">
        <is>
          <t>30.00K</t>
        </is>
      </c>
      <c r="F527" s="0" t="inlineStr">
        <is>
          <t>(1,</t>
        </is>
      </c>
      <c r="G527" s="0" t="inlineStr">
        <is>
          <t>14)</t>
        </is>
      </c>
      <c r="K527" s="0">
        <f>IF(H526="1)",1,IF(H526="2)",2,IF(H526="3)",3,IF(H526="4)",4,IF(H526="5)",5,IF(H526="6)",6,IF(H526="7)",7,IF(H526="8)",8,0))))))))</f>
        <v/>
      </c>
      <c r="L527" s="0">
        <f>IF(H526="1)",J526,IF(H526="2)",J526,IF(H526="3)",J526,IF(H526="4)",J526,IF(H526="5)",J526,IF(H526="6)",J526,IF(H526="7)",J526,IF(H526="8)",J526,0))))))))</f>
        <v/>
      </c>
    </row>
    <row r="528">
      <c r="A528" s="0" t="inlineStr">
        <is>
          <t>New</t>
        </is>
      </c>
      <c r="B528" s="0" t="inlineStr">
        <is>
          <t>Item</t>
        </is>
      </c>
      <c r="C528" s="0" t="inlineStr">
        <is>
          <t>Acquired</t>
        </is>
      </c>
      <c r="D528" s="0" t="inlineStr">
        <is>
          <t>:</t>
        </is>
      </c>
      <c r="E528" s="0" t="inlineStr">
        <is>
          <t>30.00K</t>
        </is>
      </c>
      <c r="F528" s="0" t="inlineStr">
        <is>
          <t>(1,</t>
        </is>
      </c>
      <c r="G528" s="0" t="inlineStr">
        <is>
          <t>24)</t>
        </is>
      </c>
      <c r="K528" s="0">
        <f>IF(H527="1)",1,IF(H527="2)",2,IF(H527="3)",3,IF(H527="4)",4,IF(H527="5)",5,IF(H527="6)",6,IF(H527="7)",7,IF(H527="8)",8,0))))))))</f>
        <v/>
      </c>
      <c r="L528" s="0">
        <f>IF(H527="1)",J527,IF(H527="2)",J527,IF(H527="3)",J527,IF(H527="4)",J527,IF(H527="5)",J527,IF(H527="6)",J527,IF(H527="7)",J527,IF(H527="8)",J527,0))))))))</f>
        <v/>
      </c>
    </row>
    <row r="529">
      <c r="A529" s="0" t="inlineStr">
        <is>
          <t>Line</t>
        </is>
      </c>
      <c r="B529" s="0" t="inlineStr">
        <is>
          <t>Prize</t>
        </is>
      </c>
      <c r="C529" s="0" t="inlineStr">
        <is>
          <t>Acquired</t>
        </is>
      </c>
      <c r="D529" s="0" t="inlineStr">
        <is>
          <t>:</t>
        </is>
      </c>
      <c r="E529" s="0" t="inlineStr">
        <is>
          <t>1.29M</t>
        </is>
      </c>
      <c r="F529" s="0" t="inlineStr">
        <is>
          <t>(Stage</t>
        </is>
      </c>
      <c r="G529" s="0" t="inlineStr">
        <is>
          <t>:</t>
        </is>
      </c>
      <c r="H529" s="0" t="inlineStr">
        <is>
          <t>1)</t>
        </is>
      </c>
      <c r="I529" s="0" t="inlineStr">
        <is>
          <t>-</t>
        </is>
      </c>
      <c r="J529" s="0" t="n">
        <v>1290000</v>
      </c>
      <c r="K529" s="0">
        <f>IF(H528="1)",1,IF(H528="2)",2,IF(H528="3)",3,IF(H528="4)",4,IF(H528="5)",5,IF(H528="6)",6,IF(H528="7)",7,IF(H528="8)",8,0))))))))</f>
        <v/>
      </c>
      <c r="L529" s="0">
        <f>IF(H528="1)",J528,IF(H528="2)",J528,IF(H528="3)",J528,IF(H528="4)",J528,IF(H528="5)",J528,IF(H528="6)",J528,IF(H528="7)",J528,IF(H528="8)",J528,0))))))))</f>
        <v/>
      </c>
    </row>
    <row r="530">
      <c r="A530" s="0" t="inlineStr">
        <is>
          <t>Clear</t>
        </is>
      </c>
      <c r="B530" s="0" t="inlineStr">
        <is>
          <t>Gem</t>
        </is>
      </c>
      <c r="C530" s="0" t="inlineStr">
        <is>
          <t>Acquired</t>
        </is>
      </c>
      <c r="D530" s="0" t="inlineStr">
        <is>
          <t>:</t>
        </is>
      </c>
      <c r="E530" s="0" t="n">
        <v>2900</v>
      </c>
      <c r="F530" s="0" t="inlineStr">
        <is>
          <t>-&gt;</t>
        </is>
      </c>
      <c r="G530" s="0" t="n">
        <v>3000</v>
      </c>
      <c r="H530" s="0" t="inlineStr">
        <is>
          <t>(Stage</t>
        </is>
      </c>
      <c r="I530" s="0" t="inlineStr">
        <is>
          <t>:</t>
        </is>
      </c>
      <c r="J530" s="0" t="inlineStr">
        <is>
          <t>1)</t>
        </is>
      </c>
      <c r="K530" s="0">
        <f>IF(H529="1)",1,IF(H529="2)",2,IF(H529="3)",3,IF(H529="4)",4,IF(H529="5)",5,IF(H529="6)",6,IF(H529="7)",7,IF(H529="8)",8,0))))))))</f>
        <v/>
      </c>
      <c r="L530" s="0">
        <f>IF(H529="1)",J529,IF(H529="2)",J529,IF(H529="3)",J529,IF(H529="4)",J529,IF(H529="5)",J529,IF(H529="6)",J529,IF(H529="7)",J529,IF(H529="8)",J529,0))))))))</f>
        <v/>
      </c>
    </row>
    <row r="531">
      <c r="A531" s="0" t="inlineStr">
        <is>
          <t>New</t>
        </is>
      </c>
      <c r="B531" s="0" t="inlineStr">
        <is>
          <t>Item</t>
        </is>
      </c>
      <c r="C531" s="0" t="inlineStr">
        <is>
          <t>Acquired</t>
        </is>
      </c>
      <c r="D531" s="0" t="inlineStr">
        <is>
          <t>:</t>
        </is>
      </c>
      <c r="E531" s="0" t="inlineStr">
        <is>
          <t>Mini</t>
        </is>
      </c>
      <c r="F531" s="0" t="inlineStr">
        <is>
          <t>(4,</t>
        </is>
      </c>
      <c r="G531" s="0" t="inlineStr">
        <is>
          <t>21)</t>
        </is>
      </c>
      <c r="K531" s="0">
        <f>IF(H530="1)",1,IF(H530="2)",2,IF(H530="3)",3,IF(H530="4)",4,IF(H530="5)",5,IF(H530="6)",6,IF(H530="7)",7,IF(H530="8)",8,0))))))))</f>
        <v/>
      </c>
      <c r="L531" s="0">
        <f>IF(H530="1)",J530,IF(H530="2)",J530,IF(H530="3)",J530,IF(H530="4)",J530,IF(H530="5)",J530,IF(H530="6)",J530,IF(H530="7)",J530,IF(H530="8)",J530,0))))))))</f>
        <v/>
      </c>
    </row>
    <row r="532">
      <c r="A532" s="0" t="inlineStr">
        <is>
          <t>New</t>
        </is>
      </c>
      <c r="B532" s="0" t="inlineStr">
        <is>
          <t>Item</t>
        </is>
      </c>
      <c r="C532" s="0" t="inlineStr">
        <is>
          <t>Acquired</t>
        </is>
      </c>
      <c r="D532" s="0" t="inlineStr">
        <is>
          <t>:</t>
        </is>
      </c>
      <c r="E532" s="0" t="inlineStr">
        <is>
          <t>210.00K</t>
        </is>
      </c>
      <c r="F532" s="0" t="inlineStr">
        <is>
          <t>(7,</t>
        </is>
      </c>
      <c r="G532" s="0" t="inlineStr">
        <is>
          <t>21)</t>
        </is>
      </c>
      <c r="K532" s="0">
        <f>IF(H531="1)",1,IF(H531="2)",2,IF(H531="3)",3,IF(H531="4)",4,IF(H531="5)",5,IF(H531="6)",6,IF(H531="7)",7,IF(H531="8)",8,0))))))))</f>
        <v/>
      </c>
      <c r="L532" s="0">
        <f>IF(H531="1)",J531,IF(H531="2)",J531,IF(H531="3)",J531,IF(H531="4)",J531,IF(H531="5)",J531,IF(H531="6)",J531,IF(H531="7)",J531,IF(H531="8)",J531,0))))))))</f>
        <v/>
      </c>
    </row>
    <row r="533">
      <c r="A533" s="0" t="inlineStr">
        <is>
          <t>New</t>
        </is>
      </c>
      <c r="B533" s="0" t="inlineStr">
        <is>
          <t>Item</t>
        </is>
      </c>
      <c r="C533" s="0" t="inlineStr">
        <is>
          <t>Acquired</t>
        </is>
      </c>
      <c r="D533" s="0" t="inlineStr">
        <is>
          <t>:</t>
        </is>
      </c>
      <c r="E533" s="0" t="inlineStr">
        <is>
          <t>Minor</t>
        </is>
      </c>
      <c r="F533" s="0" t="inlineStr">
        <is>
          <t>(3,</t>
        </is>
      </c>
      <c r="G533" s="0" t="inlineStr">
        <is>
          <t>10)</t>
        </is>
      </c>
      <c r="K533" s="0">
        <f>IF(H532="1)",1,IF(H532="2)",2,IF(H532="3)",3,IF(H532="4)",4,IF(H532="5)",5,IF(H532="6)",6,IF(H532="7)",7,IF(H532="8)",8,0))))))))</f>
        <v/>
      </c>
      <c r="L533" s="0">
        <f>IF(H532="1)",J532,IF(H532="2)",J532,IF(H532="3)",J532,IF(H532="4)",J532,IF(H532="5)",J532,IF(H532="6)",J532,IF(H532="7)",J532,IF(H532="8)",J532,0))))))))</f>
        <v/>
      </c>
    </row>
    <row r="534">
      <c r="A534" s="0" t="inlineStr">
        <is>
          <t>New</t>
        </is>
      </c>
      <c r="B534" s="0" t="inlineStr">
        <is>
          <t>Item</t>
        </is>
      </c>
      <c r="C534" s="0" t="inlineStr">
        <is>
          <t>Acquired</t>
        </is>
      </c>
      <c r="D534" s="0" t="inlineStr">
        <is>
          <t>:</t>
        </is>
      </c>
      <c r="E534" s="0" t="inlineStr">
        <is>
          <t>62.50K</t>
        </is>
      </c>
      <c r="F534" s="0" t="inlineStr">
        <is>
          <t>(2,</t>
        </is>
      </c>
      <c r="G534" s="0" t="inlineStr">
        <is>
          <t>15)</t>
        </is>
      </c>
      <c r="K534" s="0">
        <f>IF(H533="1)",1,IF(H533="2)",2,IF(H533="3)",3,IF(H533="4)",4,IF(H533="5)",5,IF(H533="6)",6,IF(H533="7)",7,IF(H533="8)",8,0))))))))</f>
        <v/>
      </c>
      <c r="L534" s="0">
        <f>IF(H533="1)",J533,IF(H533="2)",J533,IF(H533="3)",J533,IF(H533="4)",J533,IF(H533="5)",J533,IF(H533="6)",J533,IF(H533="7)",J533,IF(H533="8)",J533,0))))))))</f>
        <v/>
      </c>
    </row>
    <row r="535">
      <c r="A535" s="0" t="inlineStr">
        <is>
          <t>New</t>
        </is>
      </c>
      <c r="B535" s="0" t="inlineStr">
        <is>
          <t>Item</t>
        </is>
      </c>
      <c r="C535" s="0" t="inlineStr">
        <is>
          <t>Acquired</t>
        </is>
      </c>
      <c r="D535" s="0" t="inlineStr">
        <is>
          <t>:</t>
        </is>
      </c>
      <c r="E535" s="0" t="inlineStr">
        <is>
          <t>70.00K</t>
        </is>
      </c>
      <c r="F535" s="0" t="inlineStr">
        <is>
          <t>(1,</t>
        </is>
      </c>
      <c r="G535" s="0" t="inlineStr">
        <is>
          <t>2)</t>
        </is>
      </c>
      <c r="K535" s="0">
        <f>IF(H534="1)",1,IF(H534="2)",2,IF(H534="3)",3,IF(H534="4)",4,IF(H534="5)",5,IF(H534="6)",6,IF(H534="7)",7,IF(H534="8)",8,0))))))))</f>
        <v/>
      </c>
      <c r="L535" s="0">
        <f>IF(H534="1)",J534,IF(H534="2)",J534,IF(H534="3)",J534,IF(H534="4)",J534,IF(H534="5)",J534,IF(H534="6)",J534,IF(H534="7)",J534,IF(H534="8)",J534,0))))))))</f>
        <v/>
      </c>
    </row>
    <row r="536">
      <c r="A536" s="0" t="inlineStr">
        <is>
          <t>New</t>
        </is>
      </c>
      <c r="B536" s="0" t="inlineStr">
        <is>
          <t>Item</t>
        </is>
      </c>
      <c r="C536" s="0" t="inlineStr">
        <is>
          <t>Acquired</t>
        </is>
      </c>
      <c r="D536" s="0" t="inlineStr">
        <is>
          <t>:</t>
        </is>
      </c>
      <c r="E536" s="0" t="inlineStr">
        <is>
          <t>45.00K</t>
        </is>
      </c>
      <c r="F536" s="0" t="inlineStr">
        <is>
          <t>(3,</t>
        </is>
      </c>
      <c r="G536" s="0" t="inlineStr">
        <is>
          <t>11)</t>
        </is>
      </c>
      <c r="K536" s="0">
        <f>IF(H535="1)",1,IF(H535="2)",2,IF(H535="3)",3,IF(H535="4)",4,IF(H535="5)",5,IF(H535="6)",6,IF(H535="7)",7,IF(H535="8)",8,0))))))))</f>
        <v/>
      </c>
      <c r="L536" s="0">
        <f>IF(H535="1)",J535,IF(H535="2)",J535,IF(H535="3)",J535,IF(H535="4)",J535,IF(H535="5)",J535,IF(H535="6)",J535,IF(H535="7)",J535,IF(H535="8)",J535,0))))))))</f>
        <v/>
      </c>
    </row>
    <row r="537">
      <c r="A537" s="0" t="inlineStr">
        <is>
          <t>New</t>
        </is>
      </c>
      <c r="B537" s="0" t="inlineStr">
        <is>
          <t>Item</t>
        </is>
      </c>
      <c r="C537" s="0" t="inlineStr">
        <is>
          <t>Acquired</t>
        </is>
      </c>
      <c r="D537" s="0" t="inlineStr">
        <is>
          <t>:</t>
        </is>
      </c>
      <c r="E537" s="0" t="inlineStr">
        <is>
          <t>210.00K</t>
        </is>
      </c>
      <c r="F537" s="0" t="inlineStr">
        <is>
          <t>(7,</t>
        </is>
      </c>
      <c r="G537" s="0" t="inlineStr">
        <is>
          <t>1)</t>
        </is>
      </c>
      <c r="K537" s="0">
        <f>IF(H536="1)",1,IF(H536="2)",2,IF(H536="3)",3,IF(H536="4)",4,IF(H536="5)",5,IF(H536="6)",6,IF(H536="7)",7,IF(H536="8)",8,0))))))))</f>
        <v/>
      </c>
      <c r="L537" s="0">
        <f>IF(H536="1)",J536,IF(H536="2)",J536,IF(H536="3)",J536,IF(H536="4)",J536,IF(H536="5)",J536,IF(H536="6)",J536,IF(H536="7)",J536,IF(H536="8)",J536,0))))))))</f>
        <v/>
      </c>
    </row>
    <row r="538">
      <c r="A538" s="0" t="inlineStr">
        <is>
          <t>New</t>
        </is>
      </c>
      <c r="B538" s="0" t="inlineStr">
        <is>
          <t>Item</t>
        </is>
      </c>
      <c r="C538" s="0" t="inlineStr">
        <is>
          <t>Acquired</t>
        </is>
      </c>
      <c r="D538" s="0" t="inlineStr">
        <is>
          <t>:</t>
        </is>
      </c>
      <c r="E538" s="0" t="inlineStr">
        <is>
          <t>60.00K</t>
        </is>
      </c>
      <c r="F538" s="0" t="inlineStr">
        <is>
          <t>(4,</t>
        </is>
      </c>
      <c r="G538" s="0" t="inlineStr">
        <is>
          <t>12)</t>
        </is>
      </c>
      <c r="K538" s="0">
        <f>IF(H537="1)",1,IF(H537="2)",2,IF(H537="3)",3,IF(H537="4)",4,IF(H537="5)",5,IF(H537="6)",6,IF(H537="7)",7,IF(H537="8)",8,0))))))))</f>
        <v/>
      </c>
      <c r="L538" s="0">
        <f>IF(H537="1)",J537,IF(H537="2)",J537,IF(H537="3)",J537,IF(H537="4)",J537,IF(H537="5)",J537,IF(H537="6)",J537,IF(H537="7)",J537,IF(H537="8)",J537,0))))))))</f>
        <v/>
      </c>
    </row>
    <row r="539">
      <c r="A539" s="0" t="inlineStr">
        <is>
          <t>New</t>
        </is>
      </c>
      <c r="B539" s="0" t="inlineStr">
        <is>
          <t>Item</t>
        </is>
      </c>
      <c r="C539" s="0" t="inlineStr">
        <is>
          <t>Acquired</t>
        </is>
      </c>
      <c r="D539" s="0" t="inlineStr">
        <is>
          <t>:</t>
        </is>
      </c>
      <c r="E539" s="0" t="inlineStr">
        <is>
          <t>60.00K</t>
        </is>
      </c>
      <c r="F539" s="0" t="inlineStr">
        <is>
          <t>(4,</t>
        </is>
      </c>
      <c r="G539" s="0" t="inlineStr">
        <is>
          <t>5)</t>
        </is>
      </c>
      <c r="K539" s="0">
        <f>IF(H538="1)",1,IF(H538="2)",2,IF(H538="3)",3,IF(H538="4)",4,IF(H538="5)",5,IF(H538="6)",6,IF(H538="7)",7,IF(H538="8)",8,0))))))))</f>
        <v/>
      </c>
      <c r="L539" s="0">
        <f>IF(H538="1)",J538,IF(H538="2)",J538,IF(H538="3)",J538,IF(H538="4)",J538,IF(H538="5)",J538,IF(H538="6)",J538,IF(H538="7)",J538,IF(H538="8)",J538,0))))))))</f>
        <v/>
      </c>
    </row>
    <row r="540">
      <c r="A540" s="0" t="inlineStr">
        <is>
          <t>New</t>
        </is>
      </c>
      <c r="B540" s="0" t="inlineStr">
        <is>
          <t>Item</t>
        </is>
      </c>
      <c r="C540" s="0" t="inlineStr">
        <is>
          <t>Acquired</t>
        </is>
      </c>
      <c r="D540" s="0" t="inlineStr">
        <is>
          <t>:</t>
        </is>
      </c>
      <c r="E540" s="0" t="inlineStr">
        <is>
          <t>30.00K</t>
        </is>
      </c>
      <c r="F540" s="0" t="inlineStr">
        <is>
          <t>(1,</t>
        </is>
      </c>
      <c r="G540" s="0" t="inlineStr">
        <is>
          <t>10)</t>
        </is>
      </c>
      <c r="K540" s="0">
        <f>IF(H539="1)",1,IF(H539="2)",2,IF(H539="3)",3,IF(H539="4)",4,IF(H539="5)",5,IF(H539="6)",6,IF(H539="7)",7,IF(H539="8)",8,0))))))))</f>
        <v/>
      </c>
      <c r="L540" s="0">
        <f>IF(H539="1)",J539,IF(H539="2)",J539,IF(H539="3)",J539,IF(H539="4)",J539,IF(H539="5)",J539,IF(H539="6)",J539,IF(H539="7)",J539,IF(H539="8)",J539,0))))))))</f>
        <v/>
      </c>
    </row>
    <row r="541">
      <c r="A541" s="0" t="inlineStr">
        <is>
          <t>New</t>
        </is>
      </c>
      <c r="B541" s="0" t="inlineStr">
        <is>
          <t>Item</t>
        </is>
      </c>
      <c r="C541" s="0" t="inlineStr">
        <is>
          <t>Acquired</t>
        </is>
      </c>
      <c r="D541" s="0" t="inlineStr">
        <is>
          <t>:</t>
        </is>
      </c>
      <c r="E541" s="0" t="inlineStr">
        <is>
          <t>105.00K</t>
        </is>
      </c>
      <c r="F541" s="0" t="inlineStr">
        <is>
          <t>(4,</t>
        </is>
      </c>
      <c r="G541" s="0" t="inlineStr">
        <is>
          <t>25)</t>
        </is>
      </c>
      <c r="K541" s="0">
        <f>IF(H540="1)",1,IF(H540="2)",2,IF(H540="3)",3,IF(H540="4)",4,IF(H540="5)",5,IF(H540="6)",6,IF(H540="7)",7,IF(H540="8)",8,0))))))))</f>
        <v/>
      </c>
      <c r="L541" s="0">
        <f>IF(H540="1)",J540,IF(H540="2)",J540,IF(H540="3)",J540,IF(H540="4)",J540,IF(H540="5)",J540,IF(H540="6)",J540,IF(H540="7)",J540,IF(H540="8)",J540,0))))))))</f>
        <v/>
      </c>
    </row>
    <row r="542">
      <c r="A542" s="0" t="inlineStr">
        <is>
          <t>New</t>
        </is>
      </c>
      <c r="B542" s="0" t="inlineStr">
        <is>
          <t>Item</t>
        </is>
      </c>
      <c r="C542" s="0" t="inlineStr">
        <is>
          <t>Acquired</t>
        </is>
      </c>
      <c r="D542" s="0" t="inlineStr">
        <is>
          <t>:</t>
        </is>
      </c>
      <c r="E542" s="0" t="inlineStr">
        <is>
          <t>105.00K</t>
        </is>
      </c>
      <c r="F542" s="0" t="inlineStr">
        <is>
          <t>(4,</t>
        </is>
      </c>
      <c r="G542" s="0" t="inlineStr">
        <is>
          <t>8)</t>
        </is>
      </c>
      <c r="K542" s="0">
        <f>IF(H541="1)",1,IF(H541="2)",2,IF(H541="3)",3,IF(H541="4)",4,IF(H541="5)",5,IF(H541="6)",6,IF(H541="7)",7,IF(H541="8)",8,0))))))))</f>
        <v/>
      </c>
      <c r="L542" s="0">
        <f>IF(H541="1)",J541,IF(H541="2)",J541,IF(H541="3)",J541,IF(H541="4)",J541,IF(H541="5)",J541,IF(H541="6)",J541,IF(H541="7)",J541,IF(H541="8)",J541,0))))))))</f>
        <v/>
      </c>
    </row>
    <row r="543">
      <c r="A543" s="0" t="inlineStr">
        <is>
          <t>New</t>
        </is>
      </c>
      <c r="B543" s="0" t="inlineStr">
        <is>
          <t>Item</t>
        </is>
      </c>
      <c r="C543" s="0" t="inlineStr">
        <is>
          <t>Acquired</t>
        </is>
      </c>
      <c r="D543" s="0" t="inlineStr">
        <is>
          <t>:</t>
        </is>
      </c>
      <c r="E543" s="0" t="inlineStr">
        <is>
          <t>75.00K</t>
        </is>
      </c>
      <c r="F543" s="0" t="inlineStr">
        <is>
          <t>(3,</t>
        </is>
      </c>
      <c r="G543" s="0" t="inlineStr">
        <is>
          <t>20)</t>
        </is>
      </c>
      <c r="K543" s="0">
        <f>IF(H542="1)",1,IF(H542="2)",2,IF(H542="3)",3,IF(H542="4)",4,IF(H542="5)",5,IF(H542="6)",6,IF(H542="7)",7,IF(H542="8)",8,0))))))))</f>
        <v/>
      </c>
      <c r="L543" s="0">
        <f>IF(H542="1)",J542,IF(H542="2)",J542,IF(H542="3)",J542,IF(H542="4)",J542,IF(H542="5)",J542,IF(H542="6)",J542,IF(H542="7)",J542,IF(H542="8)",J542,0))))))))</f>
        <v/>
      </c>
    </row>
    <row r="544">
      <c r="A544" s="0" t="inlineStr">
        <is>
          <t>New</t>
        </is>
      </c>
      <c r="B544" s="0" t="inlineStr">
        <is>
          <t>Item</t>
        </is>
      </c>
      <c r="C544" s="0" t="inlineStr">
        <is>
          <t>Acquired</t>
        </is>
      </c>
      <c r="D544" s="0" t="inlineStr">
        <is>
          <t>:</t>
        </is>
      </c>
      <c r="E544" s="0" t="inlineStr">
        <is>
          <t>30.00K</t>
        </is>
      </c>
      <c r="F544" s="0" t="inlineStr">
        <is>
          <t>(1,</t>
        </is>
      </c>
      <c r="G544" s="0" t="inlineStr">
        <is>
          <t>25)</t>
        </is>
      </c>
      <c r="K544" s="0">
        <f>IF(H543="1)",1,IF(H543="2)",2,IF(H543="3)",3,IF(H543="4)",4,IF(H543="5)",5,IF(H543="6)",6,IF(H543="7)",7,IF(H543="8)",8,0))))))))</f>
        <v/>
      </c>
      <c r="L544" s="0">
        <f>IF(H543="1)",J543,IF(H543="2)",J543,IF(H543="3)",J543,IF(H543="4)",J543,IF(H543="5)",J543,IF(H543="6)",J543,IF(H543="7)",J543,IF(H543="8)",J543,0))))))))</f>
        <v/>
      </c>
    </row>
    <row r="545">
      <c r="A545" s="0" t="inlineStr">
        <is>
          <t>New</t>
        </is>
      </c>
      <c r="B545" s="0" t="inlineStr">
        <is>
          <t>Item</t>
        </is>
      </c>
      <c r="C545" s="0" t="inlineStr">
        <is>
          <t>Acquired</t>
        </is>
      </c>
      <c r="D545" s="0" t="inlineStr">
        <is>
          <t>:</t>
        </is>
      </c>
      <c r="E545" s="0" t="inlineStr">
        <is>
          <t>125.00K</t>
        </is>
      </c>
      <c r="F545" s="0" t="inlineStr">
        <is>
          <t>(6,</t>
        </is>
      </c>
      <c r="G545" s="0" t="inlineStr">
        <is>
          <t>10)</t>
        </is>
      </c>
      <c r="K545" s="0">
        <f>IF(H544="1)",1,IF(H544="2)",2,IF(H544="3)",3,IF(H544="4)",4,IF(H544="5)",5,IF(H544="6)",6,IF(H544="7)",7,IF(H544="8)",8,0))))))))</f>
        <v/>
      </c>
      <c r="L545" s="0">
        <f>IF(H544="1)",J544,IF(H544="2)",J544,IF(H544="3)",J544,IF(H544="4)",J544,IF(H544="5)",J544,IF(H544="6)",J544,IF(H544="7)",J544,IF(H544="8)",J544,0))))))))</f>
        <v/>
      </c>
    </row>
    <row r="546">
      <c r="A546" s="0" t="inlineStr">
        <is>
          <t>New</t>
        </is>
      </c>
      <c r="B546" s="0" t="inlineStr">
        <is>
          <t>Item</t>
        </is>
      </c>
      <c r="C546" s="0" t="inlineStr">
        <is>
          <t>Acquired</t>
        </is>
      </c>
      <c r="D546" s="0" t="inlineStr">
        <is>
          <t>:</t>
        </is>
      </c>
      <c r="E546" s="0" t="inlineStr">
        <is>
          <t>Mega</t>
        </is>
      </c>
      <c r="F546" s="0" t="inlineStr">
        <is>
          <t>(6,</t>
        </is>
      </c>
      <c r="G546" s="0" t="inlineStr">
        <is>
          <t>5)</t>
        </is>
      </c>
      <c r="K546" s="0">
        <f>IF(H545="1)",1,IF(H545="2)",2,IF(H545="3)",3,IF(H545="4)",4,IF(H545="5)",5,IF(H545="6)",6,IF(H545="7)",7,IF(H545="8)",8,0))))))))</f>
        <v/>
      </c>
      <c r="L546" s="0">
        <f>IF(H545="1)",J545,IF(H545="2)",J545,IF(H545="3)",J545,IF(H545="4)",J545,IF(H545="5)",J545,IF(H545="6)",J545,IF(H545="7)",J545,IF(H545="8)",J545,0))))))))</f>
        <v/>
      </c>
    </row>
    <row r="547">
      <c r="A547" s="0" t="inlineStr">
        <is>
          <t>New</t>
        </is>
      </c>
      <c r="B547" s="0" t="inlineStr">
        <is>
          <t>Item</t>
        </is>
      </c>
      <c r="C547" s="0" t="inlineStr">
        <is>
          <t>Acquired</t>
        </is>
      </c>
      <c r="D547" s="0" t="inlineStr">
        <is>
          <t>:</t>
        </is>
      </c>
      <c r="E547" s="0" t="inlineStr">
        <is>
          <t>105.00K</t>
        </is>
      </c>
      <c r="F547" s="0" t="inlineStr">
        <is>
          <t>(3,</t>
        </is>
      </c>
      <c r="G547" s="0" t="inlineStr">
        <is>
          <t>3)</t>
        </is>
      </c>
      <c r="K547" s="0">
        <f>IF(H546="1)",1,IF(H546="2)",2,IF(H546="3)",3,IF(H546="4)",4,IF(H546="5)",5,IF(H546="6)",6,IF(H546="7)",7,IF(H546="8)",8,0))))))))</f>
        <v/>
      </c>
      <c r="L547" s="0">
        <f>IF(H546="1)",J546,IF(H546="2)",J546,IF(H546="3)",J546,IF(H546="4)",J546,IF(H546="5)",J546,IF(H546="6)",J546,IF(H546="7)",J546,IF(H546="8)",J546,0))))))))</f>
        <v/>
      </c>
    </row>
    <row r="548">
      <c r="A548" s="0" t="inlineStr">
        <is>
          <t>New</t>
        </is>
      </c>
      <c r="B548" s="0" t="inlineStr">
        <is>
          <t>Item</t>
        </is>
      </c>
      <c r="C548" s="0" t="inlineStr">
        <is>
          <t>Acquired</t>
        </is>
      </c>
      <c r="D548" s="0" t="inlineStr">
        <is>
          <t>:</t>
        </is>
      </c>
      <c r="E548" s="0" t="inlineStr">
        <is>
          <t>62.50K</t>
        </is>
      </c>
      <c r="F548" s="0" t="inlineStr">
        <is>
          <t>(2,</t>
        </is>
      </c>
      <c r="G548" s="0" t="inlineStr">
        <is>
          <t>14)</t>
        </is>
      </c>
      <c r="K548" s="0">
        <f>IF(H547="1)",1,IF(H547="2)",2,IF(H547="3)",3,IF(H547="4)",4,IF(H547="5)",5,IF(H547="6)",6,IF(H547="7)",7,IF(H547="8)",8,0))))))))</f>
        <v/>
      </c>
      <c r="L548" s="0">
        <f>IF(H547="1)",J547,IF(H547="2)",J547,IF(H547="3)",J547,IF(H547="4)",J547,IF(H547="5)",J547,IF(H547="6)",J547,IF(H547="7)",J547,IF(H547="8)",J547,0))))))))</f>
        <v/>
      </c>
    </row>
    <row r="549">
      <c r="A549" s="0" t="inlineStr">
        <is>
          <t>New</t>
        </is>
      </c>
      <c r="B549" s="0" t="inlineStr">
        <is>
          <t>Item</t>
        </is>
      </c>
      <c r="C549" s="0" t="inlineStr">
        <is>
          <t>Acquired</t>
        </is>
      </c>
      <c r="D549" s="0" t="inlineStr">
        <is>
          <t>:</t>
        </is>
      </c>
      <c r="E549" s="0" t="inlineStr">
        <is>
          <t>125.00K</t>
        </is>
      </c>
      <c r="F549" s="0" t="inlineStr">
        <is>
          <t>(6,</t>
        </is>
      </c>
      <c r="G549" s="0" t="inlineStr">
        <is>
          <t>19)</t>
        </is>
      </c>
      <c r="K549" s="0">
        <f>IF(H548="1)",1,IF(H548="2)",2,IF(H548="3)",3,IF(H548="4)",4,IF(H548="5)",5,IF(H548="6)",6,IF(H548="7)",7,IF(H548="8)",8,0))))))))</f>
        <v/>
      </c>
      <c r="L549" s="0">
        <f>IF(H548="1)",J548,IF(H548="2)",J548,IF(H548="3)",J548,IF(H548="4)",J548,IF(H548="5)",J548,IF(H548="6)",J548,IF(H548="7)",J548,IF(H548="8)",J548,0))))))))</f>
        <v/>
      </c>
    </row>
    <row r="550">
      <c r="A550" s="0" t="inlineStr">
        <is>
          <t>New</t>
        </is>
      </c>
      <c r="B550" s="0" t="inlineStr">
        <is>
          <t>Item</t>
        </is>
      </c>
      <c r="C550" s="0" t="inlineStr">
        <is>
          <t>Acquired</t>
        </is>
      </c>
      <c r="D550" s="0" t="inlineStr">
        <is>
          <t>:</t>
        </is>
      </c>
      <c r="E550" s="0" t="inlineStr">
        <is>
          <t>105.00K</t>
        </is>
      </c>
      <c r="F550" s="0" t="inlineStr">
        <is>
          <t>(3,</t>
        </is>
      </c>
      <c r="G550" s="0" t="inlineStr">
        <is>
          <t>21)</t>
        </is>
      </c>
      <c r="K550" s="0">
        <f>IF(H549="1)",1,IF(H549="2)",2,IF(H549="3)",3,IF(H549="4)",4,IF(H549="5)",5,IF(H549="6)",6,IF(H549="7)",7,IF(H549="8)",8,0))))))))</f>
        <v/>
      </c>
      <c r="L550" s="0">
        <f>IF(H549="1)",J549,IF(H549="2)",J549,IF(H549="3)",J549,IF(H549="4)",J549,IF(H549="5)",J549,IF(H549="6)",J549,IF(H549="7)",J549,IF(H549="8)",J549,0))))))))</f>
        <v/>
      </c>
    </row>
    <row r="551">
      <c r="A551" s="0" t="inlineStr">
        <is>
          <t>New</t>
        </is>
      </c>
      <c r="B551" s="0" t="inlineStr">
        <is>
          <t>Item</t>
        </is>
      </c>
      <c r="C551" s="0" t="inlineStr">
        <is>
          <t>Acquired</t>
        </is>
      </c>
      <c r="D551" s="0" t="inlineStr">
        <is>
          <t>:</t>
        </is>
      </c>
      <c r="E551" s="0" t="inlineStr">
        <is>
          <t>30.00K</t>
        </is>
      </c>
      <c r="F551" s="0" t="inlineStr">
        <is>
          <t>(1,</t>
        </is>
      </c>
      <c r="G551" s="0" t="inlineStr">
        <is>
          <t>3)</t>
        </is>
      </c>
      <c r="K551" s="0">
        <f>IF(H550="1)",1,IF(H550="2)",2,IF(H550="3)",3,IF(H550="4)",4,IF(H550="5)",5,IF(H550="6)",6,IF(H550="7)",7,IF(H550="8)",8,0))))))))</f>
        <v/>
      </c>
      <c r="L551" s="0">
        <f>IF(H550="1)",J550,IF(H550="2)",J550,IF(H550="3)",J550,IF(H550="4)",J550,IF(H550="5)",J550,IF(H550="6)",J550,IF(H550="7)",J550,IF(H550="8)",J550,0))))))))</f>
        <v/>
      </c>
    </row>
    <row r="552">
      <c r="A552" s="0" t="inlineStr">
        <is>
          <t>New</t>
        </is>
      </c>
      <c r="B552" s="0" t="inlineStr">
        <is>
          <t>Item</t>
        </is>
      </c>
      <c r="C552" s="0" t="inlineStr">
        <is>
          <t>Acquired</t>
        </is>
      </c>
      <c r="D552" s="0" t="inlineStr">
        <is>
          <t>:</t>
        </is>
      </c>
      <c r="E552" s="0" t="inlineStr">
        <is>
          <t>Mini</t>
        </is>
      </c>
      <c r="F552" s="0" t="inlineStr">
        <is>
          <t>(4,</t>
        </is>
      </c>
      <c r="G552" s="0" t="inlineStr">
        <is>
          <t>1)</t>
        </is>
      </c>
      <c r="K552" s="0">
        <f>IF(H551="1)",1,IF(H551="2)",2,IF(H551="3)",3,IF(H551="4)",4,IF(H551="5)",5,IF(H551="6)",6,IF(H551="7)",7,IF(H551="8)",8,0))))))))</f>
        <v/>
      </c>
      <c r="L552" s="0">
        <f>IF(H551="1)",J551,IF(H551="2)",J551,IF(H551="3)",J551,IF(H551="4)",J551,IF(H551="5)",J551,IF(H551="6)",J551,IF(H551="7)",J551,IF(H551="8)",J551,0))))))))</f>
        <v/>
      </c>
    </row>
    <row r="553">
      <c r="A553" s="0" t="inlineStr">
        <is>
          <t>New</t>
        </is>
      </c>
      <c r="B553" s="0" t="inlineStr">
        <is>
          <t>Item</t>
        </is>
      </c>
      <c r="C553" s="0" t="inlineStr">
        <is>
          <t>Acquired</t>
        </is>
      </c>
      <c r="D553" s="0" t="inlineStr">
        <is>
          <t>:</t>
        </is>
      </c>
      <c r="E553" s="0" t="inlineStr">
        <is>
          <t>90.00K</t>
        </is>
      </c>
      <c r="F553" s="0" t="inlineStr">
        <is>
          <t>(7,</t>
        </is>
      </c>
      <c r="G553" s="0" t="inlineStr">
        <is>
          <t>18)</t>
        </is>
      </c>
      <c r="K553" s="0">
        <f>IF(H552="1)",1,IF(H552="2)",2,IF(H552="3)",3,IF(H552="4)",4,IF(H552="5)",5,IF(H552="6)",6,IF(H552="7)",7,IF(H552="8)",8,0))))))))</f>
        <v/>
      </c>
      <c r="L553" s="0">
        <f>IF(H552="1)",J552,IF(H552="2)",J552,IF(H552="3)",J552,IF(H552="4)",J552,IF(H552="5)",J552,IF(H552="6)",J552,IF(H552="7)",J552,IF(H552="8)",J552,0))))))))</f>
        <v/>
      </c>
    </row>
    <row r="554">
      <c r="A554" s="0" t="inlineStr">
        <is>
          <t>Line</t>
        </is>
      </c>
      <c r="B554" s="0" t="inlineStr">
        <is>
          <t>Prize</t>
        </is>
      </c>
      <c r="C554" s="0" t="inlineStr">
        <is>
          <t>Acquired</t>
        </is>
      </c>
      <c r="D554" s="0" t="inlineStr">
        <is>
          <t>:</t>
        </is>
      </c>
      <c r="E554" s="0" t="inlineStr">
        <is>
          <t>450.00K</t>
        </is>
      </c>
      <c r="F554" s="0" t="inlineStr">
        <is>
          <t>(Stage</t>
        </is>
      </c>
      <c r="G554" s="0" t="inlineStr">
        <is>
          <t>:</t>
        </is>
      </c>
      <c r="H554" s="0" t="inlineStr">
        <is>
          <t>7)</t>
        </is>
      </c>
      <c r="I554" s="0" t="inlineStr">
        <is>
          <t>-</t>
        </is>
      </c>
      <c r="J554" s="0" t="n">
        <v>450000</v>
      </c>
      <c r="K554" s="0">
        <f>IF(H553="1)",1,IF(H553="2)",2,IF(H553="3)",3,IF(H553="4)",4,IF(H553="5)",5,IF(H553="6)",6,IF(H553="7)",7,IF(H553="8)",8,0))))))))</f>
        <v/>
      </c>
      <c r="L554" s="0">
        <f>IF(H553="1)",J553,IF(H553="2)",J553,IF(H553="3)",J553,IF(H553="4)",J553,IF(H553="5)",J553,IF(H553="6)",J553,IF(H553="7)",J553,IF(H553="8)",J553,0))))))))</f>
        <v/>
      </c>
    </row>
    <row r="555">
      <c r="A555" s="0" t="inlineStr">
        <is>
          <t>Clear</t>
        </is>
      </c>
      <c r="B555" s="0" t="inlineStr">
        <is>
          <t>Gem</t>
        </is>
      </c>
      <c r="C555" s="0" t="inlineStr">
        <is>
          <t>Acquired</t>
        </is>
      </c>
      <c r="D555" s="0" t="inlineStr">
        <is>
          <t>:</t>
        </is>
      </c>
      <c r="E555" s="0" t="n">
        <v>3000</v>
      </c>
      <c r="F555" s="0" t="inlineStr">
        <is>
          <t>-&gt;</t>
        </is>
      </c>
      <c r="G555" s="0" t="n">
        <v>3100</v>
      </c>
      <c r="H555" s="0" t="inlineStr">
        <is>
          <t>(Stage</t>
        </is>
      </c>
      <c r="I555" s="0" t="inlineStr">
        <is>
          <t>:</t>
        </is>
      </c>
      <c r="J555" s="0" t="inlineStr">
        <is>
          <t>7)</t>
        </is>
      </c>
      <c r="K555" s="0">
        <f>IF(H554="1)",1,IF(H554="2)",2,IF(H554="3)",3,IF(H554="4)",4,IF(H554="5)",5,IF(H554="6)",6,IF(H554="7)",7,IF(H554="8)",8,0))))))))</f>
        <v/>
      </c>
      <c r="L555" s="0">
        <f>IF(H554="1)",J554,IF(H554="2)",J554,IF(H554="3)",J554,IF(H554="4)",J554,IF(H554="5)",J554,IF(H554="6)",J554,IF(H554="7)",J554,IF(H554="8)",J554,0))))))))</f>
        <v/>
      </c>
    </row>
    <row r="556">
      <c r="A556" s="0" t="inlineStr">
        <is>
          <t>New</t>
        </is>
      </c>
      <c r="B556" s="0" t="inlineStr">
        <is>
          <t>Item</t>
        </is>
      </c>
      <c r="C556" s="0" t="inlineStr">
        <is>
          <t>Acquired</t>
        </is>
      </c>
      <c r="D556" s="0" t="inlineStr">
        <is>
          <t>:</t>
        </is>
      </c>
      <c r="E556" s="0" t="inlineStr">
        <is>
          <t>50.00K</t>
        </is>
      </c>
      <c r="F556" s="0" t="inlineStr">
        <is>
          <t>(1,</t>
        </is>
      </c>
      <c r="G556" s="0" t="inlineStr">
        <is>
          <t>9)</t>
        </is>
      </c>
      <c r="K556" s="0">
        <f>IF(H555="1)",1,IF(H555="2)",2,IF(H555="3)",3,IF(H555="4)",4,IF(H555="5)",5,IF(H555="6)",6,IF(H555="7)",7,IF(H555="8)",8,0))))))))</f>
        <v/>
      </c>
      <c r="L556" s="0">
        <f>IF(H555="1)",J555,IF(H555="2)",J555,IF(H555="3)",J555,IF(H555="4)",J555,IF(H555="5)",J555,IF(H555="6)",J555,IF(H555="7)",J555,IF(H555="8)",J555,0))))))))</f>
        <v/>
      </c>
    </row>
    <row r="557">
      <c r="A557" s="0" t="inlineStr">
        <is>
          <t>New</t>
        </is>
      </c>
      <c r="B557" s="0" t="inlineStr">
        <is>
          <t>Item</t>
        </is>
      </c>
      <c r="C557" s="0" t="inlineStr">
        <is>
          <t>Acquired</t>
        </is>
      </c>
      <c r="D557" s="0" t="inlineStr">
        <is>
          <t>:</t>
        </is>
      </c>
      <c r="E557" s="0" t="inlineStr">
        <is>
          <t>157.50K</t>
        </is>
      </c>
      <c r="F557" s="0" t="inlineStr">
        <is>
          <t>(5,</t>
        </is>
      </c>
      <c r="G557" s="0" t="inlineStr">
        <is>
          <t>16)</t>
        </is>
      </c>
      <c r="K557" s="0">
        <f>IF(H556="1)",1,IF(H556="2)",2,IF(H556="3)",3,IF(H556="4)",4,IF(H556="5)",5,IF(H556="6)",6,IF(H556="7)",7,IF(H556="8)",8,0))))))))</f>
        <v/>
      </c>
      <c r="L557" s="0">
        <f>IF(H556="1)",J556,IF(H556="2)",J556,IF(H556="3)",J556,IF(H556="4)",J556,IF(H556="5)",J556,IF(H556="6)",J556,IF(H556="7)",J556,IF(H556="8)",J556,0))))))))</f>
        <v/>
      </c>
    </row>
    <row r="558">
      <c r="A558" s="0" t="inlineStr">
        <is>
          <t>New</t>
        </is>
      </c>
      <c r="B558" s="0" t="inlineStr">
        <is>
          <t>Item</t>
        </is>
      </c>
      <c r="C558" s="0" t="inlineStr">
        <is>
          <t>Acquired</t>
        </is>
      </c>
      <c r="D558" s="0" t="inlineStr">
        <is>
          <t>:</t>
        </is>
      </c>
      <c r="E558" s="0" t="inlineStr">
        <is>
          <t>210.00K</t>
        </is>
      </c>
      <c r="F558" s="0" t="inlineStr">
        <is>
          <t>(7,</t>
        </is>
      </c>
      <c r="G558" s="0" t="inlineStr">
        <is>
          <t>6)</t>
        </is>
      </c>
      <c r="K558" s="0">
        <f>IF(H557="1)",1,IF(H557="2)",2,IF(H557="3)",3,IF(H557="4)",4,IF(H557="5)",5,IF(H557="6)",6,IF(H557="7)",7,IF(H557="8)",8,0))))))))</f>
        <v/>
      </c>
      <c r="L558" s="0">
        <f>IF(H557="1)",J557,IF(H557="2)",J557,IF(H557="3)",J557,IF(H557="4)",J557,IF(H557="5)",J557,IF(H557="6)",J557,IF(H557="7)",J557,IF(H557="8)",J557,0))))))))</f>
        <v/>
      </c>
    </row>
    <row r="559">
      <c r="A559" s="0" t="inlineStr">
        <is>
          <t>New</t>
        </is>
      </c>
      <c r="B559" s="0" t="inlineStr">
        <is>
          <t>Item</t>
        </is>
      </c>
      <c r="C559" s="0" t="inlineStr">
        <is>
          <t>Acquired</t>
        </is>
      </c>
      <c r="D559" s="0" t="inlineStr">
        <is>
          <t>:</t>
        </is>
      </c>
      <c r="E559" s="0" t="inlineStr">
        <is>
          <t>75.00K</t>
        </is>
      </c>
      <c r="F559" s="0" t="inlineStr">
        <is>
          <t>(6,</t>
        </is>
      </c>
      <c r="G559" s="0" t="inlineStr">
        <is>
          <t>25)</t>
        </is>
      </c>
      <c r="K559" s="0">
        <f>IF(H558="1)",1,IF(H558="2)",2,IF(H558="3)",3,IF(H558="4)",4,IF(H558="5)",5,IF(H558="6)",6,IF(H558="7)",7,IF(H558="8)",8,0))))))))</f>
        <v/>
      </c>
      <c r="L559" s="0">
        <f>IF(H558="1)",J558,IF(H558="2)",J558,IF(H558="3)",J558,IF(H558="4)",J558,IF(H558="5)",J558,IF(H558="6)",J558,IF(H558="7)",J558,IF(H558="8)",J558,0))))))))</f>
        <v/>
      </c>
    </row>
    <row r="560">
      <c r="A560" s="0" t="inlineStr">
        <is>
          <t>New</t>
        </is>
      </c>
      <c r="B560" s="0" t="inlineStr">
        <is>
          <t>Item</t>
        </is>
      </c>
      <c r="C560" s="0" t="inlineStr">
        <is>
          <t>Acquired</t>
        </is>
      </c>
      <c r="D560" s="0" t="inlineStr">
        <is>
          <t>:</t>
        </is>
      </c>
      <c r="E560" s="0" t="inlineStr">
        <is>
          <t>105.00K</t>
        </is>
      </c>
      <c r="F560" s="0" t="inlineStr">
        <is>
          <t>(3,</t>
        </is>
      </c>
      <c r="G560" s="0" t="inlineStr">
        <is>
          <t>9)</t>
        </is>
      </c>
      <c r="K560" s="0">
        <f>IF(H559="1)",1,IF(H559="2)",2,IF(H559="3)",3,IF(H559="4)",4,IF(H559="5)",5,IF(H559="6)",6,IF(H559="7)",7,IF(H559="8)",8,0))))))))</f>
        <v/>
      </c>
      <c r="L560" s="0">
        <f>IF(H559="1)",J559,IF(H559="2)",J559,IF(H559="3)",J559,IF(H559="4)",J559,IF(H559="5)",J559,IF(H559="6)",J559,IF(H559="7)",J559,IF(H559="8)",J559,0))))))))</f>
        <v/>
      </c>
    </row>
    <row r="561">
      <c r="A561" s="0" t="inlineStr">
        <is>
          <t>New</t>
        </is>
      </c>
      <c r="B561" s="0" t="inlineStr">
        <is>
          <t>Item</t>
        </is>
      </c>
      <c r="C561" s="0" t="inlineStr">
        <is>
          <t>Acquired</t>
        </is>
      </c>
      <c r="D561" s="0" t="inlineStr">
        <is>
          <t>:</t>
        </is>
      </c>
      <c r="E561" s="0" t="inlineStr">
        <is>
          <t>50.00K</t>
        </is>
      </c>
      <c r="F561" s="0" t="inlineStr">
        <is>
          <t>(1,</t>
        </is>
      </c>
      <c r="G561" s="0" t="inlineStr">
        <is>
          <t>4)</t>
        </is>
      </c>
      <c r="K561" s="0">
        <f>IF(H560="1)",1,IF(H560="2)",2,IF(H560="3)",3,IF(H560="4)",4,IF(H560="5)",5,IF(H560="6)",6,IF(H560="7)",7,IF(H560="8)",8,0))))))))</f>
        <v/>
      </c>
      <c r="L561" s="0">
        <f>IF(H560="1)",J560,IF(H560="2)",J560,IF(H560="3)",J560,IF(H560="4)",J560,IF(H560="5)",J560,IF(H560="6)",J560,IF(H560="7)",J560,IF(H560="8)",J560,0))))))))</f>
        <v/>
      </c>
    </row>
    <row r="562">
      <c r="A562" s="0" t="inlineStr">
        <is>
          <t>New</t>
        </is>
      </c>
      <c r="B562" s="0" t="inlineStr">
        <is>
          <t>Item</t>
        </is>
      </c>
      <c r="C562" s="0" t="inlineStr">
        <is>
          <t>Acquired</t>
        </is>
      </c>
      <c r="D562" s="0" t="inlineStr">
        <is>
          <t>:</t>
        </is>
      </c>
      <c r="E562" s="0" t="inlineStr">
        <is>
          <t>75.00K</t>
        </is>
      </c>
      <c r="F562" s="0" t="inlineStr">
        <is>
          <t>(3,</t>
        </is>
      </c>
      <c r="G562" s="0" t="inlineStr">
        <is>
          <t>2)</t>
        </is>
      </c>
      <c r="K562" s="0">
        <f>IF(H561="1)",1,IF(H561="2)",2,IF(H561="3)",3,IF(H561="4)",4,IF(H561="5)",5,IF(H561="6)",6,IF(H561="7)",7,IF(H561="8)",8,0))))))))</f>
        <v/>
      </c>
      <c r="L562" s="0">
        <f>IF(H561="1)",J561,IF(H561="2)",J561,IF(H561="3)",J561,IF(H561="4)",J561,IF(H561="5)",J561,IF(H561="6)",J561,IF(H561="7)",J561,IF(H561="8)",J561,0))))))))</f>
        <v/>
      </c>
    </row>
    <row r="563">
      <c r="A563" s="0" t="inlineStr">
        <is>
          <t>New</t>
        </is>
      </c>
      <c r="B563" s="0" t="inlineStr">
        <is>
          <t>Item</t>
        </is>
      </c>
      <c r="C563" s="0" t="inlineStr">
        <is>
          <t>Acquired</t>
        </is>
      </c>
      <c r="D563" s="0" t="inlineStr">
        <is>
          <t>:</t>
        </is>
      </c>
      <c r="E563" s="0" t="inlineStr">
        <is>
          <t>150.00K</t>
        </is>
      </c>
      <c r="F563" s="0" t="inlineStr">
        <is>
          <t>(7,</t>
        </is>
      </c>
      <c r="G563" s="0" t="inlineStr">
        <is>
          <t>12)</t>
        </is>
      </c>
      <c r="K563" s="0">
        <f>IF(H562="1)",1,IF(H562="2)",2,IF(H562="3)",3,IF(H562="4)",4,IF(H562="5)",5,IF(H562="6)",6,IF(H562="7)",7,IF(H562="8)",8,0))))))))</f>
        <v/>
      </c>
      <c r="L563" s="0">
        <f>IF(H562="1)",J562,IF(H562="2)",J562,IF(H562="3)",J562,IF(H562="4)",J562,IF(H562="5)",J562,IF(H562="6)",J562,IF(H562="7)",J562,IF(H562="8)",J562,0))))))))</f>
        <v/>
      </c>
    </row>
    <row r="564">
      <c r="A564" s="0" t="inlineStr">
        <is>
          <t>New</t>
        </is>
      </c>
      <c r="B564" s="0" t="inlineStr">
        <is>
          <t>Item</t>
        </is>
      </c>
      <c r="C564" s="0" t="inlineStr">
        <is>
          <t>Acquired</t>
        </is>
      </c>
      <c r="D564" s="0" t="inlineStr">
        <is>
          <t>:</t>
        </is>
      </c>
      <c r="E564" s="0" t="inlineStr">
        <is>
          <t>75.00K</t>
        </is>
      </c>
      <c r="F564" s="0" t="inlineStr">
        <is>
          <t>(4,</t>
        </is>
      </c>
      <c r="G564" s="0" t="inlineStr">
        <is>
          <t>7)</t>
        </is>
      </c>
      <c r="K564" s="0">
        <f>IF(H563="1)",1,IF(H563="2)",2,IF(H563="3)",3,IF(H563="4)",4,IF(H563="5)",5,IF(H563="6)",6,IF(H563="7)",7,IF(H563="8)",8,0))))))))</f>
        <v/>
      </c>
      <c r="L564" s="0">
        <f>IF(H563="1)",J563,IF(H563="2)",J563,IF(H563="3)",J563,IF(H563="4)",J563,IF(H563="5)",J563,IF(H563="6)",J563,IF(H563="7)",J563,IF(H563="8)",J563,0))))))))</f>
        <v/>
      </c>
    </row>
    <row r="565">
      <c r="A565" s="0" t="inlineStr">
        <is>
          <t>New</t>
        </is>
      </c>
      <c r="B565" s="0" t="inlineStr">
        <is>
          <t>Item</t>
        </is>
      </c>
      <c r="C565" s="0" t="inlineStr">
        <is>
          <t>Acquired</t>
        </is>
      </c>
      <c r="D565" s="0" t="inlineStr">
        <is>
          <t>:</t>
        </is>
      </c>
      <c r="E565" s="0" t="inlineStr">
        <is>
          <t>105.00K</t>
        </is>
      </c>
      <c r="F565" s="0" t="inlineStr">
        <is>
          <t>(4,</t>
        </is>
      </c>
      <c r="G565" s="0" t="inlineStr">
        <is>
          <t>23)</t>
        </is>
      </c>
      <c r="K565" s="0">
        <f>IF(H564="1)",1,IF(H564="2)",2,IF(H564="3)",3,IF(H564="4)",4,IF(H564="5)",5,IF(H564="6)",6,IF(H564="7)",7,IF(H564="8)",8,0))))))))</f>
        <v/>
      </c>
      <c r="L565" s="0">
        <f>IF(H564="1)",J564,IF(H564="2)",J564,IF(H564="3)",J564,IF(H564="4)",J564,IF(H564="5)",J564,IF(H564="6)",J564,IF(H564="7)",J564,IF(H564="8)",J564,0))))))))</f>
        <v/>
      </c>
    </row>
    <row r="566">
      <c r="A566" s="0" t="inlineStr">
        <is>
          <t>New</t>
        </is>
      </c>
      <c r="B566" s="0" t="inlineStr">
        <is>
          <t>Item</t>
        </is>
      </c>
      <c r="C566" s="0" t="inlineStr">
        <is>
          <t>Acquired</t>
        </is>
      </c>
      <c r="D566" s="0" t="inlineStr">
        <is>
          <t>:</t>
        </is>
      </c>
      <c r="E566" s="0" t="inlineStr">
        <is>
          <t>105.00K</t>
        </is>
      </c>
      <c r="F566" s="0" t="inlineStr">
        <is>
          <t>(3,</t>
        </is>
      </c>
      <c r="G566" s="0" t="inlineStr">
        <is>
          <t>5)</t>
        </is>
      </c>
      <c r="K566" s="0">
        <f>IF(H565="1)",1,IF(H565="2)",2,IF(H565="3)",3,IF(H565="4)",4,IF(H565="5)",5,IF(H565="6)",6,IF(H565="7)",7,IF(H565="8)",8,0))))))))</f>
        <v/>
      </c>
      <c r="L566" s="0">
        <f>IF(H565="1)",J565,IF(H565="2)",J565,IF(H565="3)",J565,IF(H565="4)",J565,IF(H565="5)",J565,IF(H565="6)",J565,IF(H565="7)",J565,IF(H565="8)",J565,0))))))))</f>
        <v/>
      </c>
    </row>
    <row r="567">
      <c r="A567" s="0" t="inlineStr">
        <is>
          <t>New</t>
        </is>
      </c>
      <c r="B567" s="0" t="inlineStr">
        <is>
          <t>Item</t>
        </is>
      </c>
      <c r="C567" s="0" t="inlineStr">
        <is>
          <t>Acquired</t>
        </is>
      </c>
      <c r="D567" s="0" t="inlineStr">
        <is>
          <t>:</t>
        </is>
      </c>
      <c r="E567" s="0" t="inlineStr">
        <is>
          <t>120.00K</t>
        </is>
      </c>
      <c r="F567" s="0" t="inlineStr">
        <is>
          <t>(8,</t>
        </is>
      </c>
      <c r="G567" s="0" t="inlineStr">
        <is>
          <t>20)</t>
        </is>
      </c>
      <c r="K567" s="0">
        <f>IF(H566="1)",1,IF(H566="2)",2,IF(H566="3)",3,IF(H566="4)",4,IF(H566="5)",5,IF(H566="6)",6,IF(H566="7)",7,IF(H566="8)",8,0))))))))</f>
        <v/>
      </c>
      <c r="L567" s="0">
        <f>IF(H566="1)",J566,IF(H566="2)",J566,IF(H566="3)",J566,IF(H566="4)",J566,IF(H566="5)",J566,IF(H566="6)",J566,IF(H566="7)",J566,IF(H566="8)",J566,0))))))))</f>
        <v/>
      </c>
    </row>
    <row r="568">
      <c r="A568" s="0" t="inlineStr">
        <is>
          <t>New</t>
        </is>
      </c>
      <c r="B568" s="0" t="inlineStr">
        <is>
          <t>Item</t>
        </is>
      </c>
      <c r="C568" s="0" t="inlineStr">
        <is>
          <t>Acquired</t>
        </is>
      </c>
      <c r="D568" s="0" t="inlineStr">
        <is>
          <t>:</t>
        </is>
      </c>
      <c r="E568" s="0" t="inlineStr">
        <is>
          <t>120.00K</t>
        </is>
      </c>
      <c r="F568" s="0" t="inlineStr">
        <is>
          <t>(8,</t>
        </is>
      </c>
      <c r="G568" s="0" t="inlineStr">
        <is>
          <t>22)</t>
        </is>
      </c>
      <c r="K568" s="0">
        <f>IF(H567="1)",1,IF(H567="2)",2,IF(H567="3)",3,IF(H567="4)",4,IF(H567="5)",5,IF(H567="6)",6,IF(H567="7)",7,IF(H567="8)",8,0))))))))</f>
        <v/>
      </c>
      <c r="L568" s="0">
        <f>IF(H567="1)",J567,IF(H567="2)",J567,IF(H567="3)",J567,IF(H567="4)",J567,IF(H567="5)",J567,IF(H567="6)",J567,IF(H567="7)",J567,IF(H567="8)",J567,0))))))))</f>
        <v/>
      </c>
    </row>
    <row r="569">
      <c r="A569" s="0" t="inlineStr">
        <is>
          <t>New</t>
        </is>
      </c>
      <c r="B569" s="0" t="inlineStr">
        <is>
          <t>Item</t>
        </is>
      </c>
      <c r="C569" s="0" t="inlineStr">
        <is>
          <t>Acquired</t>
        </is>
      </c>
      <c r="D569" s="0" t="inlineStr">
        <is>
          <t>:</t>
        </is>
      </c>
      <c r="E569" s="0" t="inlineStr">
        <is>
          <t>62.50K</t>
        </is>
      </c>
      <c r="F569" s="0" t="inlineStr">
        <is>
          <t>(2,</t>
        </is>
      </c>
      <c r="G569" s="0" t="inlineStr">
        <is>
          <t>19)</t>
        </is>
      </c>
      <c r="K569" s="0">
        <f>IF(H568="1)",1,IF(H568="2)",2,IF(H568="3)",3,IF(H568="4)",4,IF(H568="5)",5,IF(H568="6)",6,IF(H568="7)",7,IF(H568="8)",8,0))))))))</f>
        <v/>
      </c>
      <c r="L569" s="0">
        <f>IF(H568="1)",J568,IF(H568="2)",J568,IF(H568="3)",J568,IF(H568="4)",J568,IF(H568="5)",J568,IF(H568="6)",J568,IF(H568="7)",J568,IF(H568="8)",J568,0))))))))</f>
        <v/>
      </c>
    </row>
    <row r="570">
      <c r="A570" s="0" t="inlineStr">
        <is>
          <t>Line</t>
        </is>
      </c>
      <c r="B570" s="0" t="inlineStr">
        <is>
          <t>Prize</t>
        </is>
      </c>
      <c r="C570" s="0" t="inlineStr">
        <is>
          <t>Acquired</t>
        </is>
      </c>
      <c r="D570" s="0" t="inlineStr">
        <is>
          <t>:</t>
        </is>
      </c>
      <c r="E570" s="0" t="inlineStr">
        <is>
          <t>237.50K</t>
        </is>
      </c>
      <c r="F570" s="0" t="inlineStr">
        <is>
          <t>(Stage</t>
        </is>
      </c>
      <c r="G570" s="0" t="inlineStr">
        <is>
          <t>:</t>
        </is>
      </c>
      <c r="H570" s="0" t="inlineStr">
        <is>
          <t>2)</t>
        </is>
      </c>
      <c r="I570" s="0" t="inlineStr">
        <is>
          <t>-</t>
        </is>
      </c>
      <c r="J570" s="0" t="n">
        <v>237500</v>
      </c>
      <c r="K570" s="0">
        <f>IF(H569="1)",1,IF(H569="2)",2,IF(H569="3)",3,IF(H569="4)",4,IF(H569="5)",5,IF(H569="6)",6,IF(H569="7)",7,IF(H569="8)",8,0))))))))</f>
        <v/>
      </c>
      <c r="L570" s="0">
        <f>IF(H569="1)",J569,IF(H569="2)",J569,IF(H569="3)",J569,IF(H569="4)",J569,IF(H569="5)",J569,IF(H569="6)",J569,IF(H569="7)",J569,IF(H569="8)",J569,0))))))))</f>
        <v/>
      </c>
    </row>
    <row r="571">
      <c r="A571" s="0" t="inlineStr">
        <is>
          <t>Clear</t>
        </is>
      </c>
      <c r="B571" s="0" t="inlineStr">
        <is>
          <t>Gem</t>
        </is>
      </c>
      <c r="C571" s="0" t="inlineStr">
        <is>
          <t>Acquired</t>
        </is>
      </c>
      <c r="D571" s="0" t="inlineStr">
        <is>
          <t>:</t>
        </is>
      </c>
      <c r="E571" s="0" t="n">
        <v>3100</v>
      </c>
      <c r="F571" s="0" t="inlineStr">
        <is>
          <t>-&gt;</t>
        </is>
      </c>
      <c r="G571" s="0" t="n">
        <v>3200</v>
      </c>
      <c r="H571" s="0" t="inlineStr">
        <is>
          <t>(Stage</t>
        </is>
      </c>
      <c r="I571" s="0" t="inlineStr">
        <is>
          <t>:</t>
        </is>
      </c>
      <c r="J571" s="0" t="inlineStr">
        <is>
          <t>2)</t>
        </is>
      </c>
      <c r="K571" s="0">
        <f>IF(H570="1)",1,IF(H570="2)",2,IF(H570="3)",3,IF(H570="4)",4,IF(H570="5)",5,IF(H570="6)",6,IF(H570="7)",7,IF(H570="8)",8,0))))))))</f>
        <v/>
      </c>
      <c r="L571" s="0">
        <f>IF(H570="1)",J570,IF(H570="2)",J570,IF(H570="3)",J570,IF(H570="4)",J570,IF(H570="5)",J570,IF(H570="6)",J570,IF(H570="7)",J570,IF(H570="8)",J570,0))))))))</f>
        <v/>
      </c>
    </row>
    <row r="572">
      <c r="A572" s="0" t="inlineStr">
        <is>
          <t>New</t>
        </is>
      </c>
      <c r="B572" s="0" t="inlineStr">
        <is>
          <t>Item</t>
        </is>
      </c>
      <c r="C572" s="0" t="inlineStr">
        <is>
          <t>Acquired</t>
        </is>
      </c>
      <c r="D572" s="0" t="inlineStr">
        <is>
          <t>:</t>
        </is>
      </c>
      <c r="E572" s="0" t="inlineStr">
        <is>
          <t>75.00K</t>
        </is>
      </c>
      <c r="F572" s="0" t="inlineStr">
        <is>
          <t>(4,</t>
        </is>
      </c>
      <c r="G572" s="0" t="inlineStr">
        <is>
          <t>22)</t>
        </is>
      </c>
      <c r="K572" s="0">
        <f>IF(H571="1)",1,IF(H571="2)",2,IF(H571="3)",3,IF(H571="4)",4,IF(H571="5)",5,IF(H571="6)",6,IF(H571="7)",7,IF(H571="8)",8,0))))))))</f>
        <v/>
      </c>
      <c r="L572" s="0">
        <f>IF(H571="1)",J571,IF(H571="2)",J571,IF(H571="3)",J571,IF(H571="4)",J571,IF(H571="5)",J571,IF(H571="6)",J571,IF(H571="7)",J571,IF(H571="8)",J571,0))))))))</f>
        <v/>
      </c>
    </row>
    <row r="573">
      <c r="A573" s="0" t="inlineStr">
        <is>
          <t>New</t>
        </is>
      </c>
      <c r="B573" s="0" t="inlineStr">
        <is>
          <t>Item</t>
        </is>
      </c>
      <c r="C573" s="0" t="inlineStr">
        <is>
          <t>Acquired</t>
        </is>
      </c>
      <c r="D573" s="0" t="inlineStr">
        <is>
          <t>:</t>
        </is>
      </c>
      <c r="E573" s="0" t="inlineStr">
        <is>
          <t>175.00K</t>
        </is>
      </c>
      <c r="F573" s="0" t="inlineStr">
        <is>
          <t>(6,</t>
        </is>
      </c>
      <c r="G573" s="0" t="inlineStr">
        <is>
          <t>22)</t>
        </is>
      </c>
      <c r="K573" s="0">
        <f>IF(H572="1)",1,IF(H572="2)",2,IF(H572="3)",3,IF(H572="4)",4,IF(H572="5)",5,IF(H572="6)",6,IF(H572="7)",7,IF(H572="8)",8,0))))))))</f>
        <v/>
      </c>
      <c r="L573" s="0">
        <f>IF(H572="1)",J572,IF(H572="2)",J572,IF(H572="3)",J572,IF(H572="4)",J572,IF(H572="5)",J572,IF(H572="6)",J572,IF(H572="7)",J572,IF(H572="8)",J572,0))))))))</f>
        <v/>
      </c>
    </row>
    <row r="574">
      <c r="A574" s="0" t="inlineStr">
        <is>
          <t>New</t>
        </is>
      </c>
      <c r="B574" s="0" t="inlineStr">
        <is>
          <t>Item</t>
        </is>
      </c>
      <c r="C574" s="0" t="inlineStr">
        <is>
          <t>Acquired</t>
        </is>
      </c>
      <c r="D574" s="0" t="inlineStr">
        <is>
          <t>:</t>
        </is>
      </c>
      <c r="E574" s="0" t="inlineStr">
        <is>
          <t>60.00K</t>
        </is>
      </c>
      <c r="F574" s="0" t="inlineStr">
        <is>
          <t>(4,</t>
        </is>
      </c>
      <c r="G574" s="0" t="inlineStr">
        <is>
          <t>2)</t>
        </is>
      </c>
      <c r="K574" s="0">
        <f>IF(H573="1)",1,IF(H573="2)",2,IF(H573="3)",3,IF(H573="4)",4,IF(H573="5)",5,IF(H573="6)",6,IF(H573="7)",7,IF(H573="8)",8,0))))))))</f>
        <v/>
      </c>
      <c r="L574" s="0">
        <f>IF(H573="1)",J573,IF(H573="2)",J573,IF(H573="3)",J573,IF(H573="4)",J573,IF(H573="5)",J573,IF(H573="6)",J573,IF(H573="7)",J573,IF(H573="8)",J573,0))))))))</f>
        <v/>
      </c>
    </row>
    <row r="575">
      <c r="A575" s="0" t="inlineStr">
        <is>
          <t>New</t>
        </is>
      </c>
      <c r="B575" s="0" t="inlineStr">
        <is>
          <t>Item</t>
        </is>
      </c>
      <c r="C575" s="0" t="inlineStr">
        <is>
          <t>Acquired</t>
        </is>
      </c>
      <c r="D575" s="0" t="inlineStr">
        <is>
          <t>:</t>
        </is>
      </c>
      <c r="E575" s="0" t="inlineStr">
        <is>
          <t>125.00K</t>
        </is>
      </c>
      <c r="F575" s="0" t="inlineStr">
        <is>
          <t>(6,</t>
        </is>
      </c>
      <c r="G575" s="0" t="inlineStr">
        <is>
          <t>17)</t>
        </is>
      </c>
      <c r="K575" s="0">
        <f>IF(H574="1)",1,IF(H574="2)",2,IF(H574="3)",3,IF(H574="4)",4,IF(H574="5)",5,IF(H574="6)",6,IF(H574="7)",7,IF(H574="8)",8,0))))))))</f>
        <v/>
      </c>
      <c r="L575" s="0">
        <f>IF(H574="1)",J574,IF(H574="2)",J574,IF(H574="3)",J574,IF(H574="4)",J574,IF(H574="5)",J574,IF(H574="6)",J574,IF(H574="7)",J574,IF(H574="8)",J574,0))))))))</f>
        <v/>
      </c>
    </row>
    <row r="576">
      <c r="A576" s="0" t="inlineStr">
        <is>
          <t>New</t>
        </is>
      </c>
      <c r="B576" s="0" t="inlineStr">
        <is>
          <t>Item</t>
        </is>
      </c>
      <c r="C576" s="0" t="inlineStr">
        <is>
          <t>Acquired</t>
        </is>
      </c>
      <c r="D576" s="0" t="inlineStr">
        <is>
          <t>:</t>
        </is>
      </c>
      <c r="E576" s="0" t="inlineStr">
        <is>
          <t>150.00K</t>
        </is>
      </c>
      <c r="F576" s="0" t="inlineStr">
        <is>
          <t>(7,</t>
        </is>
      </c>
      <c r="G576" s="0" t="inlineStr">
        <is>
          <t>8)</t>
        </is>
      </c>
      <c r="K576" s="0">
        <f>IF(H575="1)",1,IF(H575="2)",2,IF(H575="3)",3,IF(H575="4)",4,IF(H575="5)",5,IF(H575="6)",6,IF(H575="7)",7,IF(H575="8)",8,0))))))))</f>
        <v/>
      </c>
      <c r="L576" s="0">
        <f>IF(H575="1)",J575,IF(H575="2)",J575,IF(H575="3)",J575,IF(H575="4)",J575,IF(H575="5)",J575,IF(H575="6)",J575,IF(H575="7)",J575,IF(H575="8)",J575,0))))))))</f>
        <v/>
      </c>
    </row>
    <row r="577">
      <c r="A577" s="0" t="inlineStr">
        <is>
          <t>New</t>
        </is>
      </c>
      <c r="B577" s="0" t="inlineStr">
        <is>
          <t>Item</t>
        </is>
      </c>
      <c r="C577" s="0" t="inlineStr">
        <is>
          <t>Acquired</t>
        </is>
      </c>
      <c r="D577" s="0" t="inlineStr">
        <is>
          <t>:</t>
        </is>
      </c>
      <c r="E577" s="0" t="inlineStr">
        <is>
          <t>87.50K</t>
        </is>
      </c>
      <c r="F577" s="0" t="inlineStr">
        <is>
          <t>(2,</t>
        </is>
      </c>
      <c r="G577" s="0" t="inlineStr">
        <is>
          <t>19)</t>
        </is>
      </c>
      <c r="K577" s="0">
        <f>IF(H576="1)",1,IF(H576="2)",2,IF(H576="3)",3,IF(H576="4)",4,IF(H576="5)",5,IF(H576="6)",6,IF(H576="7)",7,IF(H576="8)",8,0))))))))</f>
        <v/>
      </c>
      <c r="L577" s="0">
        <f>IF(H576="1)",J576,IF(H576="2)",J576,IF(H576="3)",J576,IF(H576="4)",J576,IF(H576="5)",J576,IF(H576="6)",J576,IF(H576="7)",J576,IF(H576="8)",J576,0))))))))</f>
        <v/>
      </c>
    </row>
    <row r="578">
      <c r="A578" s="0" t="inlineStr">
        <is>
          <t>New</t>
        </is>
      </c>
      <c r="B578" s="0" t="inlineStr">
        <is>
          <t>Item</t>
        </is>
      </c>
      <c r="C578" s="0" t="inlineStr">
        <is>
          <t>Acquired</t>
        </is>
      </c>
      <c r="D578" s="0" t="inlineStr">
        <is>
          <t>:</t>
        </is>
      </c>
      <c r="E578" s="0" t="inlineStr">
        <is>
          <t>37.50K</t>
        </is>
      </c>
      <c r="F578" s="0" t="inlineStr">
        <is>
          <t>(2,</t>
        </is>
      </c>
      <c r="G578" s="0" t="inlineStr">
        <is>
          <t>17)</t>
        </is>
      </c>
      <c r="K578" s="0">
        <f>IF(H577="1)",1,IF(H577="2)",2,IF(H577="3)",3,IF(H577="4)",4,IF(H577="5)",5,IF(H577="6)",6,IF(H577="7)",7,IF(H577="8)",8,0))))))))</f>
        <v/>
      </c>
      <c r="L578" s="0">
        <f>IF(H577="1)",J577,IF(H577="2)",J577,IF(H577="3)",J577,IF(H577="4)",J577,IF(H577="5)",J577,IF(H577="6)",J577,IF(H577="7)",J577,IF(H577="8)",J577,0))))))))</f>
        <v/>
      </c>
    </row>
    <row r="579">
      <c r="A579" s="0" t="inlineStr">
        <is>
          <t>New</t>
        </is>
      </c>
      <c r="B579" s="0" t="inlineStr">
        <is>
          <t>Item</t>
        </is>
      </c>
      <c r="C579" s="0" t="inlineStr">
        <is>
          <t>Acquired</t>
        </is>
      </c>
      <c r="D579" s="0" t="inlineStr">
        <is>
          <t>:</t>
        </is>
      </c>
      <c r="E579" s="0" t="inlineStr">
        <is>
          <t>45.00K</t>
        </is>
      </c>
      <c r="F579" s="0" t="inlineStr">
        <is>
          <t>(3,</t>
        </is>
      </c>
      <c r="G579" s="0" t="inlineStr">
        <is>
          <t>23)</t>
        </is>
      </c>
      <c r="K579" s="0">
        <f>IF(H578="1)",1,IF(H578="2)",2,IF(H578="3)",3,IF(H578="4)",4,IF(H578="5)",5,IF(H578="6)",6,IF(H578="7)",7,IF(H578="8)",8,0))))))))</f>
        <v/>
      </c>
      <c r="L579" s="0">
        <f>IF(H578="1)",J578,IF(H578="2)",J578,IF(H578="3)",J578,IF(H578="4)",J578,IF(H578="5)",J578,IF(H578="6)",J578,IF(H578="7)",J578,IF(H578="8)",J578,0))))))))</f>
        <v/>
      </c>
    </row>
    <row r="580">
      <c r="A580" s="0" t="inlineStr">
        <is>
          <t>New</t>
        </is>
      </c>
      <c r="B580" s="0" t="inlineStr">
        <is>
          <t>Item</t>
        </is>
      </c>
      <c r="C580" s="0" t="inlineStr">
        <is>
          <t>Acquired</t>
        </is>
      </c>
      <c r="D580" s="0" t="inlineStr">
        <is>
          <t>:</t>
        </is>
      </c>
      <c r="E580" s="0" t="inlineStr">
        <is>
          <t>Mini</t>
        </is>
      </c>
      <c r="F580" s="0" t="inlineStr">
        <is>
          <t>(2,</t>
        </is>
      </c>
      <c r="G580" s="0" t="inlineStr">
        <is>
          <t>25)</t>
        </is>
      </c>
      <c r="K580" s="0">
        <f>IF(H579="1)",1,IF(H579="2)",2,IF(H579="3)",3,IF(H579="4)",4,IF(H579="5)",5,IF(H579="6)",6,IF(H579="7)",7,IF(H579="8)",8,0))))))))</f>
        <v/>
      </c>
      <c r="L580" s="0">
        <f>IF(H579="1)",J579,IF(H579="2)",J579,IF(H579="3)",J579,IF(H579="4)",J579,IF(H579="5)",J579,IF(H579="6)",J579,IF(H579="7)",J579,IF(H579="8)",J579,0))))))))</f>
        <v/>
      </c>
    </row>
    <row r="581">
      <c r="A581" s="0" t="inlineStr">
        <is>
          <t>New</t>
        </is>
      </c>
      <c r="B581" s="0" t="inlineStr">
        <is>
          <t>Item</t>
        </is>
      </c>
      <c r="C581" s="0" t="inlineStr">
        <is>
          <t>Acquired</t>
        </is>
      </c>
      <c r="D581" s="0" t="inlineStr">
        <is>
          <t>:</t>
        </is>
      </c>
      <c r="E581" s="0" t="inlineStr">
        <is>
          <t>Major</t>
        </is>
      </c>
      <c r="F581" s="0" t="inlineStr">
        <is>
          <t>(2,</t>
        </is>
      </c>
      <c r="G581" s="0" t="inlineStr">
        <is>
          <t>12)</t>
        </is>
      </c>
      <c r="K581" s="0">
        <f>IF(H580="1)",1,IF(H580="2)",2,IF(H580="3)",3,IF(H580="4)",4,IF(H580="5)",5,IF(H580="6)",6,IF(H580="7)",7,IF(H580="8)",8,0))))))))</f>
        <v/>
      </c>
      <c r="L581" s="0">
        <f>IF(H580="1)",J580,IF(H580="2)",J580,IF(H580="3)",J580,IF(H580="4)",J580,IF(H580="5)",J580,IF(H580="6)",J580,IF(H580="7)",J580,IF(H580="8)",J580,0))))))))</f>
        <v/>
      </c>
    </row>
    <row r="582">
      <c r="A582" s="0" t="inlineStr">
        <is>
          <t>New</t>
        </is>
      </c>
      <c r="B582" s="0" t="inlineStr">
        <is>
          <t>Item</t>
        </is>
      </c>
      <c r="C582" s="0" t="inlineStr">
        <is>
          <t>Acquired</t>
        </is>
      </c>
      <c r="D582" s="0" t="inlineStr">
        <is>
          <t>:</t>
        </is>
      </c>
      <c r="E582" s="0" t="inlineStr">
        <is>
          <t>30.00K</t>
        </is>
      </c>
      <c r="F582" s="0" t="inlineStr">
        <is>
          <t>(1,</t>
        </is>
      </c>
      <c r="G582" s="0" t="inlineStr">
        <is>
          <t>8)</t>
        </is>
      </c>
      <c r="K582" s="0">
        <f>IF(H581="1)",1,IF(H581="2)",2,IF(H581="3)",3,IF(H581="4)",4,IF(H581="5)",5,IF(H581="6)",6,IF(H581="7)",7,IF(H581="8)",8,0))))))))</f>
        <v/>
      </c>
      <c r="L582" s="0">
        <f>IF(H581="1)",J581,IF(H581="2)",J581,IF(H581="3)",J581,IF(H581="4)",J581,IF(H581="5)",J581,IF(H581="6)",J581,IF(H581="7)",J581,IF(H581="8)",J581,0))))))))</f>
        <v/>
      </c>
    </row>
    <row r="583">
      <c r="A583" s="0" t="inlineStr">
        <is>
          <t>New</t>
        </is>
      </c>
      <c r="B583" s="0" t="inlineStr">
        <is>
          <t>Item</t>
        </is>
      </c>
      <c r="C583" s="0" t="inlineStr">
        <is>
          <t>Acquired</t>
        </is>
      </c>
      <c r="D583" s="0" t="inlineStr">
        <is>
          <t>:</t>
        </is>
      </c>
      <c r="E583" s="0" t="inlineStr">
        <is>
          <t>87.50K</t>
        </is>
      </c>
      <c r="F583" s="0" t="inlineStr">
        <is>
          <t>(2,</t>
        </is>
      </c>
      <c r="G583" s="0" t="inlineStr">
        <is>
          <t>9)</t>
        </is>
      </c>
      <c r="K583" s="0">
        <f>IF(H582="1)",1,IF(H582="2)",2,IF(H582="3)",3,IF(H582="4)",4,IF(H582="5)",5,IF(H582="6)",6,IF(H582="7)",7,IF(H582="8)",8,0))))))))</f>
        <v/>
      </c>
      <c r="L583" s="0">
        <f>IF(H582="1)",J582,IF(H582="2)",J582,IF(H582="3)",J582,IF(H582="4)",J582,IF(H582="5)",J582,IF(H582="6)",J582,IF(H582="7)",J582,IF(H582="8)",J582,0))))))))</f>
        <v/>
      </c>
    </row>
    <row r="584">
      <c r="A584" s="0" t="inlineStr">
        <is>
          <t>New</t>
        </is>
      </c>
      <c r="B584" s="0" t="inlineStr">
        <is>
          <t>Item</t>
        </is>
      </c>
      <c r="C584" s="0" t="inlineStr">
        <is>
          <t>Acquired</t>
        </is>
      </c>
      <c r="D584" s="0" t="inlineStr">
        <is>
          <t>:</t>
        </is>
      </c>
      <c r="E584" s="0" t="inlineStr">
        <is>
          <t>150.00K</t>
        </is>
      </c>
      <c r="F584" s="0" t="inlineStr">
        <is>
          <t>(7,</t>
        </is>
      </c>
      <c r="G584" s="0" t="inlineStr">
        <is>
          <t>1)</t>
        </is>
      </c>
      <c r="K584" s="0">
        <f>IF(H583="1)",1,IF(H583="2)",2,IF(H583="3)",3,IF(H583="4)",4,IF(H583="5)",5,IF(H583="6)",6,IF(H583="7)",7,IF(H583="8)",8,0))))))))</f>
        <v/>
      </c>
      <c r="L584" s="0">
        <f>IF(H583="1)",J583,IF(H583="2)",J583,IF(H583="3)",J583,IF(H583="4)",J583,IF(H583="5)",J583,IF(H583="6)",J583,IF(H583="7)",J583,IF(H583="8)",J583,0))))))))</f>
        <v/>
      </c>
    </row>
    <row r="585">
      <c r="A585" s="0" t="inlineStr">
        <is>
          <t>New</t>
        </is>
      </c>
      <c r="B585" s="0" t="inlineStr">
        <is>
          <t>Item</t>
        </is>
      </c>
      <c r="C585" s="0" t="inlineStr">
        <is>
          <t>Acquired</t>
        </is>
      </c>
      <c r="D585" s="0" t="inlineStr">
        <is>
          <t>:</t>
        </is>
      </c>
      <c r="E585" s="0" t="inlineStr">
        <is>
          <t>45.00K</t>
        </is>
      </c>
      <c r="F585" s="0" t="inlineStr">
        <is>
          <t>(3,</t>
        </is>
      </c>
      <c r="G585" s="0" t="inlineStr">
        <is>
          <t>4)</t>
        </is>
      </c>
      <c r="K585" s="0">
        <f>IF(H584="1)",1,IF(H584="2)",2,IF(H584="3)",3,IF(H584="4)",4,IF(H584="5)",5,IF(H584="6)",6,IF(H584="7)",7,IF(H584="8)",8,0))))))))</f>
        <v/>
      </c>
      <c r="L585" s="0">
        <f>IF(H584="1)",J584,IF(H584="2)",J584,IF(H584="3)",J584,IF(H584="4)",J584,IF(H584="5)",J584,IF(H584="6)",J584,IF(H584="7)",J584,IF(H584="8)",J584,0))))))))</f>
        <v/>
      </c>
    </row>
    <row r="586">
      <c r="A586" s="0" t="inlineStr">
        <is>
          <t>New</t>
        </is>
      </c>
      <c r="B586" s="0" t="inlineStr">
        <is>
          <t>Item</t>
        </is>
      </c>
      <c r="C586" s="0" t="inlineStr">
        <is>
          <t>Acquired</t>
        </is>
      </c>
      <c r="D586" s="0" t="inlineStr">
        <is>
          <t>:</t>
        </is>
      </c>
      <c r="E586" s="0" t="inlineStr">
        <is>
          <t>37.50K</t>
        </is>
      </c>
      <c r="F586" s="0" t="inlineStr">
        <is>
          <t>(2,</t>
        </is>
      </c>
      <c r="G586" s="0" t="inlineStr">
        <is>
          <t>20)</t>
        </is>
      </c>
      <c r="K586" s="0">
        <f>IF(H585="1)",1,IF(H585="2)",2,IF(H585="3)",3,IF(H585="4)",4,IF(H585="5)",5,IF(H585="6)",6,IF(H585="7)",7,IF(H585="8)",8,0))))))))</f>
        <v/>
      </c>
      <c r="L586" s="0">
        <f>IF(H585="1)",J585,IF(H585="2)",J585,IF(H585="3)",J585,IF(H585="4)",J585,IF(H585="5)",J585,IF(H585="6)",J585,IF(H585="7)",J585,IF(H585="8)",J585,0))))))))</f>
        <v/>
      </c>
    </row>
    <row r="587">
      <c r="A587" s="0" t="inlineStr">
        <is>
          <t>New</t>
        </is>
      </c>
      <c r="B587" s="0" t="inlineStr">
        <is>
          <t>Item</t>
        </is>
      </c>
      <c r="C587" s="0" t="inlineStr">
        <is>
          <t>Acquired</t>
        </is>
      </c>
      <c r="D587" s="0" t="inlineStr">
        <is>
          <t>:</t>
        </is>
      </c>
      <c r="E587" s="0" t="inlineStr">
        <is>
          <t>105.00K</t>
        </is>
      </c>
      <c r="F587" s="0" t="inlineStr">
        <is>
          <t>(4,</t>
        </is>
      </c>
      <c r="G587" s="0" t="inlineStr">
        <is>
          <t>11)</t>
        </is>
      </c>
      <c r="K587" s="0">
        <f>IF(H586="1)",1,IF(H586="2)",2,IF(H586="3)",3,IF(H586="4)",4,IF(H586="5)",5,IF(H586="6)",6,IF(H586="7)",7,IF(H586="8)",8,0))))))))</f>
        <v/>
      </c>
      <c r="L587" s="0">
        <f>IF(H586="1)",J586,IF(H586="2)",J586,IF(H586="3)",J586,IF(H586="4)",J586,IF(H586="5)",J586,IF(H586="6)",J586,IF(H586="7)",J586,IF(H586="8)",J586,0))))))))</f>
        <v/>
      </c>
    </row>
    <row r="588">
      <c r="A588" s="0" t="inlineStr">
        <is>
          <t>New</t>
        </is>
      </c>
      <c r="B588" s="0" t="inlineStr">
        <is>
          <t>Item</t>
        </is>
      </c>
      <c r="C588" s="0" t="inlineStr">
        <is>
          <t>Acquired</t>
        </is>
      </c>
      <c r="D588" s="0" t="inlineStr">
        <is>
          <t>:</t>
        </is>
      </c>
      <c r="E588" s="0" t="inlineStr">
        <is>
          <t>67.50K</t>
        </is>
      </c>
      <c r="F588" s="0" t="inlineStr">
        <is>
          <t>(5,</t>
        </is>
      </c>
      <c r="G588" s="0" t="inlineStr">
        <is>
          <t>25)</t>
        </is>
      </c>
      <c r="K588" s="0">
        <f>IF(H587="1)",1,IF(H587="2)",2,IF(H587="3)",3,IF(H587="4)",4,IF(H587="5)",5,IF(H587="6)",6,IF(H587="7)",7,IF(H587="8)",8,0))))))))</f>
        <v/>
      </c>
      <c r="L588" s="0">
        <f>IF(H587="1)",J587,IF(H587="2)",J587,IF(H587="3)",J587,IF(H587="4)",J587,IF(H587="5)",J587,IF(H587="6)",J587,IF(H587="7)",J587,IF(H587="8)",J587,0))))))))</f>
        <v/>
      </c>
    </row>
    <row r="589">
      <c r="A589" s="0" t="inlineStr">
        <is>
          <t>Line</t>
        </is>
      </c>
      <c r="B589" s="0" t="inlineStr">
        <is>
          <t>Prize</t>
        </is>
      </c>
      <c r="C589" s="0" t="inlineStr">
        <is>
          <t>Acquired</t>
        </is>
      </c>
      <c r="D589" s="0" t="inlineStr">
        <is>
          <t>:</t>
        </is>
      </c>
      <c r="E589" s="0" t="inlineStr">
        <is>
          <t>1.36M</t>
        </is>
      </c>
      <c r="F589" s="0" t="inlineStr">
        <is>
          <t>(Stage</t>
        </is>
      </c>
      <c r="G589" s="0" t="inlineStr">
        <is>
          <t>:</t>
        </is>
      </c>
      <c r="H589" s="0" t="inlineStr">
        <is>
          <t>5)</t>
        </is>
      </c>
      <c r="I589" s="0" t="inlineStr">
        <is>
          <t>-</t>
        </is>
      </c>
      <c r="J589" s="0" t="n">
        <v>1360000</v>
      </c>
      <c r="K589" s="0">
        <f>IF(H588="1)",1,IF(H588="2)",2,IF(H588="3)",3,IF(H588="4)",4,IF(H588="5)",5,IF(H588="6)",6,IF(H588="7)",7,IF(H588="8)",8,0))))))))</f>
        <v/>
      </c>
      <c r="L589" s="0">
        <f>IF(H588="1)",J588,IF(H588="2)",J588,IF(H588="3)",J588,IF(H588="4)",J588,IF(H588="5)",J588,IF(H588="6)",J588,IF(H588="7)",J588,IF(H588="8)",J588,0))))))))</f>
        <v/>
      </c>
    </row>
    <row r="590">
      <c r="A590" s="0" t="inlineStr">
        <is>
          <t>Clear</t>
        </is>
      </c>
      <c r="B590" s="0" t="inlineStr">
        <is>
          <t>Gem</t>
        </is>
      </c>
      <c r="C590" s="0" t="inlineStr">
        <is>
          <t>Acquired</t>
        </is>
      </c>
      <c r="D590" s="0" t="inlineStr">
        <is>
          <t>:</t>
        </is>
      </c>
      <c r="E590" s="0" t="n">
        <v>3200</v>
      </c>
      <c r="F590" s="0" t="inlineStr">
        <is>
          <t>-&gt;</t>
        </is>
      </c>
      <c r="G590" s="0" t="n">
        <v>3300</v>
      </c>
      <c r="H590" s="0" t="inlineStr">
        <is>
          <t>(Stage</t>
        </is>
      </c>
      <c r="I590" s="0" t="inlineStr">
        <is>
          <t>:</t>
        </is>
      </c>
      <c r="J590" s="0" t="inlineStr">
        <is>
          <t>5)</t>
        </is>
      </c>
      <c r="K590" s="0">
        <f>IF(H589="1)",1,IF(H589="2)",2,IF(H589="3)",3,IF(H589="4)",4,IF(H589="5)",5,IF(H589="6)",6,IF(H589="7)",7,IF(H589="8)",8,0))))))))</f>
        <v/>
      </c>
      <c r="L590" s="0">
        <f>IF(H589="1)",J589,IF(H589="2)",J589,IF(H589="3)",J589,IF(H589="4)",J589,IF(H589="5)",J589,IF(H589="6)",J589,IF(H589="7)",J589,IF(H589="8)",J589,0))))))))</f>
        <v/>
      </c>
    </row>
    <row r="591">
      <c r="A591" s="0" t="inlineStr">
        <is>
          <t>New</t>
        </is>
      </c>
      <c r="B591" s="0" t="inlineStr">
        <is>
          <t>Item</t>
        </is>
      </c>
      <c r="C591" s="0" t="inlineStr">
        <is>
          <t>Acquired</t>
        </is>
      </c>
      <c r="D591" s="0" t="inlineStr">
        <is>
          <t>:</t>
        </is>
      </c>
      <c r="E591" s="0" t="inlineStr">
        <is>
          <t>90.00K</t>
        </is>
      </c>
      <c r="F591" s="0" t="inlineStr">
        <is>
          <t>(7,</t>
        </is>
      </c>
      <c r="G591" s="0" t="inlineStr">
        <is>
          <t>21)</t>
        </is>
      </c>
      <c r="K591" s="0">
        <f>IF(H590="1)",1,IF(H590="2)",2,IF(H590="3)",3,IF(H590="4)",4,IF(H590="5)",5,IF(H590="6)",6,IF(H590="7)",7,IF(H590="8)",8,0))))))))</f>
        <v/>
      </c>
      <c r="L591" s="0">
        <f>IF(H590="1)",J590,IF(H590="2)",J590,IF(H590="3)",J590,IF(H590="4)",J590,IF(H590="5)",J590,IF(H590="6)",J590,IF(H590="7)",J590,IF(H590="8)",J590,0))))))))</f>
        <v/>
      </c>
    </row>
    <row r="592">
      <c r="A592" s="0" t="inlineStr">
        <is>
          <t>New</t>
        </is>
      </c>
      <c r="B592" s="0" t="inlineStr">
        <is>
          <t>Item</t>
        </is>
      </c>
      <c r="C592" s="0" t="inlineStr">
        <is>
          <t>Acquired</t>
        </is>
      </c>
      <c r="D592" s="0" t="inlineStr">
        <is>
          <t>:</t>
        </is>
      </c>
      <c r="E592" s="0" t="inlineStr">
        <is>
          <t>Mini</t>
        </is>
      </c>
      <c r="F592" s="0" t="inlineStr">
        <is>
          <t>(2,</t>
        </is>
      </c>
      <c r="G592" s="0" t="inlineStr">
        <is>
          <t>3)</t>
        </is>
      </c>
      <c r="K592" s="0">
        <f>IF(H591="1)",1,IF(H591="2)",2,IF(H591="3)",3,IF(H591="4)",4,IF(H591="5)",5,IF(H591="6)",6,IF(H591="7)",7,IF(H591="8)",8,0))))))))</f>
        <v/>
      </c>
      <c r="L592" s="0">
        <f>IF(H591="1)",J591,IF(H591="2)",J591,IF(H591="3)",J591,IF(H591="4)",J591,IF(H591="5)",J591,IF(H591="6)",J591,IF(H591="7)",J591,IF(H591="8)",J591,0))))))))</f>
        <v/>
      </c>
    </row>
    <row r="593">
      <c r="A593" s="0" t="inlineStr">
        <is>
          <t>Item</t>
        </is>
      </c>
      <c r="B593" s="0" t="inlineStr">
        <is>
          <t>ReSelect</t>
        </is>
      </c>
      <c r="C593" s="0" t="inlineStr">
        <is>
          <t>Failed</t>
        </is>
      </c>
      <c r="D593" s="0" t="inlineStr">
        <is>
          <t>:</t>
        </is>
      </c>
      <c r="E593" s="0" t="inlineStr">
        <is>
          <t>Attempt</t>
        </is>
      </c>
      <c r="F593" s="0" t="inlineStr">
        <is>
          <t>Count</t>
        </is>
      </c>
      <c r="G593" s="0" t="inlineStr">
        <is>
          <t>-</t>
        </is>
      </c>
      <c r="H593" s="0" t="n">
        <v>3</v>
      </c>
      <c r="K593" s="0">
        <f>IF(H592="1)",1,IF(H592="2)",2,IF(H592="3)",3,IF(H592="4)",4,IF(H592="5)",5,IF(H592="6)",6,IF(H592="7)",7,IF(H592="8)",8,0))))))))</f>
        <v/>
      </c>
      <c r="L593" s="0">
        <f>IF(H592="1)",J592,IF(H592="2)",J592,IF(H592="3)",J592,IF(H592="4)",J592,IF(H592="5)",J592,IF(H592="6)",J592,IF(H592="7)",J592,IF(H592="8)",J592,0))))))))</f>
        <v/>
      </c>
    </row>
    <row r="594">
      <c r="A594" s="0" t="inlineStr">
        <is>
          <t>New</t>
        </is>
      </c>
      <c r="B594" s="0" t="inlineStr">
        <is>
          <t>Item</t>
        </is>
      </c>
      <c r="C594" s="0" t="inlineStr">
        <is>
          <t>Acquired</t>
        </is>
      </c>
      <c r="D594" s="0" t="inlineStr">
        <is>
          <t>:</t>
        </is>
      </c>
      <c r="E594" s="0" t="inlineStr">
        <is>
          <t>125.00K</t>
        </is>
      </c>
      <c r="F594" s="0" t="inlineStr">
        <is>
          <t>(6,</t>
        </is>
      </c>
      <c r="G594" s="0" t="inlineStr">
        <is>
          <t>21)</t>
        </is>
      </c>
      <c r="K594" s="0">
        <f>IF(H593="1)",1,IF(H593="2)",2,IF(H593="3)",3,IF(H593="4)",4,IF(H593="5)",5,IF(H593="6)",6,IF(H593="7)",7,IF(H593="8)",8,0))))))))</f>
        <v/>
      </c>
      <c r="L594" s="0">
        <f>IF(H593="1)",J593,IF(H593="2)",J593,IF(H593="3)",J593,IF(H593="4)",J593,IF(H593="5)",J593,IF(H593="6)",J593,IF(H593="7)",J593,IF(H593="8)",J593,0))))))))</f>
        <v/>
      </c>
    </row>
    <row r="595">
      <c r="A595" s="0" t="inlineStr">
        <is>
          <t>Line</t>
        </is>
      </c>
      <c r="B595" s="0" t="inlineStr">
        <is>
          <t>Prize</t>
        </is>
      </c>
      <c r="C595" s="0" t="inlineStr">
        <is>
          <t>Acquired</t>
        </is>
      </c>
      <c r="D595" s="0" t="inlineStr">
        <is>
          <t>:</t>
        </is>
      </c>
      <c r="E595" s="0" t="inlineStr">
        <is>
          <t>525.00K</t>
        </is>
      </c>
      <c r="F595" s="0" t="inlineStr">
        <is>
          <t>(Stage</t>
        </is>
      </c>
      <c r="G595" s="0" t="inlineStr">
        <is>
          <t>:</t>
        </is>
      </c>
      <c r="H595" s="0" t="inlineStr">
        <is>
          <t>6)</t>
        </is>
      </c>
      <c r="I595" s="0" t="inlineStr">
        <is>
          <t>-</t>
        </is>
      </c>
      <c r="J595" s="0" t="n">
        <v>525000</v>
      </c>
      <c r="K595" s="0">
        <f>IF(H594="1)",1,IF(H594="2)",2,IF(H594="3)",3,IF(H594="4)",4,IF(H594="5)",5,IF(H594="6)",6,IF(H594="7)",7,IF(H594="8)",8,0))))))))</f>
        <v/>
      </c>
      <c r="L595" s="0">
        <f>IF(H594="1)",J594,IF(H594="2)",J594,IF(H594="3)",J594,IF(H594="4)",J594,IF(H594="5)",J594,IF(H594="6)",J594,IF(H594="7)",J594,IF(H594="8)",J594,0))))))))</f>
        <v/>
      </c>
    </row>
    <row r="596">
      <c r="A596" s="0" t="inlineStr">
        <is>
          <t>Clear</t>
        </is>
      </c>
      <c r="B596" s="0" t="inlineStr">
        <is>
          <t>Gem</t>
        </is>
      </c>
      <c r="C596" s="0" t="inlineStr">
        <is>
          <t>Acquired</t>
        </is>
      </c>
      <c r="D596" s="0" t="inlineStr">
        <is>
          <t>:</t>
        </is>
      </c>
      <c r="E596" s="0" t="n">
        <v>3300</v>
      </c>
      <c r="F596" s="0" t="inlineStr">
        <is>
          <t>-&gt;</t>
        </is>
      </c>
      <c r="G596" s="0" t="n">
        <v>3400</v>
      </c>
      <c r="H596" s="0" t="inlineStr">
        <is>
          <t>(Stage</t>
        </is>
      </c>
      <c r="I596" s="0" t="inlineStr">
        <is>
          <t>:</t>
        </is>
      </c>
      <c r="J596" s="0" t="inlineStr">
        <is>
          <t>6)</t>
        </is>
      </c>
      <c r="K596" s="0">
        <f>IF(H595="1)",1,IF(H595="2)",2,IF(H595="3)",3,IF(H595="4)",4,IF(H595="5)",5,IF(H595="6)",6,IF(H595="7)",7,IF(H595="8)",8,0))))))))</f>
        <v/>
      </c>
      <c r="L596" s="0">
        <f>IF(H595="1)",J595,IF(H595="2)",J595,IF(H595="3)",J595,IF(H595="4)",J595,IF(H595="5)",J595,IF(H595="6)",J595,IF(H595="7)",J595,IF(H595="8)",J595,0))))))))</f>
        <v/>
      </c>
    </row>
    <row r="597">
      <c r="A597" s="0" t="inlineStr">
        <is>
          <t>New</t>
        </is>
      </c>
      <c r="B597" s="0" t="inlineStr">
        <is>
          <t>Item</t>
        </is>
      </c>
      <c r="C597" s="0" t="inlineStr">
        <is>
          <t>Acquired</t>
        </is>
      </c>
      <c r="D597" s="0" t="inlineStr">
        <is>
          <t>:</t>
        </is>
      </c>
      <c r="E597" s="0" t="inlineStr">
        <is>
          <t>45.00K</t>
        </is>
      </c>
      <c r="F597" s="0" t="inlineStr">
        <is>
          <t>(3,</t>
        </is>
      </c>
      <c r="G597" s="0" t="inlineStr">
        <is>
          <t>16)</t>
        </is>
      </c>
      <c r="K597" s="0">
        <f>IF(H596="1)",1,IF(H596="2)",2,IF(H596="3)",3,IF(H596="4)",4,IF(H596="5)",5,IF(H596="6)",6,IF(H596="7)",7,IF(H596="8)",8,0))))))))</f>
        <v/>
      </c>
      <c r="L597" s="0">
        <f>IF(H596="1)",J596,IF(H596="2)",J596,IF(H596="3)",J596,IF(H596="4)",J596,IF(H596="5)",J596,IF(H596="6)",J596,IF(H596="7)",J596,IF(H596="8)",J596,0))))))))</f>
        <v/>
      </c>
    </row>
    <row r="598">
      <c r="A598" s="0" t="inlineStr">
        <is>
          <t>New</t>
        </is>
      </c>
      <c r="B598" s="0" t="inlineStr">
        <is>
          <t>Item</t>
        </is>
      </c>
      <c r="C598" s="0" t="inlineStr">
        <is>
          <t>Acquired</t>
        </is>
      </c>
      <c r="D598" s="0" t="inlineStr">
        <is>
          <t>:</t>
        </is>
      </c>
      <c r="E598" s="0" t="inlineStr">
        <is>
          <t>Mini</t>
        </is>
      </c>
      <c r="F598" s="0" t="inlineStr">
        <is>
          <t>(8,</t>
        </is>
      </c>
      <c r="G598" s="0" t="inlineStr">
        <is>
          <t>11)</t>
        </is>
      </c>
      <c r="K598" s="0">
        <f>IF(H597="1)",1,IF(H597="2)",2,IF(H597="3)",3,IF(H597="4)",4,IF(H597="5)",5,IF(H597="6)",6,IF(H597="7)",7,IF(H597="8)",8,0))))))))</f>
        <v/>
      </c>
      <c r="L598" s="0">
        <f>IF(H597="1)",J597,IF(H597="2)",J597,IF(H597="3)",J597,IF(H597="4)",J597,IF(H597="5)",J597,IF(H597="6)",J597,IF(H597="7)",J597,IF(H597="8)",J597,0))))))))</f>
        <v/>
      </c>
    </row>
    <row r="599">
      <c r="A599" s="0" t="inlineStr">
        <is>
          <t>New</t>
        </is>
      </c>
      <c r="B599" s="0" t="inlineStr">
        <is>
          <t>Item</t>
        </is>
      </c>
      <c r="C599" s="0" t="inlineStr">
        <is>
          <t>Acquired</t>
        </is>
      </c>
      <c r="D599" s="0" t="inlineStr">
        <is>
          <t>:</t>
        </is>
      </c>
      <c r="E599" s="0" t="inlineStr">
        <is>
          <t>280.00K</t>
        </is>
      </c>
      <c r="F599" s="0" t="inlineStr">
        <is>
          <t>(8,</t>
        </is>
      </c>
      <c r="G599" s="0" t="inlineStr">
        <is>
          <t>2)</t>
        </is>
      </c>
      <c r="K599" s="0">
        <f>IF(H598="1)",1,IF(H598="2)",2,IF(H598="3)",3,IF(H598="4)",4,IF(H598="5)",5,IF(H598="6)",6,IF(H598="7)",7,IF(H598="8)",8,0))))))))</f>
        <v/>
      </c>
      <c r="L599" s="0">
        <f>IF(H598="1)",J598,IF(H598="2)",J598,IF(H598="3)",J598,IF(H598="4)",J598,IF(H598="5)",J598,IF(H598="6)",J598,IF(H598="7)",J598,IF(H598="8)",J598,0))))))))</f>
        <v/>
      </c>
    </row>
    <row r="600">
      <c r="A600" s="0" t="inlineStr">
        <is>
          <t>New</t>
        </is>
      </c>
      <c r="B600" s="0" t="inlineStr">
        <is>
          <t>Item</t>
        </is>
      </c>
      <c r="C600" s="0" t="inlineStr">
        <is>
          <t>Acquired</t>
        </is>
      </c>
      <c r="D600" s="0" t="inlineStr">
        <is>
          <t>:</t>
        </is>
      </c>
      <c r="E600" s="0" t="inlineStr">
        <is>
          <t>75.00K</t>
        </is>
      </c>
      <c r="F600" s="0" t="inlineStr">
        <is>
          <t>(3,</t>
        </is>
      </c>
      <c r="G600" s="0" t="inlineStr">
        <is>
          <t>8)</t>
        </is>
      </c>
      <c r="K600" s="0">
        <f>IF(H599="1)",1,IF(H599="2)",2,IF(H599="3)",3,IF(H599="4)",4,IF(H599="5)",5,IF(H599="6)",6,IF(H599="7)",7,IF(H599="8)",8,0))))))))</f>
        <v/>
      </c>
      <c r="L600" s="0">
        <f>IF(H599="1)",J599,IF(H599="2)",J599,IF(H599="3)",J599,IF(H599="4)",J599,IF(H599="5)",J599,IF(H599="6)",J599,IF(H599="7)",J599,IF(H599="8)",J599,0))))))))</f>
        <v/>
      </c>
    </row>
    <row r="601">
      <c r="A601" s="0" t="inlineStr">
        <is>
          <t>New</t>
        </is>
      </c>
      <c r="B601" s="0" t="inlineStr">
        <is>
          <t>Item</t>
        </is>
      </c>
      <c r="C601" s="0" t="inlineStr">
        <is>
          <t>Acquired</t>
        </is>
      </c>
      <c r="D601" s="0" t="inlineStr">
        <is>
          <t>:</t>
        </is>
      </c>
      <c r="E601" s="0" t="inlineStr">
        <is>
          <t>75.00K</t>
        </is>
      </c>
      <c r="F601" s="0" t="inlineStr">
        <is>
          <t>(6,</t>
        </is>
      </c>
      <c r="G601" s="0" t="inlineStr">
        <is>
          <t>7)</t>
        </is>
      </c>
      <c r="K601" s="0">
        <f>IF(H600="1)",1,IF(H600="2)",2,IF(H600="3)",3,IF(H600="4)",4,IF(H600="5)",5,IF(H600="6)",6,IF(H600="7)",7,IF(H600="8)",8,0))))))))</f>
        <v/>
      </c>
      <c r="L601" s="0">
        <f>IF(H600="1)",J600,IF(H600="2)",J600,IF(H600="3)",J600,IF(H600="4)",J600,IF(H600="5)",J600,IF(H600="6)",J600,IF(H600="7)",J600,IF(H600="8)",J600,0))))))))</f>
        <v/>
      </c>
    </row>
    <row r="602">
      <c r="A602" s="0" t="inlineStr">
        <is>
          <t>New</t>
        </is>
      </c>
      <c r="B602" s="0" t="inlineStr">
        <is>
          <t>Item</t>
        </is>
      </c>
      <c r="C602" s="0" t="inlineStr">
        <is>
          <t>Acquired</t>
        </is>
      </c>
      <c r="D602" s="0" t="inlineStr">
        <is>
          <t>:</t>
        </is>
      </c>
      <c r="E602" s="0" t="inlineStr">
        <is>
          <t>67.50K</t>
        </is>
      </c>
      <c r="F602" s="0" t="inlineStr">
        <is>
          <t>(5,</t>
        </is>
      </c>
      <c r="G602" s="0" t="inlineStr">
        <is>
          <t>4)</t>
        </is>
      </c>
      <c r="K602" s="0">
        <f>IF(H601="1)",1,IF(H601="2)",2,IF(H601="3)",3,IF(H601="4)",4,IF(H601="5)",5,IF(H601="6)",6,IF(H601="7)",7,IF(H601="8)",8,0))))))))</f>
        <v/>
      </c>
      <c r="L602" s="0">
        <f>IF(H601="1)",J601,IF(H601="2)",J601,IF(H601="3)",J601,IF(H601="4)",J601,IF(H601="5)",J601,IF(H601="6)",J601,IF(H601="7)",J601,IF(H601="8)",J601,0))))))))</f>
        <v/>
      </c>
    </row>
    <row r="603">
      <c r="A603" s="0" t="inlineStr">
        <is>
          <t>New</t>
        </is>
      </c>
      <c r="B603" s="0" t="inlineStr">
        <is>
          <t>Item</t>
        </is>
      </c>
      <c r="C603" s="0" t="inlineStr">
        <is>
          <t>Acquired</t>
        </is>
      </c>
      <c r="D603" s="0" t="inlineStr">
        <is>
          <t>:</t>
        </is>
      </c>
      <c r="E603" s="0" t="inlineStr">
        <is>
          <t>120.00K</t>
        </is>
      </c>
      <c r="F603" s="0" t="inlineStr">
        <is>
          <t>(8,</t>
        </is>
      </c>
      <c r="G603" s="0" t="inlineStr">
        <is>
          <t>1)</t>
        </is>
      </c>
      <c r="K603" s="0">
        <f>IF(H602="1)",1,IF(H602="2)",2,IF(H602="3)",3,IF(H602="4)",4,IF(H602="5)",5,IF(H602="6)",6,IF(H602="7)",7,IF(H602="8)",8,0))))))))</f>
        <v/>
      </c>
      <c r="L603" s="0">
        <f>IF(H602="1)",J602,IF(H602="2)",J602,IF(H602="3)",J602,IF(H602="4)",J602,IF(H602="5)",J602,IF(H602="6)",J602,IF(H602="7)",J602,IF(H602="8)",J602,0))))))))</f>
        <v/>
      </c>
    </row>
    <row r="604">
      <c r="A604" s="0" t="inlineStr">
        <is>
          <t>New</t>
        </is>
      </c>
      <c r="B604" s="0" t="inlineStr">
        <is>
          <t>Item</t>
        </is>
      </c>
      <c r="C604" s="0" t="inlineStr">
        <is>
          <t>Acquired</t>
        </is>
      </c>
      <c r="D604" s="0" t="inlineStr">
        <is>
          <t>:</t>
        </is>
      </c>
      <c r="E604" s="0" t="inlineStr">
        <is>
          <t>157.50K</t>
        </is>
      </c>
      <c r="F604" s="0" t="inlineStr">
        <is>
          <t>(5,</t>
        </is>
      </c>
      <c r="G604" s="0" t="inlineStr">
        <is>
          <t>7)</t>
        </is>
      </c>
      <c r="K604" s="0">
        <f>IF(H603="1)",1,IF(H603="2)",2,IF(H603="3)",3,IF(H603="4)",4,IF(H603="5)",5,IF(H603="6)",6,IF(H603="7)",7,IF(H603="8)",8,0))))))))</f>
        <v/>
      </c>
      <c r="L604" s="0">
        <f>IF(H603="1)",J603,IF(H603="2)",J603,IF(H603="3)",J603,IF(H603="4)",J603,IF(H603="5)",J603,IF(H603="6)",J603,IF(H603="7)",J603,IF(H603="8)",J603,0))))))))</f>
        <v/>
      </c>
    </row>
    <row r="605">
      <c r="A605" s="0" t="inlineStr">
        <is>
          <t>New</t>
        </is>
      </c>
      <c r="B605" s="0" t="inlineStr">
        <is>
          <t>Item</t>
        </is>
      </c>
      <c r="C605" s="0" t="inlineStr">
        <is>
          <t>Acquired</t>
        </is>
      </c>
      <c r="D605" s="0" t="inlineStr">
        <is>
          <t>:</t>
        </is>
      </c>
      <c r="E605" s="0" t="inlineStr">
        <is>
          <t>157.50K</t>
        </is>
      </c>
      <c r="F605" s="0" t="inlineStr">
        <is>
          <t>(5,</t>
        </is>
      </c>
      <c r="G605" s="0" t="inlineStr">
        <is>
          <t>5)</t>
        </is>
      </c>
      <c r="K605" s="0">
        <f>IF(H604="1)",1,IF(H604="2)",2,IF(H604="3)",3,IF(H604="4)",4,IF(H604="5)",5,IF(H604="6)",6,IF(H604="7)",7,IF(H604="8)",8,0))))))))</f>
        <v/>
      </c>
      <c r="L605" s="0">
        <f>IF(H604="1)",J604,IF(H604="2)",J604,IF(H604="3)",J604,IF(H604="4)",J604,IF(H604="5)",J604,IF(H604="6)",J604,IF(H604="7)",J604,IF(H604="8)",J604,0))))))))</f>
        <v/>
      </c>
    </row>
    <row r="606">
      <c r="A606" s="0" t="inlineStr">
        <is>
          <t>New</t>
        </is>
      </c>
      <c r="B606" s="0" t="inlineStr">
        <is>
          <t>Item</t>
        </is>
      </c>
      <c r="C606" s="0" t="inlineStr">
        <is>
          <t>Acquired</t>
        </is>
      </c>
      <c r="D606" s="0" t="inlineStr">
        <is>
          <t>:</t>
        </is>
      </c>
      <c r="E606" s="0" t="inlineStr">
        <is>
          <t>Minor</t>
        </is>
      </c>
      <c r="F606" s="0" t="inlineStr">
        <is>
          <t>(2,</t>
        </is>
      </c>
      <c r="G606" s="0" t="inlineStr">
        <is>
          <t>14)</t>
        </is>
      </c>
      <c r="K606" s="0">
        <f>IF(H605="1)",1,IF(H605="2)",2,IF(H605="3)",3,IF(H605="4)",4,IF(H605="5)",5,IF(H605="6)",6,IF(H605="7)",7,IF(H605="8)",8,0))))))))</f>
        <v/>
      </c>
      <c r="L606" s="0">
        <f>IF(H605="1)",J605,IF(H605="2)",J605,IF(H605="3)",J605,IF(H605="4)",J605,IF(H605="5)",J605,IF(H605="6)",J605,IF(H605="7)",J605,IF(H605="8)",J605,0))))))))</f>
        <v/>
      </c>
    </row>
    <row r="607">
      <c r="A607" s="0" t="inlineStr">
        <is>
          <t>New</t>
        </is>
      </c>
      <c r="B607" s="0" t="inlineStr">
        <is>
          <t>Item</t>
        </is>
      </c>
      <c r="C607" s="0" t="inlineStr">
        <is>
          <t>Acquired</t>
        </is>
      </c>
      <c r="D607" s="0" t="inlineStr">
        <is>
          <t>:</t>
        </is>
      </c>
      <c r="E607" s="0" t="inlineStr">
        <is>
          <t>30.00K</t>
        </is>
      </c>
      <c r="F607" s="0" t="inlineStr">
        <is>
          <t>(1,</t>
        </is>
      </c>
      <c r="G607" s="0" t="inlineStr">
        <is>
          <t>7)</t>
        </is>
      </c>
      <c r="K607" s="0">
        <f>IF(H606="1)",1,IF(H606="2)",2,IF(H606="3)",3,IF(H606="4)",4,IF(H606="5)",5,IF(H606="6)",6,IF(H606="7)",7,IF(H606="8)",8,0))))))))</f>
        <v/>
      </c>
      <c r="L607" s="0">
        <f>IF(H606="1)",J606,IF(H606="2)",J606,IF(H606="3)",J606,IF(H606="4)",J606,IF(H606="5)",J606,IF(H606="6)",J606,IF(H606="7)",J606,IF(H606="8)",J606,0))))))))</f>
        <v/>
      </c>
    </row>
    <row r="608">
      <c r="A608" s="0" t="inlineStr">
        <is>
          <t>New</t>
        </is>
      </c>
      <c r="B608" s="0" t="inlineStr">
        <is>
          <t>Item</t>
        </is>
      </c>
      <c r="C608" s="0" t="inlineStr">
        <is>
          <t>Acquired</t>
        </is>
      </c>
      <c r="D608" s="0" t="inlineStr">
        <is>
          <t>:</t>
        </is>
      </c>
      <c r="E608" s="0" t="inlineStr">
        <is>
          <t>280.00K</t>
        </is>
      </c>
      <c r="F608" s="0" t="inlineStr">
        <is>
          <t>(8,</t>
        </is>
      </c>
      <c r="G608" s="0" t="inlineStr">
        <is>
          <t>23)</t>
        </is>
      </c>
      <c r="K608" s="0">
        <f>IF(H607="1)",1,IF(H607="2)",2,IF(H607="3)",3,IF(H607="4)",4,IF(H607="5)",5,IF(H607="6)",6,IF(H607="7)",7,IF(H607="8)",8,0))))))))</f>
        <v/>
      </c>
      <c r="L608" s="0">
        <f>IF(H607="1)",J607,IF(H607="2)",J607,IF(H607="3)",J607,IF(H607="4)",J607,IF(H607="5)",J607,IF(H607="6)",J607,IF(H607="7)",J607,IF(H607="8)",J607,0))))))))</f>
        <v/>
      </c>
    </row>
    <row r="609">
      <c r="A609" s="0" t="inlineStr">
        <is>
          <t>New</t>
        </is>
      </c>
      <c r="B609" s="0" t="inlineStr">
        <is>
          <t>Item</t>
        </is>
      </c>
      <c r="C609" s="0" t="inlineStr">
        <is>
          <t>Acquired</t>
        </is>
      </c>
      <c r="D609" s="0" t="inlineStr">
        <is>
          <t>:</t>
        </is>
      </c>
      <c r="E609" s="0" t="inlineStr">
        <is>
          <t>62.50K</t>
        </is>
      </c>
      <c r="F609" s="0" t="inlineStr">
        <is>
          <t>(2,</t>
        </is>
      </c>
      <c r="G609" s="0" t="inlineStr">
        <is>
          <t>11)</t>
        </is>
      </c>
      <c r="K609" s="0">
        <f>IF(H608="1)",1,IF(H608="2)",2,IF(H608="3)",3,IF(H608="4)",4,IF(H608="5)",5,IF(H608="6)",6,IF(H608="7)",7,IF(H608="8)",8,0))))))))</f>
        <v/>
      </c>
      <c r="L609" s="0">
        <f>IF(H608="1)",J608,IF(H608="2)",J608,IF(H608="3)",J608,IF(H608="4)",J608,IF(H608="5)",J608,IF(H608="6)",J608,IF(H608="7)",J608,IF(H608="8)",J608,0))))))))</f>
        <v/>
      </c>
    </row>
    <row r="610">
      <c r="A610" s="0" t="inlineStr">
        <is>
          <t>New</t>
        </is>
      </c>
      <c r="B610" s="0" t="inlineStr">
        <is>
          <t>Item</t>
        </is>
      </c>
      <c r="C610" s="0" t="inlineStr">
        <is>
          <t>Acquired</t>
        </is>
      </c>
      <c r="D610" s="0" t="inlineStr">
        <is>
          <t>:</t>
        </is>
      </c>
      <c r="E610" s="0" t="inlineStr">
        <is>
          <t>157.50K</t>
        </is>
      </c>
      <c r="F610" s="0" t="inlineStr">
        <is>
          <t>(5,</t>
        </is>
      </c>
      <c r="G610" s="0" t="inlineStr">
        <is>
          <t>21)</t>
        </is>
      </c>
      <c r="K610" s="0">
        <f>IF(H609="1)",1,IF(H609="2)",2,IF(H609="3)",3,IF(H609="4)",4,IF(H609="5)",5,IF(H609="6)",6,IF(H609="7)",7,IF(H609="8)",8,0))))))))</f>
        <v/>
      </c>
      <c r="L610" s="0">
        <f>IF(H609="1)",J609,IF(H609="2)",J609,IF(H609="3)",J609,IF(H609="4)",J609,IF(H609="5)",J609,IF(H609="6)",J609,IF(H609="7)",J609,IF(H609="8)",J609,0))))))))</f>
        <v/>
      </c>
    </row>
    <row r="611">
      <c r="A611" s="0" t="inlineStr">
        <is>
          <t>New</t>
        </is>
      </c>
      <c r="B611" s="0" t="inlineStr">
        <is>
          <t>Item</t>
        </is>
      </c>
      <c r="C611" s="0" t="inlineStr">
        <is>
          <t>Acquired</t>
        </is>
      </c>
      <c r="D611" s="0" t="inlineStr">
        <is>
          <t>:</t>
        </is>
      </c>
      <c r="E611" s="0" t="inlineStr">
        <is>
          <t>120.00K</t>
        </is>
      </c>
      <c r="F611" s="0" t="inlineStr">
        <is>
          <t>(8,</t>
        </is>
      </c>
      <c r="G611" s="0" t="inlineStr">
        <is>
          <t>18)</t>
        </is>
      </c>
      <c r="K611" s="0">
        <f>IF(H610="1)",1,IF(H610="2)",2,IF(H610="3)",3,IF(H610="4)",4,IF(H610="5)",5,IF(H610="6)",6,IF(H610="7)",7,IF(H610="8)",8,0))))))))</f>
        <v/>
      </c>
      <c r="L611" s="0">
        <f>IF(H610="1)",J610,IF(H610="2)",J610,IF(H610="3)",J610,IF(H610="4)",J610,IF(H610="5)",J610,IF(H610="6)",J610,IF(H610="7)",J610,IF(H610="8)",J610,0))))))))</f>
        <v/>
      </c>
    </row>
    <row r="612">
      <c r="A612" s="0" t="inlineStr">
        <is>
          <t>Line</t>
        </is>
      </c>
      <c r="B612" s="0" t="inlineStr">
        <is>
          <t>Prize</t>
        </is>
      </c>
      <c r="C612" s="0" t="inlineStr">
        <is>
          <t>Acquired</t>
        </is>
      </c>
      <c r="D612" s="0" t="inlineStr">
        <is>
          <t>:</t>
        </is>
      </c>
      <c r="E612" s="0" t="inlineStr">
        <is>
          <t>2.32M</t>
        </is>
      </c>
      <c r="F612" s="0" t="inlineStr">
        <is>
          <t>(Stage</t>
        </is>
      </c>
      <c r="G612" s="0" t="inlineStr">
        <is>
          <t>:</t>
        </is>
      </c>
      <c r="H612" s="0" t="inlineStr">
        <is>
          <t>8)</t>
        </is>
      </c>
      <c r="I612" s="0" t="inlineStr">
        <is>
          <t>-</t>
        </is>
      </c>
      <c r="J612" s="0" t="n">
        <v>2320000</v>
      </c>
      <c r="K612" s="0">
        <f>IF(H611="1)",1,IF(H611="2)",2,IF(H611="3)",3,IF(H611="4)",4,IF(H611="5)",5,IF(H611="6)",6,IF(H611="7)",7,IF(H611="8)",8,0))))))))</f>
        <v/>
      </c>
      <c r="L612" s="0">
        <f>IF(H611="1)",J611,IF(H611="2)",J611,IF(H611="3)",J611,IF(H611="4)",J611,IF(H611="5)",J611,IF(H611="6)",J611,IF(H611="7)",J611,IF(H611="8)",J611,0))))))))</f>
        <v/>
      </c>
    </row>
    <row r="613">
      <c r="A613" s="0" t="inlineStr">
        <is>
          <t>Clear</t>
        </is>
      </c>
      <c r="B613" s="0" t="inlineStr">
        <is>
          <t>Gem</t>
        </is>
      </c>
      <c r="C613" s="0" t="inlineStr">
        <is>
          <t>Acquired</t>
        </is>
      </c>
      <c r="D613" s="0" t="inlineStr">
        <is>
          <t>:</t>
        </is>
      </c>
      <c r="E613" s="0" t="n">
        <v>3400</v>
      </c>
      <c r="F613" s="0" t="inlineStr">
        <is>
          <t>-&gt;</t>
        </is>
      </c>
      <c r="G613" s="0" t="n">
        <v>3500</v>
      </c>
      <c r="H613" s="0" t="inlineStr">
        <is>
          <t>(Stage</t>
        </is>
      </c>
      <c r="I613" s="0" t="inlineStr">
        <is>
          <t>:</t>
        </is>
      </c>
      <c r="J613" s="0" t="inlineStr">
        <is>
          <t>8)</t>
        </is>
      </c>
      <c r="K613" s="0">
        <f>IF(H612="1)",1,IF(H612="2)",2,IF(H612="3)",3,IF(H612="4)",4,IF(H612="5)",5,IF(H612="6)",6,IF(H612="7)",7,IF(H612="8)",8,0))))))))</f>
        <v/>
      </c>
      <c r="L613" s="0">
        <f>IF(H612="1)",J612,IF(H612="2)",J612,IF(H612="3)",J612,IF(H612="4)",J612,IF(H612="5)",J612,IF(H612="6)",J612,IF(H612="7)",J612,IF(H612="8)",J612,0))))))))</f>
        <v/>
      </c>
    </row>
    <row r="614">
      <c r="A614" s="0" t="inlineStr">
        <is>
          <t>New</t>
        </is>
      </c>
      <c r="B614" s="0" t="inlineStr">
        <is>
          <t>Item</t>
        </is>
      </c>
      <c r="C614" s="0" t="inlineStr">
        <is>
          <t>Acquired</t>
        </is>
      </c>
      <c r="D614" s="0" t="inlineStr">
        <is>
          <t>:</t>
        </is>
      </c>
      <c r="E614" s="0" t="inlineStr">
        <is>
          <t>75.00K</t>
        </is>
      </c>
      <c r="F614" s="0" t="inlineStr">
        <is>
          <t>(6,</t>
        </is>
      </c>
      <c r="G614" s="0" t="inlineStr">
        <is>
          <t>15)</t>
        </is>
      </c>
      <c r="K614" s="0">
        <f>IF(H613="1)",1,IF(H613="2)",2,IF(H613="3)",3,IF(H613="4)",4,IF(H613="5)",5,IF(H613="6)",6,IF(H613="7)",7,IF(H613="8)",8,0))))))))</f>
        <v/>
      </c>
      <c r="L614" s="0">
        <f>IF(H613="1)",J613,IF(H613="2)",J613,IF(H613="3)",J613,IF(H613="4)",J613,IF(H613="5)",J613,IF(H613="6)",J613,IF(H613="7)",J613,IF(H613="8)",J613,0))))))))</f>
        <v/>
      </c>
    </row>
    <row r="615">
      <c r="A615" s="0" t="inlineStr">
        <is>
          <t>New</t>
        </is>
      </c>
      <c r="B615" s="0" t="inlineStr">
        <is>
          <t>Item</t>
        </is>
      </c>
      <c r="C615" s="0" t="inlineStr">
        <is>
          <t>Acquired</t>
        </is>
      </c>
      <c r="D615" s="0" t="inlineStr">
        <is>
          <t>:</t>
        </is>
      </c>
      <c r="E615" s="0" t="inlineStr">
        <is>
          <t>75.00K</t>
        </is>
      </c>
      <c r="F615" s="0" t="inlineStr">
        <is>
          <t>(3,</t>
        </is>
      </c>
      <c r="G615" s="0" t="inlineStr">
        <is>
          <t>12)</t>
        </is>
      </c>
      <c r="K615" s="0">
        <f>IF(H614="1)",1,IF(H614="2)",2,IF(H614="3)",3,IF(H614="4)",4,IF(H614="5)",5,IF(H614="6)",6,IF(H614="7)",7,IF(H614="8)",8,0))))))))</f>
        <v/>
      </c>
      <c r="L615" s="0">
        <f>IF(H614="1)",J614,IF(H614="2)",J614,IF(H614="3)",J614,IF(H614="4)",J614,IF(H614="5)",J614,IF(H614="6)",J614,IF(H614="7)",J614,IF(H614="8)",J614,0))))))))</f>
        <v/>
      </c>
    </row>
    <row r="616">
      <c r="A616" s="0" t="inlineStr">
        <is>
          <t>New</t>
        </is>
      </c>
      <c r="B616" s="0" t="inlineStr">
        <is>
          <t>Item</t>
        </is>
      </c>
      <c r="C616" s="0" t="inlineStr">
        <is>
          <t>Acquired</t>
        </is>
      </c>
      <c r="D616" s="0" t="inlineStr">
        <is>
          <t>:</t>
        </is>
      </c>
      <c r="E616" s="0" t="inlineStr">
        <is>
          <t>Mini</t>
        </is>
      </c>
      <c r="F616" s="0" t="inlineStr">
        <is>
          <t>(7,</t>
        </is>
      </c>
      <c r="G616" s="0" t="inlineStr">
        <is>
          <t>23)</t>
        </is>
      </c>
      <c r="K616" s="0">
        <f>IF(H615="1)",1,IF(H615="2)",2,IF(H615="3)",3,IF(H615="4)",4,IF(H615="5)",5,IF(H615="6)",6,IF(H615="7)",7,IF(H615="8)",8,0))))))))</f>
        <v/>
      </c>
      <c r="L616" s="0">
        <f>IF(H615="1)",J615,IF(H615="2)",J615,IF(H615="3)",J615,IF(H615="4)",J615,IF(H615="5)",J615,IF(H615="6)",J615,IF(H615="7)",J615,IF(H615="8)",J615,0))))))))</f>
        <v/>
      </c>
    </row>
    <row r="617">
      <c r="A617" s="0" t="inlineStr">
        <is>
          <t>New</t>
        </is>
      </c>
      <c r="B617" s="0" t="inlineStr">
        <is>
          <t>Item</t>
        </is>
      </c>
      <c r="C617" s="0" t="inlineStr">
        <is>
          <t>Acquired</t>
        </is>
      </c>
      <c r="D617" s="0" t="inlineStr">
        <is>
          <t>:</t>
        </is>
      </c>
      <c r="E617" s="0" t="inlineStr">
        <is>
          <t>Minor</t>
        </is>
      </c>
      <c r="F617" s="0" t="inlineStr">
        <is>
          <t>(4,</t>
        </is>
      </c>
      <c r="G617" s="0" t="inlineStr">
        <is>
          <t>6)</t>
        </is>
      </c>
      <c r="K617" s="0">
        <f>IF(H616="1)",1,IF(H616="2)",2,IF(H616="3)",3,IF(H616="4)",4,IF(H616="5)",5,IF(H616="6)",6,IF(H616="7)",7,IF(H616="8)",8,0))))))))</f>
        <v/>
      </c>
      <c r="L617" s="0">
        <f>IF(H616="1)",J616,IF(H616="2)",J616,IF(H616="3)",J616,IF(H616="4)",J616,IF(H616="5)",J616,IF(H616="6)",J616,IF(H616="7)",J616,IF(H616="8)",J616,0))))))))</f>
        <v/>
      </c>
    </row>
    <row r="618">
      <c r="A618" s="0" t="inlineStr">
        <is>
          <t>New</t>
        </is>
      </c>
      <c r="B618" s="0" t="inlineStr">
        <is>
          <t>Item</t>
        </is>
      </c>
      <c r="C618" s="0" t="inlineStr">
        <is>
          <t>Acquired</t>
        </is>
      </c>
      <c r="D618" s="0" t="inlineStr">
        <is>
          <t>:</t>
        </is>
      </c>
      <c r="E618" s="0" t="inlineStr">
        <is>
          <t>30.00K</t>
        </is>
      </c>
      <c r="F618" s="0" t="inlineStr">
        <is>
          <t>(1,</t>
        </is>
      </c>
      <c r="G618" s="0" t="inlineStr">
        <is>
          <t>19)</t>
        </is>
      </c>
      <c r="K618" s="0">
        <f>IF(H617="1)",1,IF(H617="2)",2,IF(H617="3)",3,IF(H617="4)",4,IF(H617="5)",5,IF(H617="6)",6,IF(H617="7)",7,IF(H617="8)",8,0))))))))</f>
        <v/>
      </c>
      <c r="L618" s="0">
        <f>IF(H617="1)",J617,IF(H617="2)",J617,IF(H617="3)",J617,IF(H617="4)",J617,IF(H617="5)",J617,IF(H617="6)",J617,IF(H617="7)",J617,IF(H617="8)",J617,0))))))))</f>
        <v/>
      </c>
    </row>
    <row r="619">
      <c r="A619" s="0" t="inlineStr">
        <is>
          <t>New</t>
        </is>
      </c>
      <c r="B619" s="0" t="inlineStr">
        <is>
          <t>Item</t>
        </is>
      </c>
      <c r="C619" s="0" t="inlineStr">
        <is>
          <t>Acquired</t>
        </is>
      </c>
      <c r="D619" s="0" t="inlineStr">
        <is>
          <t>:</t>
        </is>
      </c>
      <c r="E619" s="0" t="inlineStr">
        <is>
          <t>75.00K</t>
        </is>
      </c>
      <c r="F619" s="0" t="inlineStr">
        <is>
          <t>(6,</t>
        </is>
      </c>
      <c r="G619" s="0" t="inlineStr">
        <is>
          <t>21)</t>
        </is>
      </c>
      <c r="K619" s="0">
        <f>IF(H618="1)",1,IF(H618="2)",2,IF(H618="3)",3,IF(H618="4)",4,IF(H618="5)",5,IF(H618="6)",6,IF(H618="7)",7,IF(H618="8)",8,0))))))))</f>
        <v/>
      </c>
      <c r="L619" s="0">
        <f>IF(H618="1)",J618,IF(H618="2)",J618,IF(H618="3)",J618,IF(H618="4)",J618,IF(H618="5)",J618,IF(H618="6)",J618,IF(H618="7)",J618,IF(H618="8)",J618,0))))))))</f>
        <v/>
      </c>
    </row>
    <row r="620">
      <c r="A620" s="0" t="inlineStr">
        <is>
          <t>New</t>
        </is>
      </c>
      <c r="B620" s="0" t="inlineStr">
        <is>
          <t>Item</t>
        </is>
      </c>
      <c r="C620" s="0" t="inlineStr">
        <is>
          <t>Acquired</t>
        </is>
      </c>
      <c r="D620" s="0" t="inlineStr">
        <is>
          <t>:</t>
        </is>
      </c>
      <c r="E620" s="0" t="inlineStr">
        <is>
          <t>120.00K</t>
        </is>
      </c>
      <c r="F620" s="0" t="inlineStr">
        <is>
          <t>(8,</t>
        </is>
      </c>
      <c r="G620" s="0" t="inlineStr">
        <is>
          <t>11)</t>
        </is>
      </c>
      <c r="K620" s="0">
        <f>IF(H619="1)",1,IF(H619="2)",2,IF(H619="3)",3,IF(H619="4)",4,IF(H619="5)",5,IF(H619="6)",6,IF(H619="7)",7,IF(H619="8)",8,0))))))))</f>
        <v/>
      </c>
      <c r="L620" s="0">
        <f>IF(H619="1)",J619,IF(H619="2)",J619,IF(H619="3)",J619,IF(H619="4)",J619,IF(H619="5)",J619,IF(H619="6)",J619,IF(H619="7)",J619,IF(H619="8)",J619,0))))))))</f>
        <v/>
      </c>
    </row>
    <row r="621">
      <c r="A621" s="0" t="inlineStr">
        <is>
          <t>New</t>
        </is>
      </c>
      <c r="B621" s="0" t="inlineStr">
        <is>
          <t>Item</t>
        </is>
      </c>
      <c r="C621" s="0" t="inlineStr">
        <is>
          <t>Acquired</t>
        </is>
      </c>
      <c r="D621" s="0" t="inlineStr">
        <is>
          <t>:</t>
        </is>
      </c>
      <c r="E621" s="0" t="inlineStr">
        <is>
          <t>90.00K</t>
        </is>
      </c>
      <c r="F621" s="0" t="inlineStr">
        <is>
          <t>(7,</t>
        </is>
      </c>
      <c r="G621" s="0" t="inlineStr">
        <is>
          <t>16)</t>
        </is>
      </c>
      <c r="K621" s="0">
        <f>IF(H620="1)",1,IF(H620="2)",2,IF(H620="3)",3,IF(H620="4)",4,IF(H620="5)",5,IF(H620="6)",6,IF(H620="7)",7,IF(H620="8)",8,0))))))))</f>
        <v/>
      </c>
      <c r="L621" s="0">
        <f>IF(H620="1)",J620,IF(H620="2)",J620,IF(H620="3)",J620,IF(H620="4)",J620,IF(H620="5)",J620,IF(H620="6)",J620,IF(H620="7)",J620,IF(H620="8)",J620,0))))))))</f>
        <v/>
      </c>
    </row>
    <row r="622">
      <c r="A622" s="0" t="inlineStr">
        <is>
          <t>New</t>
        </is>
      </c>
      <c r="B622" s="0" t="inlineStr">
        <is>
          <t>Item</t>
        </is>
      </c>
      <c r="C622" s="0" t="inlineStr">
        <is>
          <t>Acquired</t>
        </is>
      </c>
      <c r="D622" s="0" t="inlineStr">
        <is>
          <t>:</t>
        </is>
      </c>
      <c r="E622" s="0" t="inlineStr">
        <is>
          <t>210.00K</t>
        </is>
      </c>
      <c r="F622" s="0" t="inlineStr">
        <is>
          <t>(7,</t>
        </is>
      </c>
      <c r="G622" s="0" t="inlineStr">
        <is>
          <t>5)</t>
        </is>
      </c>
      <c r="K622" s="0">
        <f>IF(H621="1)",1,IF(H621="2)",2,IF(H621="3)",3,IF(H621="4)",4,IF(H621="5)",5,IF(H621="6)",6,IF(H621="7)",7,IF(H621="8)",8,0))))))))</f>
        <v/>
      </c>
      <c r="L622" s="0">
        <f>IF(H621="1)",J621,IF(H621="2)",J621,IF(H621="3)",J621,IF(H621="4)",J621,IF(H621="5)",J621,IF(H621="6)",J621,IF(H621="7)",J621,IF(H621="8)",J621,0))))))))</f>
        <v/>
      </c>
    </row>
    <row r="623">
      <c r="A623" s="0" t="inlineStr">
        <is>
          <t>New</t>
        </is>
      </c>
      <c r="B623" s="0" t="inlineStr">
        <is>
          <t>Item</t>
        </is>
      </c>
      <c r="C623" s="0" t="inlineStr">
        <is>
          <t>Acquired</t>
        </is>
      </c>
      <c r="D623" s="0" t="inlineStr">
        <is>
          <t>:</t>
        </is>
      </c>
      <c r="E623" s="0" t="inlineStr">
        <is>
          <t>Mini</t>
        </is>
      </c>
      <c r="F623" s="0" t="inlineStr">
        <is>
          <t>(6,</t>
        </is>
      </c>
      <c r="G623" s="0" t="inlineStr">
        <is>
          <t>5)</t>
        </is>
      </c>
      <c r="K623" s="0">
        <f>IF(H622="1)",1,IF(H622="2)",2,IF(H622="3)",3,IF(H622="4)",4,IF(H622="5)",5,IF(H622="6)",6,IF(H622="7)",7,IF(H622="8)",8,0))))))))</f>
        <v/>
      </c>
      <c r="L623" s="0">
        <f>IF(H622="1)",J622,IF(H622="2)",J622,IF(H622="3)",J622,IF(H622="4)",J622,IF(H622="5)",J622,IF(H622="6)",J622,IF(H622="7)",J622,IF(H622="8)",J622,0))))))))</f>
        <v/>
      </c>
    </row>
    <row r="624">
      <c r="A624" s="0" t="inlineStr">
        <is>
          <t>New</t>
        </is>
      </c>
      <c r="B624" s="0" t="inlineStr">
        <is>
          <t>Item</t>
        </is>
      </c>
      <c r="C624" s="0" t="inlineStr">
        <is>
          <t>Acquired</t>
        </is>
      </c>
      <c r="D624" s="0" t="inlineStr">
        <is>
          <t>:</t>
        </is>
      </c>
      <c r="E624" s="0" t="inlineStr">
        <is>
          <t>200.00K</t>
        </is>
      </c>
      <c r="F624" s="0" t="inlineStr">
        <is>
          <t>(8,</t>
        </is>
      </c>
      <c r="G624" s="0" t="inlineStr">
        <is>
          <t>19)</t>
        </is>
      </c>
      <c r="K624" s="0">
        <f>IF(H623="1)",1,IF(H623="2)",2,IF(H623="3)",3,IF(H623="4)",4,IF(H623="5)",5,IF(H623="6)",6,IF(H623="7)",7,IF(H623="8)",8,0))))))))</f>
        <v/>
      </c>
      <c r="L624" s="0">
        <f>IF(H623="1)",J623,IF(H623="2)",J623,IF(H623="3)",J623,IF(H623="4)",J623,IF(H623="5)",J623,IF(H623="6)",J623,IF(H623="7)",J623,IF(H623="8)",J623,0))))))))</f>
        <v/>
      </c>
    </row>
    <row r="625">
      <c r="A625" s="0" t="inlineStr">
        <is>
          <t>New</t>
        </is>
      </c>
      <c r="B625" s="0" t="inlineStr">
        <is>
          <t>Item</t>
        </is>
      </c>
      <c r="C625" s="0" t="inlineStr">
        <is>
          <t>Acquired</t>
        </is>
      </c>
      <c r="D625" s="0" t="inlineStr">
        <is>
          <t>:</t>
        </is>
      </c>
      <c r="E625" s="0" t="inlineStr">
        <is>
          <t>50.00K</t>
        </is>
      </c>
      <c r="F625" s="0" t="inlineStr">
        <is>
          <t>(1,</t>
        </is>
      </c>
      <c r="G625" s="0" t="inlineStr">
        <is>
          <t>15)</t>
        </is>
      </c>
      <c r="K625" s="0">
        <f>IF(H624="1)",1,IF(H624="2)",2,IF(H624="3)",3,IF(H624="4)",4,IF(H624="5)",5,IF(H624="6)",6,IF(H624="7)",7,IF(H624="8)",8,0))))))))</f>
        <v/>
      </c>
      <c r="L625" s="0">
        <f>IF(H624="1)",J624,IF(H624="2)",J624,IF(H624="3)",J624,IF(H624="4)",J624,IF(H624="5)",J624,IF(H624="6)",J624,IF(H624="7)",J624,IF(H624="8)",J624,0))))))))</f>
        <v/>
      </c>
    </row>
    <row r="626">
      <c r="A626" s="0" t="inlineStr">
        <is>
          <t>New</t>
        </is>
      </c>
      <c r="B626" s="0" t="inlineStr">
        <is>
          <t>Item</t>
        </is>
      </c>
      <c r="C626" s="0" t="inlineStr">
        <is>
          <t>Acquired</t>
        </is>
      </c>
      <c r="D626" s="0" t="inlineStr">
        <is>
          <t>:</t>
        </is>
      </c>
      <c r="E626" s="0" t="inlineStr">
        <is>
          <t>280.00K</t>
        </is>
      </c>
      <c r="F626" s="0" t="inlineStr">
        <is>
          <t>(8,</t>
        </is>
      </c>
      <c r="G626" s="0" t="inlineStr">
        <is>
          <t>20)</t>
        </is>
      </c>
      <c r="K626" s="0">
        <f>IF(H625="1)",1,IF(H625="2)",2,IF(H625="3)",3,IF(H625="4)",4,IF(H625="5)",5,IF(H625="6)",6,IF(H625="7)",7,IF(H625="8)",8,0))))))))</f>
        <v/>
      </c>
      <c r="L626" s="0">
        <f>IF(H625="1)",J625,IF(H625="2)",J625,IF(H625="3)",J625,IF(H625="4)",J625,IF(H625="5)",J625,IF(H625="6)",J625,IF(H625="7)",J625,IF(H625="8)",J625,0))))))))</f>
        <v/>
      </c>
    </row>
    <row r="627">
      <c r="A627" s="0" t="inlineStr">
        <is>
          <t>New</t>
        </is>
      </c>
      <c r="B627" s="0" t="inlineStr">
        <is>
          <t>Item</t>
        </is>
      </c>
      <c r="C627" s="0" t="inlineStr">
        <is>
          <t>Acquired</t>
        </is>
      </c>
      <c r="D627" s="0" t="inlineStr">
        <is>
          <t>:</t>
        </is>
      </c>
      <c r="E627" s="0" t="inlineStr">
        <is>
          <t>120.00K</t>
        </is>
      </c>
      <c r="F627" s="0" t="inlineStr">
        <is>
          <t>(8,</t>
        </is>
      </c>
      <c r="G627" s="0" t="inlineStr">
        <is>
          <t>22)</t>
        </is>
      </c>
      <c r="K627" s="0">
        <f>IF(H626="1)",1,IF(H626="2)",2,IF(H626="3)",3,IF(H626="4)",4,IF(H626="5)",5,IF(H626="6)",6,IF(H626="7)",7,IF(H626="8)",8,0))))))))</f>
        <v/>
      </c>
      <c r="L627" s="0">
        <f>IF(H626="1)",J626,IF(H626="2)",J626,IF(H626="3)",J626,IF(H626="4)",J626,IF(H626="5)",J626,IF(H626="6)",J626,IF(H626="7)",J626,IF(H626="8)",J626,0))))))))</f>
        <v/>
      </c>
    </row>
    <row r="628">
      <c r="A628" s="0" t="inlineStr">
        <is>
          <t>New</t>
        </is>
      </c>
      <c r="B628" s="0" t="inlineStr">
        <is>
          <t>Item</t>
        </is>
      </c>
      <c r="C628" s="0" t="inlineStr">
        <is>
          <t>Acquired</t>
        </is>
      </c>
      <c r="D628" s="0" t="inlineStr">
        <is>
          <t>:</t>
        </is>
      </c>
      <c r="E628" s="0" t="inlineStr">
        <is>
          <t>75.00K</t>
        </is>
      </c>
      <c r="F628" s="0" t="inlineStr">
        <is>
          <t>(3,</t>
        </is>
      </c>
      <c r="G628" s="0" t="inlineStr">
        <is>
          <t>22)</t>
        </is>
      </c>
      <c r="K628" s="0">
        <f>IF(H627="1)",1,IF(H627="2)",2,IF(H627="3)",3,IF(H627="4)",4,IF(H627="5)",5,IF(H627="6)",6,IF(H627="7)",7,IF(H627="8)",8,0))))))))</f>
        <v/>
      </c>
      <c r="L628" s="0">
        <f>IF(H627="1)",J627,IF(H627="2)",J627,IF(H627="3)",J627,IF(H627="4)",J627,IF(H627="5)",J627,IF(H627="6)",J627,IF(H627="7)",J627,IF(H627="8)",J627,0))))))))</f>
        <v/>
      </c>
    </row>
    <row r="629">
      <c r="A629" s="0" t="inlineStr">
        <is>
          <t>New</t>
        </is>
      </c>
      <c r="B629" s="0" t="inlineStr">
        <is>
          <t>Item</t>
        </is>
      </c>
      <c r="C629" s="0" t="inlineStr">
        <is>
          <t>Acquired</t>
        </is>
      </c>
      <c r="D629" s="0" t="inlineStr">
        <is>
          <t>:</t>
        </is>
      </c>
      <c r="E629" s="0" t="inlineStr">
        <is>
          <t>120.00K</t>
        </is>
      </c>
      <c r="F629" s="0" t="inlineStr">
        <is>
          <t>(8,</t>
        </is>
      </c>
      <c r="G629" s="0" t="inlineStr">
        <is>
          <t>18)</t>
        </is>
      </c>
      <c r="K629" s="0">
        <f>IF(H628="1)",1,IF(H628="2)",2,IF(H628="3)",3,IF(H628="4)",4,IF(H628="5)",5,IF(H628="6)",6,IF(H628="7)",7,IF(H628="8)",8,0))))))))</f>
        <v/>
      </c>
      <c r="L629" s="0">
        <f>IF(H628="1)",J628,IF(H628="2)",J628,IF(H628="3)",J628,IF(H628="4)",J628,IF(H628="5)",J628,IF(H628="6)",J628,IF(H628="7)",J628,IF(H628="8)",J628,0))))))))</f>
        <v/>
      </c>
    </row>
    <row r="630">
      <c r="A630" s="0" t="inlineStr">
        <is>
          <t>New</t>
        </is>
      </c>
      <c r="B630" s="0" t="inlineStr">
        <is>
          <t>Item</t>
        </is>
      </c>
      <c r="C630" s="0" t="inlineStr">
        <is>
          <t>Acquired</t>
        </is>
      </c>
      <c r="D630" s="0" t="inlineStr">
        <is>
          <t>:</t>
        </is>
      </c>
      <c r="E630" s="0" t="inlineStr">
        <is>
          <t>105.00K</t>
        </is>
      </c>
      <c r="F630" s="0" t="inlineStr">
        <is>
          <t>(3,</t>
        </is>
      </c>
      <c r="G630" s="0" t="inlineStr">
        <is>
          <t>1)</t>
        </is>
      </c>
      <c r="K630" s="0">
        <f>IF(H629="1)",1,IF(H629="2)",2,IF(H629="3)",3,IF(H629="4)",4,IF(H629="5)",5,IF(H629="6)",6,IF(H629="7)",7,IF(H629="8)",8,0))))))))</f>
        <v/>
      </c>
      <c r="L630" s="0">
        <f>IF(H629="1)",J629,IF(H629="2)",J629,IF(H629="3)",J629,IF(H629="4)",J629,IF(H629="5)",J629,IF(H629="6)",J629,IF(H629="7)",J629,IF(H629="8)",J629,0))))))))</f>
        <v/>
      </c>
    </row>
    <row r="631">
      <c r="A631" s="0" t="inlineStr">
        <is>
          <t>Line</t>
        </is>
      </c>
      <c r="B631" s="0" t="inlineStr">
        <is>
          <t>Prize</t>
        </is>
      </c>
      <c r="C631" s="0" t="inlineStr">
        <is>
          <t>Acquired</t>
        </is>
      </c>
      <c r="D631" s="0" t="inlineStr">
        <is>
          <t>:</t>
        </is>
      </c>
      <c r="E631" s="0" t="inlineStr">
        <is>
          <t>435.00K</t>
        </is>
      </c>
      <c r="F631" s="0" t="inlineStr">
        <is>
          <t>(Stage</t>
        </is>
      </c>
      <c r="G631" s="0" t="inlineStr">
        <is>
          <t>:</t>
        </is>
      </c>
      <c r="H631" s="0" t="inlineStr">
        <is>
          <t>3)</t>
        </is>
      </c>
      <c r="I631" s="0" t="inlineStr">
        <is>
          <t>-</t>
        </is>
      </c>
      <c r="J631" s="0" t="n">
        <v>435000</v>
      </c>
      <c r="K631" s="0">
        <f>IF(H630="1)",1,IF(H630="2)",2,IF(H630="3)",3,IF(H630="4)",4,IF(H630="5)",5,IF(H630="6)",6,IF(H630="7)",7,IF(H630="8)",8,0))))))))</f>
        <v/>
      </c>
      <c r="L631" s="0">
        <f>IF(H630="1)",J630,IF(H630="2)",J630,IF(H630="3)",J630,IF(H630="4)",J630,IF(H630="5)",J630,IF(H630="6)",J630,IF(H630="7)",J630,IF(H630="8)",J630,0))))))))</f>
        <v/>
      </c>
    </row>
    <row r="632">
      <c r="A632" s="0" t="inlineStr">
        <is>
          <t>Clear</t>
        </is>
      </c>
      <c r="B632" s="0" t="inlineStr">
        <is>
          <t>Gem</t>
        </is>
      </c>
      <c r="C632" s="0" t="inlineStr">
        <is>
          <t>Acquired</t>
        </is>
      </c>
      <c r="D632" s="0" t="inlineStr">
        <is>
          <t>:</t>
        </is>
      </c>
      <c r="E632" s="0" t="n">
        <v>3500</v>
      </c>
      <c r="F632" s="0" t="inlineStr">
        <is>
          <t>-&gt;</t>
        </is>
      </c>
      <c r="G632" s="0" t="n">
        <v>3600</v>
      </c>
      <c r="H632" s="0" t="inlineStr">
        <is>
          <t>(Stage</t>
        </is>
      </c>
      <c r="I632" s="0" t="inlineStr">
        <is>
          <t>:</t>
        </is>
      </c>
      <c r="J632" s="0" t="inlineStr">
        <is>
          <t>3)</t>
        </is>
      </c>
      <c r="K632" s="0">
        <f>IF(H631="1)",1,IF(H631="2)",2,IF(H631="3)",3,IF(H631="4)",4,IF(H631="5)",5,IF(H631="6)",6,IF(H631="7)",7,IF(H631="8)",8,0))))))))</f>
        <v/>
      </c>
      <c r="L632" s="0">
        <f>IF(H631="1)",J631,IF(H631="2)",J631,IF(H631="3)",J631,IF(H631="4)",J631,IF(H631="5)",J631,IF(H631="6)",J631,IF(H631="7)",J631,IF(H631="8)",J631,0))))))))</f>
        <v/>
      </c>
    </row>
    <row r="633">
      <c r="A633" s="0" t="inlineStr">
        <is>
          <t>New</t>
        </is>
      </c>
      <c r="B633" s="0" t="inlineStr">
        <is>
          <t>Item</t>
        </is>
      </c>
      <c r="C633" s="0" t="inlineStr">
        <is>
          <t>Acquired</t>
        </is>
      </c>
      <c r="D633" s="0" t="inlineStr">
        <is>
          <t>:</t>
        </is>
      </c>
      <c r="E633" s="0" t="inlineStr">
        <is>
          <t>62.50K</t>
        </is>
      </c>
      <c r="F633" s="0" t="inlineStr">
        <is>
          <t>(2,</t>
        </is>
      </c>
      <c r="G633" s="0" t="inlineStr">
        <is>
          <t>23)</t>
        </is>
      </c>
      <c r="K633" s="0">
        <f>IF(H632="1)",1,IF(H632="2)",2,IF(H632="3)",3,IF(H632="4)",4,IF(H632="5)",5,IF(H632="6)",6,IF(H632="7)",7,IF(H632="8)",8,0))))))))</f>
        <v/>
      </c>
      <c r="L633" s="0">
        <f>IF(H632="1)",J632,IF(H632="2)",J632,IF(H632="3)",J632,IF(H632="4)",J632,IF(H632="5)",J632,IF(H632="6)",J632,IF(H632="7)",J632,IF(H632="8)",J632,0))))))))</f>
        <v/>
      </c>
    </row>
    <row r="634">
      <c r="A634" s="0" t="inlineStr">
        <is>
          <t>New</t>
        </is>
      </c>
      <c r="B634" s="0" t="inlineStr">
        <is>
          <t>Item</t>
        </is>
      </c>
      <c r="C634" s="0" t="inlineStr">
        <is>
          <t>Acquired</t>
        </is>
      </c>
      <c r="D634" s="0" t="inlineStr">
        <is>
          <t>:</t>
        </is>
      </c>
      <c r="E634" s="0" t="inlineStr">
        <is>
          <t>150.00K</t>
        </is>
      </c>
      <c r="F634" s="0" t="inlineStr">
        <is>
          <t>(7,</t>
        </is>
      </c>
      <c r="G634" s="0" t="inlineStr">
        <is>
          <t>11)</t>
        </is>
      </c>
      <c r="K634" s="0">
        <f>IF(H633="1)",1,IF(H633="2)",2,IF(H633="3)",3,IF(H633="4)",4,IF(H633="5)",5,IF(H633="6)",6,IF(H633="7)",7,IF(H633="8)",8,0))))))))</f>
        <v/>
      </c>
      <c r="L634" s="0">
        <f>IF(H633="1)",J633,IF(H633="2)",J633,IF(H633="3)",J633,IF(H633="4)",J633,IF(H633="5)",J633,IF(H633="6)",J633,IF(H633="7)",J633,IF(H633="8)",J633,0))))))))</f>
        <v/>
      </c>
    </row>
    <row r="635">
      <c r="A635" s="0" t="inlineStr">
        <is>
          <t>Line</t>
        </is>
      </c>
      <c r="B635" s="0" t="inlineStr">
        <is>
          <t>Prize</t>
        </is>
      </c>
      <c r="C635" s="0" t="inlineStr">
        <is>
          <t>Acquired</t>
        </is>
      </c>
      <c r="D635" s="0" t="inlineStr">
        <is>
          <t>:</t>
        </is>
      </c>
      <c r="E635" s="0" t="inlineStr">
        <is>
          <t>690.00K</t>
        </is>
      </c>
      <c r="F635" s="0" t="inlineStr">
        <is>
          <t>(Stage</t>
        </is>
      </c>
      <c r="G635" s="0" t="inlineStr">
        <is>
          <t>:</t>
        </is>
      </c>
      <c r="H635" s="0" t="inlineStr">
        <is>
          <t>7)</t>
        </is>
      </c>
      <c r="I635" s="0" t="inlineStr">
        <is>
          <t>-</t>
        </is>
      </c>
      <c r="J635" s="0" t="n">
        <v>690000</v>
      </c>
      <c r="K635" s="0">
        <f>IF(H634="1)",1,IF(H634="2)",2,IF(H634="3)",3,IF(H634="4)",4,IF(H634="5)",5,IF(H634="6)",6,IF(H634="7)",7,IF(H634="8)",8,0))))))))</f>
        <v/>
      </c>
      <c r="L635" s="0">
        <f>IF(H634="1)",J634,IF(H634="2)",J634,IF(H634="3)",J634,IF(H634="4)",J634,IF(H634="5)",J634,IF(H634="6)",J634,IF(H634="7)",J634,IF(H634="8)",J634,0))))))))</f>
        <v/>
      </c>
    </row>
    <row r="636">
      <c r="A636" s="0" t="inlineStr">
        <is>
          <t>Clear</t>
        </is>
      </c>
      <c r="B636" s="0" t="inlineStr">
        <is>
          <t>Gem</t>
        </is>
      </c>
      <c r="C636" s="0" t="inlineStr">
        <is>
          <t>Acquired</t>
        </is>
      </c>
      <c r="D636" s="0" t="inlineStr">
        <is>
          <t>:</t>
        </is>
      </c>
      <c r="E636" s="0" t="n">
        <v>3600</v>
      </c>
      <c r="F636" s="0" t="inlineStr">
        <is>
          <t>-&gt;</t>
        </is>
      </c>
      <c r="G636" s="0" t="n">
        <v>3700</v>
      </c>
      <c r="H636" s="0" t="inlineStr">
        <is>
          <t>(Stage</t>
        </is>
      </c>
      <c r="I636" s="0" t="inlineStr">
        <is>
          <t>:</t>
        </is>
      </c>
      <c r="J636" s="0" t="inlineStr">
        <is>
          <t>7)</t>
        </is>
      </c>
      <c r="K636" s="0">
        <f>IF(H635="1)",1,IF(H635="2)",2,IF(H635="3)",3,IF(H635="4)",4,IF(H635="5)",5,IF(H635="6)",6,IF(H635="7)",7,IF(H635="8)",8,0))))))))</f>
        <v/>
      </c>
      <c r="L636" s="0">
        <f>IF(H635="1)",J635,IF(H635="2)",J635,IF(H635="3)",J635,IF(H635="4)",J635,IF(H635="5)",J635,IF(H635="6)",J635,IF(H635="7)",J635,IF(H635="8)",J635,0))))))))</f>
        <v/>
      </c>
    </row>
    <row r="637">
      <c r="A637" s="0" t="inlineStr">
        <is>
          <t>New</t>
        </is>
      </c>
      <c r="B637" s="0" t="inlineStr">
        <is>
          <t>Item</t>
        </is>
      </c>
      <c r="C637" s="0" t="inlineStr">
        <is>
          <t>Acquired</t>
        </is>
      </c>
      <c r="D637" s="0" t="inlineStr">
        <is>
          <t>:</t>
        </is>
      </c>
      <c r="E637" s="0" t="inlineStr">
        <is>
          <t>Minor</t>
        </is>
      </c>
      <c r="F637" s="0" t="inlineStr">
        <is>
          <t>(7,</t>
        </is>
      </c>
      <c r="G637" s="0" t="inlineStr">
        <is>
          <t>17)</t>
        </is>
      </c>
      <c r="K637" s="0">
        <f>IF(H636="1)",1,IF(H636="2)",2,IF(H636="3)",3,IF(H636="4)",4,IF(H636="5)",5,IF(H636="6)",6,IF(H636="7)",7,IF(H636="8)",8,0))))))))</f>
        <v/>
      </c>
      <c r="L637" s="0">
        <f>IF(H636="1)",J636,IF(H636="2)",J636,IF(H636="3)",J636,IF(H636="4)",J636,IF(H636="5)",J636,IF(H636="6)",J636,IF(H636="7)",J636,IF(H636="8)",J636,0))))))))</f>
        <v/>
      </c>
    </row>
    <row r="638">
      <c r="A638" s="0" t="inlineStr">
        <is>
          <t>New</t>
        </is>
      </c>
      <c r="B638" s="0" t="inlineStr">
        <is>
          <t>Item</t>
        </is>
      </c>
      <c r="C638" s="0" t="inlineStr">
        <is>
          <t>Acquired</t>
        </is>
      </c>
      <c r="D638" s="0" t="inlineStr">
        <is>
          <t>:</t>
        </is>
      </c>
      <c r="E638" s="0" t="inlineStr">
        <is>
          <t>50.00K</t>
        </is>
      </c>
      <c r="F638" s="0" t="inlineStr">
        <is>
          <t>(1,</t>
        </is>
      </c>
      <c r="G638" s="0" t="inlineStr">
        <is>
          <t>14)</t>
        </is>
      </c>
      <c r="K638" s="0">
        <f>IF(H637="1)",1,IF(H637="2)",2,IF(H637="3)",3,IF(H637="4)",4,IF(H637="5)",5,IF(H637="6)",6,IF(H637="7)",7,IF(H637="8)",8,0))))))))</f>
        <v/>
      </c>
      <c r="L638" s="0">
        <f>IF(H637="1)",J637,IF(H637="2)",J637,IF(H637="3)",J637,IF(H637="4)",J637,IF(H637="5)",J637,IF(H637="6)",J637,IF(H637="7)",J637,IF(H637="8)",J637,0))))))))</f>
        <v/>
      </c>
    </row>
    <row r="639">
      <c r="A639" s="0" t="inlineStr">
        <is>
          <t>New</t>
        </is>
      </c>
      <c r="B639" s="0" t="inlineStr">
        <is>
          <t>Item</t>
        </is>
      </c>
      <c r="C639" s="0" t="inlineStr">
        <is>
          <t>Acquired</t>
        </is>
      </c>
      <c r="D639" s="0" t="inlineStr">
        <is>
          <t>:</t>
        </is>
      </c>
      <c r="E639" s="0" t="inlineStr">
        <is>
          <t>Mini</t>
        </is>
      </c>
      <c r="F639" s="0" t="inlineStr">
        <is>
          <t>(3,</t>
        </is>
      </c>
      <c r="G639" s="0" t="inlineStr">
        <is>
          <t>20)</t>
        </is>
      </c>
      <c r="K639" s="0">
        <f>IF(H638="1)",1,IF(H638="2)",2,IF(H638="3)",3,IF(H638="4)",4,IF(H638="5)",5,IF(H638="6)",6,IF(H638="7)",7,IF(H638="8)",8,0))))))))</f>
        <v/>
      </c>
      <c r="L639" s="0">
        <f>IF(H638="1)",J638,IF(H638="2)",J638,IF(H638="3)",J638,IF(H638="4)",J638,IF(H638="5)",J638,IF(H638="6)",J638,IF(H638="7)",J638,IF(H638="8)",J638,0))))))))</f>
        <v/>
      </c>
    </row>
    <row r="640">
      <c r="A640" s="0" t="inlineStr">
        <is>
          <t>New</t>
        </is>
      </c>
      <c r="B640" s="0" t="inlineStr">
        <is>
          <t>Item</t>
        </is>
      </c>
      <c r="C640" s="0" t="inlineStr">
        <is>
          <t>Acquired</t>
        </is>
      </c>
      <c r="D640" s="0" t="inlineStr">
        <is>
          <t>:</t>
        </is>
      </c>
      <c r="E640" s="0" t="inlineStr">
        <is>
          <t>120.00K</t>
        </is>
      </c>
      <c r="F640" s="0" t="inlineStr">
        <is>
          <t>(8,</t>
        </is>
      </c>
      <c r="G640" s="0" t="inlineStr">
        <is>
          <t>17)</t>
        </is>
      </c>
      <c r="K640" s="0">
        <f>IF(H639="1)",1,IF(H639="2)",2,IF(H639="3)",3,IF(H639="4)",4,IF(H639="5)",5,IF(H639="6)",6,IF(H639="7)",7,IF(H639="8)",8,0))))))))</f>
        <v/>
      </c>
      <c r="L640" s="0">
        <f>IF(H639="1)",J639,IF(H639="2)",J639,IF(H639="3)",J639,IF(H639="4)",J639,IF(H639="5)",J639,IF(H639="6)",J639,IF(H639="7)",J639,IF(H639="8)",J639,0))))))))</f>
        <v/>
      </c>
    </row>
    <row r="641">
      <c r="A641" s="0" t="inlineStr">
        <is>
          <t>New</t>
        </is>
      </c>
      <c r="B641" s="0" t="inlineStr">
        <is>
          <t>Item</t>
        </is>
      </c>
      <c r="C641" s="0" t="inlineStr">
        <is>
          <t>Acquired</t>
        </is>
      </c>
      <c r="D641" s="0" t="inlineStr">
        <is>
          <t>:</t>
        </is>
      </c>
      <c r="E641" s="0" t="inlineStr">
        <is>
          <t>Major</t>
        </is>
      </c>
      <c r="F641" s="0" t="inlineStr">
        <is>
          <t>(1,</t>
        </is>
      </c>
      <c r="G641" s="0" t="inlineStr">
        <is>
          <t>18)</t>
        </is>
      </c>
      <c r="K641" s="0">
        <f>IF(H640="1)",1,IF(H640="2)",2,IF(H640="3)",3,IF(H640="4)",4,IF(H640="5)",5,IF(H640="6)",6,IF(H640="7)",7,IF(H640="8)",8,0))))))))</f>
        <v/>
      </c>
      <c r="L641" s="0">
        <f>IF(H640="1)",J640,IF(H640="2)",J640,IF(H640="3)",J640,IF(H640="4)",J640,IF(H640="5)",J640,IF(H640="6)",J640,IF(H640="7)",J640,IF(H640="8)",J640,0))))))))</f>
        <v/>
      </c>
    </row>
    <row r="642">
      <c r="A642" s="0" t="inlineStr">
        <is>
          <t>New</t>
        </is>
      </c>
      <c r="B642" s="0" t="inlineStr">
        <is>
          <t>Item</t>
        </is>
      </c>
      <c r="C642" s="0" t="inlineStr">
        <is>
          <t>Acquired</t>
        </is>
      </c>
      <c r="D642" s="0" t="inlineStr">
        <is>
          <t>:</t>
        </is>
      </c>
      <c r="E642" s="0" t="inlineStr">
        <is>
          <t>75.00K</t>
        </is>
      </c>
      <c r="F642" s="0" t="inlineStr">
        <is>
          <t>(6,</t>
        </is>
      </c>
      <c r="G642" s="0" t="inlineStr">
        <is>
          <t>25)</t>
        </is>
      </c>
      <c r="K642" s="0">
        <f>IF(H641="1)",1,IF(H641="2)",2,IF(H641="3)",3,IF(H641="4)",4,IF(H641="5)",5,IF(H641="6)",6,IF(H641="7)",7,IF(H641="8)",8,0))))))))</f>
        <v/>
      </c>
      <c r="L642" s="0">
        <f>IF(H641="1)",J641,IF(H641="2)",J641,IF(H641="3)",J641,IF(H641="4)",J641,IF(H641="5)",J641,IF(H641="6)",J641,IF(H641="7)",J641,IF(H641="8)",J641,0))))))))</f>
        <v/>
      </c>
    </row>
    <row r="643">
      <c r="A643" s="0" t="inlineStr">
        <is>
          <t>New</t>
        </is>
      </c>
      <c r="B643" s="0" t="inlineStr">
        <is>
          <t>Item</t>
        </is>
      </c>
      <c r="C643" s="0" t="inlineStr">
        <is>
          <t>Acquired</t>
        </is>
      </c>
      <c r="D643" s="0" t="inlineStr">
        <is>
          <t>:</t>
        </is>
      </c>
      <c r="E643" s="0" t="inlineStr">
        <is>
          <t>60.00K</t>
        </is>
      </c>
      <c r="F643" s="0" t="inlineStr">
        <is>
          <t>(4,</t>
        </is>
      </c>
      <c r="G643" s="0" t="inlineStr">
        <is>
          <t>17)</t>
        </is>
      </c>
      <c r="K643" s="0">
        <f>IF(H642="1)",1,IF(H642="2)",2,IF(H642="3)",3,IF(H642="4)",4,IF(H642="5)",5,IF(H642="6)",6,IF(H642="7)",7,IF(H642="8)",8,0))))))))</f>
        <v/>
      </c>
      <c r="L643" s="0">
        <f>IF(H642="1)",J642,IF(H642="2)",J642,IF(H642="3)",J642,IF(H642="4)",J642,IF(H642="5)",J642,IF(H642="6)",J642,IF(H642="7)",J642,IF(H642="8)",J642,0))))))))</f>
        <v/>
      </c>
    </row>
    <row r="644">
      <c r="A644" s="0" t="inlineStr">
        <is>
          <t>Line</t>
        </is>
      </c>
      <c r="B644" s="0" t="inlineStr">
        <is>
          <t>Prize</t>
        </is>
      </c>
      <c r="C644" s="0" t="inlineStr">
        <is>
          <t>Acquired</t>
        </is>
      </c>
      <c r="D644" s="0" t="inlineStr">
        <is>
          <t>:</t>
        </is>
      </c>
      <c r="E644" s="0" t="inlineStr">
        <is>
          <t>330.00K</t>
        </is>
      </c>
      <c r="F644" s="0" t="inlineStr">
        <is>
          <t>(Stage</t>
        </is>
      </c>
      <c r="G644" s="0" t="inlineStr">
        <is>
          <t>:</t>
        </is>
      </c>
      <c r="H644" s="0" t="inlineStr">
        <is>
          <t>4)</t>
        </is>
      </c>
      <c r="I644" s="0" t="inlineStr">
        <is>
          <t>-</t>
        </is>
      </c>
      <c r="J644" s="0" t="n">
        <v>330000</v>
      </c>
      <c r="K644" s="0">
        <f>IF(H643="1)",1,IF(H643="2)",2,IF(H643="3)",3,IF(H643="4)",4,IF(H643="5)",5,IF(H643="6)",6,IF(H643="7)",7,IF(H643="8)",8,0))))))))</f>
        <v/>
      </c>
      <c r="L644" s="0">
        <f>IF(H643="1)",J643,IF(H643="2)",J643,IF(H643="3)",J643,IF(H643="4)",J643,IF(H643="5)",J643,IF(H643="6)",J643,IF(H643="7)",J643,IF(H643="8)",J643,0))))))))</f>
        <v/>
      </c>
    </row>
    <row r="645">
      <c r="A645" s="0" t="inlineStr">
        <is>
          <t>Clear</t>
        </is>
      </c>
      <c r="B645" s="0" t="inlineStr">
        <is>
          <t>Gem</t>
        </is>
      </c>
      <c r="C645" s="0" t="inlineStr">
        <is>
          <t>Acquired</t>
        </is>
      </c>
      <c r="D645" s="0" t="inlineStr">
        <is>
          <t>:</t>
        </is>
      </c>
      <c r="E645" s="0" t="n">
        <v>3700</v>
      </c>
      <c r="F645" s="0" t="inlineStr">
        <is>
          <t>-&gt;</t>
        </is>
      </c>
      <c r="G645" s="0" t="n">
        <v>3800</v>
      </c>
      <c r="H645" s="0" t="inlineStr">
        <is>
          <t>(Stage</t>
        </is>
      </c>
      <c r="I645" s="0" t="inlineStr">
        <is>
          <t>:</t>
        </is>
      </c>
      <c r="J645" s="0" t="inlineStr">
        <is>
          <t>4)</t>
        </is>
      </c>
      <c r="K645" s="0">
        <f>IF(H644="1)",1,IF(H644="2)",2,IF(H644="3)",3,IF(H644="4)",4,IF(H644="5)",5,IF(H644="6)",6,IF(H644="7)",7,IF(H644="8)",8,0))))))))</f>
        <v/>
      </c>
      <c r="L645" s="0">
        <f>IF(H644="1)",J644,IF(H644="2)",J644,IF(H644="3)",J644,IF(H644="4)",J644,IF(H644="5)",J644,IF(H644="6)",J644,IF(H644="7)",J644,IF(H644="8)",J644,0))))))))</f>
        <v/>
      </c>
    </row>
    <row r="646">
      <c r="A646" s="0" t="inlineStr">
        <is>
          <t>New</t>
        </is>
      </c>
      <c r="B646" s="0" t="inlineStr">
        <is>
          <t>Item</t>
        </is>
      </c>
      <c r="C646" s="0" t="inlineStr">
        <is>
          <t>Acquired</t>
        </is>
      </c>
      <c r="D646" s="0" t="inlineStr">
        <is>
          <t>:</t>
        </is>
      </c>
      <c r="E646" s="0" t="inlineStr">
        <is>
          <t>60.00K</t>
        </is>
      </c>
      <c r="F646" s="0" t="inlineStr">
        <is>
          <t>(4,</t>
        </is>
      </c>
      <c r="G646" s="0" t="inlineStr">
        <is>
          <t>3)</t>
        </is>
      </c>
      <c r="K646" s="0">
        <f>IF(H645="1)",1,IF(H645="2)",2,IF(H645="3)",3,IF(H645="4)",4,IF(H645="5)",5,IF(H645="6)",6,IF(H645="7)",7,IF(H645="8)",8,0))))))))</f>
        <v/>
      </c>
      <c r="L646" s="0">
        <f>IF(H645="1)",J645,IF(H645="2)",J645,IF(H645="3)",J645,IF(H645="4)",J645,IF(H645="5)",J645,IF(H645="6)",J645,IF(H645="7)",J645,IF(H645="8)",J645,0))))))))</f>
        <v/>
      </c>
    </row>
    <row r="647">
      <c r="A647" s="0" t="inlineStr">
        <is>
          <t>New</t>
        </is>
      </c>
      <c r="B647" s="0" t="inlineStr">
        <is>
          <t>Item</t>
        </is>
      </c>
      <c r="C647" s="0" t="inlineStr">
        <is>
          <t>Acquired</t>
        </is>
      </c>
      <c r="D647" s="0" t="inlineStr">
        <is>
          <t>:</t>
        </is>
      </c>
      <c r="E647" s="0" t="inlineStr">
        <is>
          <t>Minor</t>
        </is>
      </c>
      <c r="F647" s="0" t="inlineStr">
        <is>
          <t>(3,</t>
        </is>
      </c>
      <c r="G647" s="0" t="inlineStr">
        <is>
          <t>3)</t>
        </is>
      </c>
      <c r="K647" s="0">
        <f>IF(H646="1)",1,IF(H646="2)",2,IF(H646="3)",3,IF(H646="4)",4,IF(H646="5)",5,IF(H646="6)",6,IF(H646="7)",7,IF(H646="8)",8,0))))))))</f>
        <v/>
      </c>
      <c r="L647" s="0">
        <f>IF(H646="1)",J646,IF(H646="2)",J646,IF(H646="3)",J646,IF(H646="4)",J646,IF(H646="5)",J646,IF(H646="6)",J646,IF(H646="7)",J646,IF(H646="8)",J646,0))))))))</f>
        <v/>
      </c>
    </row>
    <row r="648">
      <c r="A648" s="0" t="inlineStr">
        <is>
          <t>New</t>
        </is>
      </c>
      <c r="B648" s="0" t="inlineStr">
        <is>
          <t>Item</t>
        </is>
      </c>
      <c r="C648" s="0" t="inlineStr">
        <is>
          <t>Acquired</t>
        </is>
      </c>
      <c r="D648" s="0" t="inlineStr">
        <is>
          <t>:</t>
        </is>
      </c>
      <c r="E648" s="0" t="inlineStr">
        <is>
          <t>30.00K</t>
        </is>
      </c>
      <c r="F648" s="0" t="inlineStr">
        <is>
          <t>(1,</t>
        </is>
      </c>
      <c r="G648" s="0" t="inlineStr">
        <is>
          <t>22)</t>
        </is>
      </c>
      <c r="K648" s="0">
        <f>IF(H647="1)",1,IF(H647="2)",2,IF(H647="3)",3,IF(H647="4)",4,IF(H647="5)",5,IF(H647="6)",6,IF(H647="7)",7,IF(H647="8)",8,0))))))))</f>
        <v/>
      </c>
      <c r="L648" s="0">
        <f>IF(H647="1)",J647,IF(H647="2)",J647,IF(H647="3)",J647,IF(H647="4)",J647,IF(H647="5)",J647,IF(H647="6)",J647,IF(H647="7)",J647,IF(H647="8)",J647,0))))))))</f>
        <v/>
      </c>
    </row>
    <row r="649">
      <c r="A649" s="0" t="inlineStr">
        <is>
          <t>Item</t>
        </is>
      </c>
      <c r="B649" s="0" t="inlineStr">
        <is>
          <t>ReSelect</t>
        </is>
      </c>
      <c r="C649" s="0" t="inlineStr">
        <is>
          <t>Failed</t>
        </is>
      </c>
      <c r="D649" s="0" t="inlineStr">
        <is>
          <t>:</t>
        </is>
      </c>
      <c r="E649" s="0" t="inlineStr">
        <is>
          <t>Attempt</t>
        </is>
      </c>
      <c r="F649" s="0" t="inlineStr">
        <is>
          <t>Count</t>
        </is>
      </c>
      <c r="G649" s="0" t="inlineStr">
        <is>
          <t>-</t>
        </is>
      </c>
      <c r="H649" s="0" t="n">
        <v>3</v>
      </c>
      <c r="K649" s="0">
        <f>IF(H648="1)",1,IF(H648="2)",2,IF(H648="3)",3,IF(H648="4)",4,IF(H648="5)",5,IF(H648="6)",6,IF(H648="7)",7,IF(H648="8)",8,0))))))))</f>
        <v/>
      </c>
      <c r="L649" s="0">
        <f>IF(H648="1)",J648,IF(H648="2)",J648,IF(H648="3)",J648,IF(H648="4)",J648,IF(H648="5)",J648,IF(H648="6)",J648,IF(H648="7)",J648,IF(H648="8)",J648,0))))))))</f>
        <v/>
      </c>
    </row>
    <row r="650">
      <c r="A650" s="0" t="inlineStr">
        <is>
          <t>New</t>
        </is>
      </c>
      <c r="B650" s="0" t="inlineStr">
        <is>
          <t>Item</t>
        </is>
      </c>
      <c r="C650" s="0" t="inlineStr">
        <is>
          <t>Acquired</t>
        </is>
      </c>
      <c r="D650" s="0" t="inlineStr">
        <is>
          <t>:</t>
        </is>
      </c>
      <c r="E650" s="0" t="inlineStr">
        <is>
          <t>157.50K</t>
        </is>
      </c>
      <c r="F650" s="0" t="inlineStr">
        <is>
          <t>(5,</t>
        </is>
      </c>
      <c r="G650" s="0" t="inlineStr">
        <is>
          <t>9)</t>
        </is>
      </c>
      <c r="K650" s="0">
        <f>IF(H649="1)",1,IF(H649="2)",2,IF(H649="3)",3,IF(H649="4)",4,IF(H649="5)",5,IF(H649="6)",6,IF(H649="7)",7,IF(H649="8)",8,0))))))))</f>
        <v/>
      </c>
      <c r="L650" s="0">
        <f>IF(H649="1)",J649,IF(H649="2)",J649,IF(H649="3)",J649,IF(H649="4)",J649,IF(H649="5)",J649,IF(H649="6)",J649,IF(H649="7)",J649,IF(H649="8)",J649,0))))))))</f>
        <v/>
      </c>
    </row>
    <row r="651">
      <c r="A651" s="0" t="inlineStr">
        <is>
          <t>New</t>
        </is>
      </c>
      <c r="B651" s="0" t="inlineStr">
        <is>
          <t>Item</t>
        </is>
      </c>
      <c r="C651" s="0" t="inlineStr">
        <is>
          <t>Acquired</t>
        </is>
      </c>
      <c r="D651" s="0" t="inlineStr">
        <is>
          <t>:</t>
        </is>
      </c>
      <c r="E651" s="0" t="inlineStr">
        <is>
          <t>Minor</t>
        </is>
      </c>
      <c r="F651" s="0" t="inlineStr">
        <is>
          <t>(5,</t>
        </is>
      </c>
      <c r="G651" s="0" t="inlineStr">
        <is>
          <t>25)</t>
        </is>
      </c>
      <c r="K651" s="0">
        <f>IF(H650="1)",1,IF(H650="2)",2,IF(H650="3)",3,IF(H650="4)",4,IF(H650="5)",5,IF(H650="6)",6,IF(H650="7)",7,IF(H650="8)",8,0))))))))</f>
        <v/>
      </c>
      <c r="L651" s="0">
        <f>IF(H650="1)",J650,IF(H650="2)",J650,IF(H650="3)",J650,IF(H650="4)",J650,IF(H650="5)",J650,IF(H650="6)",J650,IF(H650="7)",J650,IF(H650="8)",J650,0))))))))</f>
        <v/>
      </c>
    </row>
    <row r="652">
      <c r="A652" s="0" t="inlineStr">
        <is>
          <t>New</t>
        </is>
      </c>
      <c r="B652" s="0" t="inlineStr">
        <is>
          <t>Item</t>
        </is>
      </c>
      <c r="C652" s="0" t="inlineStr">
        <is>
          <t>Acquired</t>
        </is>
      </c>
      <c r="D652" s="0" t="inlineStr">
        <is>
          <t>:</t>
        </is>
      </c>
      <c r="E652" s="0" t="inlineStr">
        <is>
          <t>67.50K</t>
        </is>
      </c>
      <c r="F652" s="0" t="inlineStr">
        <is>
          <t>(5,</t>
        </is>
      </c>
      <c r="G652" s="0" t="inlineStr">
        <is>
          <t>14)</t>
        </is>
      </c>
      <c r="K652" s="0">
        <f>IF(H651="1)",1,IF(H651="2)",2,IF(H651="3)",3,IF(H651="4)",4,IF(H651="5)",5,IF(H651="6)",6,IF(H651="7)",7,IF(H651="8)",8,0))))))))</f>
        <v/>
      </c>
      <c r="L652" s="0">
        <f>IF(H651="1)",J651,IF(H651="2)",J651,IF(H651="3)",J651,IF(H651="4)",J651,IF(H651="5)",J651,IF(H651="6)",J651,IF(H651="7)",J651,IF(H651="8)",J651,0))))))))</f>
        <v/>
      </c>
    </row>
    <row r="653">
      <c r="A653" s="0" t="inlineStr">
        <is>
          <t>Item</t>
        </is>
      </c>
      <c r="B653" s="0" t="inlineStr">
        <is>
          <t>ReSelect</t>
        </is>
      </c>
      <c r="C653" s="0" t="inlineStr">
        <is>
          <t>Failed</t>
        </is>
      </c>
      <c r="D653" s="0" t="inlineStr">
        <is>
          <t>:</t>
        </is>
      </c>
      <c r="E653" s="0" t="inlineStr">
        <is>
          <t>Attempt</t>
        </is>
      </c>
      <c r="F653" s="0" t="inlineStr">
        <is>
          <t>Count</t>
        </is>
      </c>
      <c r="G653" s="0" t="inlineStr">
        <is>
          <t>-</t>
        </is>
      </c>
      <c r="H653" s="0" t="n">
        <v>3</v>
      </c>
      <c r="K653" s="0">
        <f>IF(H652="1)",1,IF(H652="2)",2,IF(H652="3)",3,IF(H652="4)",4,IF(H652="5)",5,IF(H652="6)",6,IF(H652="7)",7,IF(H652="8)",8,0))))))))</f>
        <v/>
      </c>
      <c r="L653" s="0">
        <f>IF(H652="1)",J652,IF(H652="2)",J652,IF(H652="3)",J652,IF(H652="4)",J652,IF(H652="5)",J652,IF(H652="6)",J652,IF(H652="7)",J652,IF(H652="8)",J652,0))))))))</f>
        <v/>
      </c>
    </row>
    <row r="654">
      <c r="A654" s="0" t="inlineStr">
        <is>
          <t>New</t>
        </is>
      </c>
      <c r="B654" s="0" t="inlineStr">
        <is>
          <t>Item</t>
        </is>
      </c>
      <c r="C654" s="0" t="inlineStr">
        <is>
          <t>Acquired</t>
        </is>
      </c>
      <c r="D654" s="0" t="inlineStr">
        <is>
          <t>:</t>
        </is>
      </c>
      <c r="E654" s="0" t="inlineStr">
        <is>
          <t>90.00K</t>
        </is>
      </c>
      <c r="F654" s="0" t="inlineStr">
        <is>
          <t>(7,</t>
        </is>
      </c>
      <c r="G654" s="0" t="inlineStr">
        <is>
          <t>16)</t>
        </is>
      </c>
      <c r="K654" s="0">
        <f>IF(H653="1)",1,IF(H653="2)",2,IF(H653="3)",3,IF(H653="4)",4,IF(H653="5)",5,IF(H653="6)",6,IF(H653="7)",7,IF(H653="8)",8,0))))))))</f>
        <v/>
      </c>
      <c r="L654" s="0">
        <f>IF(H653="1)",J653,IF(H653="2)",J653,IF(H653="3)",J653,IF(H653="4)",J653,IF(H653="5)",J653,IF(H653="6)",J653,IF(H653="7)",J653,IF(H653="8)",J653,0))))))))</f>
        <v/>
      </c>
    </row>
    <row r="655">
      <c r="A655" s="0" t="inlineStr">
        <is>
          <t>New</t>
        </is>
      </c>
      <c r="B655" s="0" t="inlineStr">
        <is>
          <t>Item</t>
        </is>
      </c>
      <c r="C655" s="0" t="inlineStr">
        <is>
          <t>Acquired</t>
        </is>
      </c>
      <c r="D655" s="0" t="inlineStr">
        <is>
          <t>:</t>
        </is>
      </c>
      <c r="E655" s="0" t="inlineStr">
        <is>
          <t>112.50K</t>
        </is>
      </c>
      <c r="F655" s="0" t="inlineStr">
        <is>
          <t>(5,</t>
        </is>
      </c>
      <c r="G655" s="0" t="inlineStr">
        <is>
          <t>8)</t>
        </is>
      </c>
      <c r="K655" s="0">
        <f>IF(H654="1)",1,IF(H654="2)",2,IF(H654="3)",3,IF(H654="4)",4,IF(H654="5)",5,IF(H654="6)",6,IF(H654="7)",7,IF(H654="8)",8,0))))))))</f>
        <v/>
      </c>
      <c r="L655" s="0">
        <f>IF(H654="1)",J654,IF(H654="2)",J654,IF(H654="3)",J654,IF(H654="4)",J654,IF(H654="5)",J654,IF(H654="6)",J654,IF(H654="7)",J654,IF(H654="8)",J654,0))))))))</f>
        <v/>
      </c>
    </row>
    <row r="656">
      <c r="A656" s="0" t="inlineStr">
        <is>
          <t>New</t>
        </is>
      </c>
      <c r="B656" s="0" t="inlineStr">
        <is>
          <t>Item</t>
        </is>
      </c>
      <c r="C656" s="0" t="inlineStr">
        <is>
          <t>Acquired</t>
        </is>
      </c>
      <c r="D656" s="0" t="inlineStr">
        <is>
          <t>:</t>
        </is>
      </c>
      <c r="E656" s="0" t="inlineStr">
        <is>
          <t>Minor</t>
        </is>
      </c>
      <c r="F656" s="0" t="inlineStr">
        <is>
          <t>(8,</t>
        </is>
      </c>
      <c r="G656" s="0" t="inlineStr">
        <is>
          <t>24)</t>
        </is>
      </c>
      <c r="K656" s="0">
        <f>IF(H655="1)",1,IF(H655="2)",2,IF(H655="3)",3,IF(H655="4)",4,IF(H655="5)",5,IF(H655="6)",6,IF(H655="7)",7,IF(H655="8)",8,0))))))))</f>
        <v/>
      </c>
      <c r="L656" s="0">
        <f>IF(H655="1)",J655,IF(H655="2)",J655,IF(H655="3)",J655,IF(H655="4)",J655,IF(H655="5)",J655,IF(H655="6)",J655,IF(H655="7)",J655,IF(H655="8)",J655,0))))))))</f>
        <v/>
      </c>
    </row>
    <row r="657">
      <c r="A657" s="0" t="inlineStr">
        <is>
          <t>New</t>
        </is>
      </c>
      <c r="B657" s="0" t="inlineStr">
        <is>
          <t>Item</t>
        </is>
      </c>
      <c r="C657" s="0" t="inlineStr">
        <is>
          <t>Acquired</t>
        </is>
      </c>
      <c r="D657" s="0" t="inlineStr">
        <is>
          <t>:</t>
        </is>
      </c>
      <c r="E657" s="0" t="inlineStr">
        <is>
          <t>157.50K</t>
        </is>
      </c>
      <c r="F657" s="0" t="inlineStr">
        <is>
          <t>(5,</t>
        </is>
      </c>
      <c r="G657" s="0" t="inlineStr">
        <is>
          <t>23)</t>
        </is>
      </c>
      <c r="K657" s="0">
        <f>IF(H656="1)",1,IF(H656="2)",2,IF(H656="3)",3,IF(H656="4)",4,IF(H656="5)",5,IF(H656="6)",6,IF(H656="7)",7,IF(H656="8)",8,0))))))))</f>
        <v/>
      </c>
      <c r="L657" s="0">
        <f>IF(H656="1)",J656,IF(H656="2)",J656,IF(H656="3)",J656,IF(H656="4)",J656,IF(H656="5)",J656,IF(H656="6)",J656,IF(H656="7)",J656,IF(H656="8)",J656,0))))))))</f>
        <v/>
      </c>
    </row>
    <row r="658">
      <c r="A658" s="0" t="inlineStr">
        <is>
          <t>New</t>
        </is>
      </c>
      <c r="B658" s="0" t="inlineStr">
        <is>
          <t>Item</t>
        </is>
      </c>
      <c r="C658" s="0" t="inlineStr">
        <is>
          <t>Acquired</t>
        </is>
      </c>
      <c r="D658" s="0" t="inlineStr">
        <is>
          <t>:</t>
        </is>
      </c>
      <c r="E658" s="0" t="inlineStr">
        <is>
          <t>67.50K</t>
        </is>
      </c>
      <c r="F658" s="0" t="inlineStr">
        <is>
          <t>(5,</t>
        </is>
      </c>
      <c r="G658" s="0" t="inlineStr">
        <is>
          <t>15)</t>
        </is>
      </c>
      <c r="K658" s="0">
        <f>IF(H657="1)",1,IF(H657="2)",2,IF(H657="3)",3,IF(H657="4)",4,IF(H657="5)",5,IF(H657="6)",6,IF(H657="7)",7,IF(H657="8)",8,0))))))))</f>
        <v/>
      </c>
      <c r="L658" s="0">
        <f>IF(H657="1)",J657,IF(H657="2)",J657,IF(H657="3)",J657,IF(H657="4)",J657,IF(H657="5)",J657,IF(H657="6)",J657,IF(H657="7)",J657,IF(H657="8)",J657,0))))))))</f>
        <v/>
      </c>
    </row>
    <row r="659">
      <c r="A659" s="0" t="inlineStr">
        <is>
          <t>New</t>
        </is>
      </c>
      <c r="B659" s="0" t="inlineStr">
        <is>
          <t>Item</t>
        </is>
      </c>
      <c r="C659" s="0" t="inlineStr">
        <is>
          <t>Acquired</t>
        </is>
      </c>
      <c r="D659" s="0" t="inlineStr">
        <is>
          <t>:</t>
        </is>
      </c>
      <c r="E659" s="0" t="inlineStr">
        <is>
          <t>45.00K</t>
        </is>
      </c>
      <c r="F659" s="0" t="inlineStr">
        <is>
          <t>(3,</t>
        </is>
      </c>
      <c r="G659" s="0" t="inlineStr">
        <is>
          <t>21)</t>
        </is>
      </c>
      <c r="K659" s="0">
        <f>IF(H658="1)",1,IF(H658="2)",2,IF(H658="3)",3,IF(H658="4)",4,IF(H658="5)",5,IF(H658="6)",6,IF(H658="7)",7,IF(H658="8)",8,0))))))))</f>
        <v/>
      </c>
      <c r="L659" s="0">
        <f>IF(H658="1)",J658,IF(H658="2)",J658,IF(H658="3)",J658,IF(H658="4)",J658,IF(H658="5)",J658,IF(H658="6)",J658,IF(H658="7)",J658,IF(H658="8)",J658,0))))))))</f>
        <v/>
      </c>
    </row>
    <row r="660">
      <c r="A660" s="0" t="inlineStr">
        <is>
          <t>New</t>
        </is>
      </c>
      <c r="B660" s="0" t="inlineStr">
        <is>
          <t>Item</t>
        </is>
      </c>
      <c r="C660" s="0" t="inlineStr">
        <is>
          <t>Acquired</t>
        </is>
      </c>
      <c r="D660" s="0" t="inlineStr">
        <is>
          <t>:</t>
        </is>
      </c>
      <c r="E660" s="0" t="inlineStr">
        <is>
          <t>62.50K</t>
        </is>
      </c>
      <c r="F660" s="0" t="inlineStr">
        <is>
          <t>(2,</t>
        </is>
      </c>
      <c r="G660" s="0" t="inlineStr">
        <is>
          <t>2)</t>
        </is>
      </c>
      <c r="K660" s="0">
        <f>IF(H659="1)",1,IF(H659="2)",2,IF(H659="3)",3,IF(H659="4)",4,IF(H659="5)",5,IF(H659="6)",6,IF(H659="7)",7,IF(H659="8)",8,0))))))))</f>
        <v/>
      </c>
      <c r="L660" s="0">
        <f>IF(H659="1)",J659,IF(H659="2)",J659,IF(H659="3)",J659,IF(H659="4)",J659,IF(H659="5)",J659,IF(H659="6)",J659,IF(H659="7)",J659,IF(H659="8)",J659,0))))))))</f>
        <v/>
      </c>
    </row>
    <row r="661">
      <c r="A661" s="0" t="inlineStr">
        <is>
          <t>New</t>
        </is>
      </c>
      <c r="B661" s="0" t="inlineStr">
        <is>
          <t>Item</t>
        </is>
      </c>
      <c r="C661" s="0" t="inlineStr">
        <is>
          <t>Acquired</t>
        </is>
      </c>
      <c r="D661" s="0" t="inlineStr">
        <is>
          <t>:</t>
        </is>
      </c>
      <c r="E661" s="0" t="inlineStr">
        <is>
          <t>67.50K</t>
        </is>
      </c>
      <c r="F661" s="0" t="inlineStr">
        <is>
          <t>(5,</t>
        </is>
      </c>
      <c r="G661" s="0" t="inlineStr">
        <is>
          <t>11)</t>
        </is>
      </c>
      <c r="K661" s="0">
        <f>IF(H660="1)",1,IF(H660="2)",2,IF(H660="3)",3,IF(H660="4)",4,IF(H660="5)",5,IF(H660="6)",6,IF(H660="7)",7,IF(H660="8)",8,0))))))))</f>
        <v/>
      </c>
      <c r="L661" s="0">
        <f>IF(H660="1)",J660,IF(H660="2)",J660,IF(H660="3)",J660,IF(H660="4)",J660,IF(H660="5)",J660,IF(H660="6)",J660,IF(H660="7)",J660,IF(H660="8)",J660,0))))))))</f>
        <v/>
      </c>
    </row>
    <row r="662">
      <c r="A662" s="0" t="inlineStr">
        <is>
          <t>New</t>
        </is>
      </c>
      <c r="B662" s="0" t="inlineStr">
        <is>
          <t>Item</t>
        </is>
      </c>
      <c r="C662" s="0" t="inlineStr">
        <is>
          <t>Acquired</t>
        </is>
      </c>
      <c r="D662" s="0" t="inlineStr">
        <is>
          <t>:</t>
        </is>
      </c>
      <c r="E662" s="0" t="inlineStr">
        <is>
          <t>30.00K</t>
        </is>
      </c>
      <c r="F662" s="0" t="inlineStr">
        <is>
          <t>(1,</t>
        </is>
      </c>
      <c r="G662" s="0" t="inlineStr">
        <is>
          <t>16)</t>
        </is>
      </c>
      <c r="K662" s="0">
        <f>IF(H661="1)",1,IF(H661="2)",2,IF(H661="3)",3,IF(H661="4)",4,IF(H661="5)",5,IF(H661="6)",6,IF(H661="7)",7,IF(H661="8)",8,0))))))))</f>
        <v/>
      </c>
      <c r="L662" s="0">
        <f>IF(H661="1)",J661,IF(H661="2)",J661,IF(H661="3)",J661,IF(H661="4)",J661,IF(H661="5)",J661,IF(H661="6)",J661,IF(H661="7)",J661,IF(H661="8)",J661,0))))))))</f>
        <v/>
      </c>
    </row>
    <row r="663">
      <c r="A663" s="0" t="inlineStr">
        <is>
          <t>New</t>
        </is>
      </c>
      <c r="B663" s="0" t="inlineStr">
        <is>
          <t>Item</t>
        </is>
      </c>
      <c r="C663" s="0" t="inlineStr">
        <is>
          <t>Acquired</t>
        </is>
      </c>
      <c r="D663" s="0" t="inlineStr">
        <is>
          <t>:</t>
        </is>
      </c>
      <c r="E663" s="0" t="inlineStr">
        <is>
          <t>105.00K</t>
        </is>
      </c>
      <c r="F663" s="0" t="inlineStr">
        <is>
          <t>(3,</t>
        </is>
      </c>
      <c r="G663" s="0" t="inlineStr">
        <is>
          <t>14)</t>
        </is>
      </c>
      <c r="K663" s="0">
        <f>IF(H662="1)",1,IF(H662="2)",2,IF(H662="3)",3,IF(H662="4)",4,IF(H662="5)",5,IF(H662="6)",6,IF(H662="7)",7,IF(H662="8)",8,0))))))))</f>
        <v/>
      </c>
      <c r="L663" s="0">
        <f>IF(H662="1)",J662,IF(H662="2)",J662,IF(H662="3)",J662,IF(H662="4)",J662,IF(H662="5)",J662,IF(H662="6)",J662,IF(H662="7)",J662,IF(H662="8)",J662,0))))))))</f>
        <v/>
      </c>
    </row>
    <row r="664">
      <c r="A664" s="0" t="inlineStr">
        <is>
          <t>New</t>
        </is>
      </c>
      <c r="B664" s="0" t="inlineStr">
        <is>
          <t>Item</t>
        </is>
      </c>
      <c r="C664" s="0" t="inlineStr">
        <is>
          <t>Acquired</t>
        </is>
      </c>
      <c r="D664" s="0" t="inlineStr">
        <is>
          <t>:</t>
        </is>
      </c>
      <c r="E664" s="0" t="inlineStr">
        <is>
          <t>37.50K</t>
        </is>
      </c>
      <c r="F664" s="0" t="inlineStr">
        <is>
          <t>(2,</t>
        </is>
      </c>
      <c r="G664" s="0" t="inlineStr">
        <is>
          <t>22)</t>
        </is>
      </c>
      <c r="K664" s="0">
        <f>IF(H663="1)",1,IF(H663="2)",2,IF(H663="3)",3,IF(H663="4)",4,IF(H663="5)",5,IF(H663="6)",6,IF(H663="7)",7,IF(H663="8)",8,0))))))))</f>
        <v/>
      </c>
      <c r="L664" s="0">
        <f>IF(H663="1)",J663,IF(H663="2)",J663,IF(H663="3)",J663,IF(H663="4)",J663,IF(H663="5)",J663,IF(H663="6)",J663,IF(H663="7)",J663,IF(H663="8)",J663,0))))))))</f>
        <v/>
      </c>
    </row>
    <row r="665">
      <c r="A665" s="0" t="inlineStr">
        <is>
          <t>New</t>
        </is>
      </c>
      <c r="B665" s="0" t="inlineStr">
        <is>
          <t>Item</t>
        </is>
      </c>
      <c r="C665" s="0" t="inlineStr">
        <is>
          <t>Acquired</t>
        </is>
      </c>
      <c r="D665" s="0" t="inlineStr">
        <is>
          <t>:</t>
        </is>
      </c>
      <c r="E665" s="0" t="inlineStr">
        <is>
          <t>75.00K</t>
        </is>
      </c>
      <c r="F665" s="0" t="inlineStr">
        <is>
          <t>(3,</t>
        </is>
      </c>
      <c r="G665" s="0" t="inlineStr">
        <is>
          <t>19)</t>
        </is>
      </c>
      <c r="K665" s="0">
        <f>IF(H664="1)",1,IF(H664="2)",2,IF(H664="3)",3,IF(H664="4)",4,IF(H664="5)",5,IF(H664="6)",6,IF(H664="7)",7,IF(H664="8)",8,0))))))))</f>
        <v/>
      </c>
      <c r="L665" s="0">
        <f>IF(H664="1)",J664,IF(H664="2)",J664,IF(H664="3)",J664,IF(H664="4)",J664,IF(H664="5)",J664,IF(H664="6)",J664,IF(H664="7)",J664,IF(H664="8)",J664,0))))))))</f>
        <v/>
      </c>
    </row>
    <row r="666">
      <c r="A666" s="0" t="inlineStr">
        <is>
          <t>New</t>
        </is>
      </c>
      <c r="B666" s="0" t="inlineStr">
        <is>
          <t>Item</t>
        </is>
      </c>
      <c r="C666" s="0" t="inlineStr">
        <is>
          <t>Acquired</t>
        </is>
      </c>
      <c r="D666" s="0" t="inlineStr">
        <is>
          <t>:</t>
        </is>
      </c>
      <c r="E666" s="0" t="inlineStr">
        <is>
          <t>200.00K</t>
        </is>
      </c>
      <c r="F666" s="0" t="inlineStr">
        <is>
          <t>(8,</t>
        </is>
      </c>
      <c r="G666" s="0" t="inlineStr">
        <is>
          <t>25)</t>
        </is>
      </c>
      <c r="K666" s="0">
        <f>IF(H665="1)",1,IF(H665="2)",2,IF(H665="3)",3,IF(H665="4)",4,IF(H665="5)",5,IF(H665="6)",6,IF(H665="7)",7,IF(H665="8)",8,0))))))))</f>
        <v/>
      </c>
      <c r="L666" s="0">
        <f>IF(H665="1)",J665,IF(H665="2)",J665,IF(H665="3)",J665,IF(H665="4)",J665,IF(H665="5)",J665,IF(H665="6)",J665,IF(H665="7)",J665,IF(H665="8)",J665,0))))))))</f>
        <v/>
      </c>
    </row>
    <row r="667">
      <c r="A667" s="0" t="inlineStr">
        <is>
          <t>New</t>
        </is>
      </c>
      <c r="B667" s="0" t="inlineStr">
        <is>
          <t>Item</t>
        </is>
      </c>
      <c r="C667" s="0" t="inlineStr">
        <is>
          <t>Acquired</t>
        </is>
      </c>
      <c r="D667" s="0" t="inlineStr">
        <is>
          <t>:</t>
        </is>
      </c>
      <c r="E667" s="0" t="inlineStr">
        <is>
          <t>50.00K</t>
        </is>
      </c>
      <c r="F667" s="0" t="inlineStr">
        <is>
          <t>(1,</t>
        </is>
      </c>
      <c r="G667" s="0" t="inlineStr">
        <is>
          <t>6)</t>
        </is>
      </c>
      <c r="K667" s="0">
        <f>IF(H666="1)",1,IF(H666="2)",2,IF(H666="3)",3,IF(H666="4)",4,IF(H666="5)",5,IF(H666="6)",6,IF(H666="7)",7,IF(H666="8)",8,0))))))))</f>
        <v/>
      </c>
      <c r="L667" s="0">
        <f>IF(H666="1)",J666,IF(H666="2)",J666,IF(H666="3)",J666,IF(H666="4)",J666,IF(H666="5)",J666,IF(H666="6)",J666,IF(H666="7)",J666,IF(H666="8)",J666,0))))))))</f>
        <v/>
      </c>
    </row>
    <row r="668">
      <c r="A668" s="0" t="inlineStr">
        <is>
          <t>Line</t>
        </is>
      </c>
      <c r="B668" s="0" t="inlineStr">
        <is>
          <t>Prize</t>
        </is>
      </c>
      <c r="C668" s="0" t="inlineStr">
        <is>
          <t>Acquired</t>
        </is>
      </c>
      <c r="D668" s="0" t="inlineStr">
        <is>
          <t>:</t>
        </is>
      </c>
      <c r="E668" s="0" t="inlineStr">
        <is>
          <t>190.00K</t>
        </is>
      </c>
      <c r="F668" s="0" t="inlineStr">
        <is>
          <t>(Stage</t>
        </is>
      </c>
      <c r="G668" s="0" t="inlineStr">
        <is>
          <t>:</t>
        </is>
      </c>
      <c r="H668" s="0" t="inlineStr">
        <is>
          <t>1)</t>
        </is>
      </c>
      <c r="I668" s="0" t="inlineStr">
        <is>
          <t>-</t>
        </is>
      </c>
      <c r="J668" s="0" t="n">
        <v>190000</v>
      </c>
      <c r="K668" s="0">
        <f>IF(H667="1)",1,IF(H667="2)",2,IF(H667="3)",3,IF(H667="4)",4,IF(H667="5)",5,IF(H667="6)",6,IF(H667="7)",7,IF(H667="8)",8,0))))))))</f>
        <v/>
      </c>
      <c r="L668" s="0">
        <f>IF(H667="1)",J667,IF(H667="2)",J667,IF(H667="3)",J667,IF(H667="4)",J667,IF(H667="5)",J667,IF(H667="6)",J667,IF(H667="7)",J667,IF(H667="8)",J667,0))))))))</f>
        <v/>
      </c>
    </row>
    <row r="669">
      <c r="A669" s="0" t="inlineStr">
        <is>
          <t>Clear</t>
        </is>
      </c>
      <c r="B669" s="0" t="inlineStr">
        <is>
          <t>Gem</t>
        </is>
      </c>
      <c r="C669" s="0" t="inlineStr">
        <is>
          <t>Acquired</t>
        </is>
      </c>
      <c r="D669" s="0" t="inlineStr">
        <is>
          <t>:</t>
        </is>
      </c>
      <c r="E669" s="0" t="n">
        <v>3800</v>
      </c>
      <c r="F669" s="0" t="inlineStr">
        <is>
          <t>-&gt;</t>
        </is>
      </c>
      <c r="G669" s="0" t="n">
        <v>3900</v>
      </c>
      <c r="H669" s="0" t="inlineStr">
        <is>
          <t>(Stage</t>
        </is>
      </c>
      <c r="I669" s="0" t="inlineStr">
        <is>
          <t>:</t>
        </is>
      </c>
      <c r="J669" s="0" t="inlineStr">
        <is>
          <t>1)</t>
        </is>
      </c>
      <c r="K669" s="0">
        <f>IF(H668="1)",1,IF(H668="2)",2,IF(H668="3)",3,IF(H668="4)",4,IF(H668="5)",5,IF(H668="6)",6,IF(H668="7)",7,IF(H668="8)",8,0))))))))</f>
        <v/>
      </c>
      <c r="L669" s="0">
        <f>IF(H668="1)",J668,IF(H668="2)",J668,IF(H668="3)",J668,IF(H668="4)",J668,IF(H668="5)",J668,IF(H668="6)",J668,IF(H668="7)",J668,IF(H668="8)",J668,0))))))))</f>
        <v/>
      </c>
    </row>
    <row r="670">
      <c r="A670" s="0" t="inlineStr">
        <is>
          <t>New</t>
        </is>
      </c>
      <c r="B670" s="0" t="inlineStr">
        <is>
          <t>Item</t>
        </is>
      </c>
      <c r="C670" s="0" t="inlineStr">
        <is>
          <t>Acquired</t>
        </is>
      </c>
      <c r="D670" s="0" t="inlineStr">
        <is>
          <t>:</t>
        </is>
      </c>
      <c r="E670" s="0" t="inlineStr">
        <is>
          <t>90.00K</t>
        </is>
      </c>
      <c r="F670" s="0" t="inlineStr">
        <is>
          <t>(7,</t>
        </is>
      </c>
      <c r="G670" s="0" t="inlineStr">
        <is>
          <t>6)</t>
        </is>
      </c>
      <c r="K670" s="0">
        <f>IF(H669="1)",1,IF(H669="2)",2,IF(H669="3)",3,IF(H669="4)",4,IF(H669="5)",5,IF(H669="6)",6,IF(H669="7)",7,IF(H669="8)",8,0))))))))</f>
        <v/>
      </c>
      <c r="L670" s="0">
        <f>IF(H669="1)",J669,IF(H669="2)",J669,IF(H669="3)",J669,IF(H669="4)",J669,IF(H669="5)",J669,IF(H669="6)",J669,IF(H669="7)",J669,IF(H669="8)",J669,0))))))))</f>
        <v/>
      </c>
    </row>
    <row r="671">
      <c r="A671" s="0" t="inlineStr">
        <is>
          <t>New</t>
        </is>
      </c>
      <c r="B671" s="0" t="inlineStr">
        <is>
          <t>Item</t>
        </is>
      </c>
      <c r="C671" s="0" t="inlineStr">
        <is>
          <t>Acquired</t>
        </is>
      </c>
      <c r="D671" s="0" t="inlineStr">
        <is>
          <t>:</t>
        </is>
      </c>
      <c r="E671" s="0" t="inlineStr">
        <is>
          <t>150.00K</t>
        </is>
      </c>
      <c r="F671" s="0" t="inlineStr">
        <is>
          <t>(7,</t>
        </is>
      </c>
      <c r="G671" s="0" t="inlineStr">
        <is>
          <t>8)</t>
        </is>
      </c>
      <c r="K671" s="0">
        <f>IF(H670="1)",1,IF(H670="2)",2,IF(H670="3)",3,IF(H670="4)",4,IF(H670="5)",5,IF(H670="6)",6,IF(H670="7)",7,IF(H670="8)",8,0))))))))</f>
        <v/>
      </c>
      <c r="L671" s="0">
        <f>IF(H670="1)",J670,IF(H670="2)",J670,IF(H670="3)",J670,IF(H670="4)",J670,IF(H670="5)",J670,IF(H670="6)",J670,IF(H670="7)",J670,IF(H670="8)",J670,0))))))))</f>
        <v/>
      </c>
    </row>
    <row r="672">
      <c r="A672" s="0" t="inlineStr">
        <is>
          <t>New</t>
        </is>
      </c>
      <c r="B672" s="0" t="inlineStr">
        <is>
          <t>Item</t>
        </is>
      </c>
      <c r="C672" s="0" t="inlineStr">
        <is>
          <t>Acquired</t>
        </is>
      </c>
      <c r="D672" s="0" t="inlineStr">
        <is>
          <t>:</t>
        </is>
      </c>
      <c r="E672" s="0" t="inlineStr">
        <is>
          <t>45.00K</t>
        </is>
      </c>
      <c r="F672" s="0" t="inlineStr">
        <is>
          <t>(3,</t>
        </is>
      </c>
      <c r="G672" s="0" t="inlineStr">
        <is>
          <t>1)</t>
        </is>
      </c>
      <c r="K672" s="0">
        <f>IF(H671="1)",1,IF(H671="2)",2,IF(H671="3)",3,IF(H671="4)",4,IF(H671="5)",5,IF(H671="6)",6,IF(H671="7)",7,IF(H671="8)",8,0))))))))</f>
        <v/>
      </c>
      <c r="L672" s="0">
        <f>IF(H671="1)",J671,IF(H671="2)",J671,IF(H671="3)",J671,IF(H671="4)",J671,IF(H671="5)",J671,IF(H671="6)",J671,IF(H671="7)",J671,IF(H671="8)",J671,0))))))))</f>
        <v/>
      </c>
    </row>
    <row r="673">
      <c r="A673" s="0" t="inlineStr">
        <is>
          <t>New</t>
        </is>
      </c>
      <c r="B673" s="0" t="inlineStr">
        <is>
          <t>Item</t>
        </is>
      </c>
      <c r="C673" s="0" t="inlineStr">
        <is>
          <t>Acquired</t>
        </is>
      </c>
      <c r="D673" s="0" t="inlineStr">
        <is>
          <t>:</t>
        </is>
      </c>
      <c r="E673" s="0" t="inlineStr">
        <is>
          <t>200.00K</t>
        </is>
      </c>
      <c r="F673" s="0" t="inlineStr">
        <is>
          <t>(8,</t>
        </is>
      </c>
      <c r="G673" s="0" t="inlineStr">
        <is>
          <t>14)</t>
        </is>
      </c>
      <c r="K673" s="0">
        <f>IF(H672="1)",1,IF(H672="2)",2,IF(H672="3)",3,IF(H672="4)",4,IF(H672="5)",5,IF(H672="6)",6,IF(H672="7)",7,IF(H672="8)",8,0))))))))</f>
        <v/>
      </c>
      <c r="L673" s="0">
        <f>IF(H672="1)",J672,IF(H672="2)",J672,IF(H672="3)",J672,IF(H672="4)",J672,IF(H672="5)",J672,IF(H672="6)",J672,IF(H672="7)",J672,IF(H672="8)",J672,0))))))))</f>
        <v/>
      </c>
    </row>
    <row r="674">
      <c r="A674" s="0" t="inlineStr">
        <is>
          <t>New</t>
        </is>
      </c>
      <c r="B674" s="0" t="inlineStr">
        <is>
          <t>Item</t>
        </is>
      </c>
      <c r="C674" s="0" t="inlineStr">
        <is>
          <t>Acquired</t>
        </is>
      </c>
      <c r="D674" s="0" t="inlineStr">
        <is>
          <t>:</t>
        </is>
      </c>
      <c r="E674" s="0" t="inlineStr">
        <is>
          <t>60.00K</t>
        </is>
      </c>
      <c r="F674" s="0" t="inlineStr">
        <is>
          <t>(4,</t>
        </is>
      </c>
      <c r="G674" s="0" t="inlineStr">
        <is>
          <t>4)</t>
        </is>
      </c>
      <c r="K674" s="0">
        <f>IF(H673="1)",1,IF(H673="2)",2,IF(H673="3)",3,IF(H673="4)",4,IF(H673="5)",5,IF(H673="6)",6,IF(H673="7)",7,IF(H673="8)",8,0))))))))</f>
        <v/>
      </c>
      <c r="L674" s="0">
        <f>IF(H673="1)",J673,IF(H673="2)",J673,IF(H673="3)",J673,IF(H673="4)",J673,IF(H673="5)",J673,IF(H673="6)",J673,IF(H673="7)",J673,IF(H673="8)",J673,0))))))))</f>
        <v/>
      </c>
    </row>
    <row r="675">
      <c r="A675" s="0" t="inlineStr">
        <is>
          <t>New</t>
        </is>
      </c>
      <c r="B675" s="0" t="inlineStr">
        <is>
          <t>Item</t>
        </is>
      </c>
      <c r="C675" s="0" t="inlineStr">
        <is>
          <t>Acquired</t>
        </is>
      </c>
      <c r="D675" s="0" t="inlineStr">
        <is>
          <t>:</t>
        </is>
      </c>
      <c r="E675" s="0" t="inlineStr">
        <is>
          <t>105.00K</t>
        </is>
      </c>
      <c r="F675" s="0" t="inlineStr">
        <is>
          <t>(3,</t>
        </is>
      </c>
      <c r="G675" s="0" t="inlineStr">
        <is>
          <t>4)</t>
        </is>
      </c>
      <c r="K675" s="0">
        <f>IF(H674="1)",1,IF(H674="2)",2,IF(H674="3)",3,IF(H674="4)",4,IF(H674="5)",5,IF(H674="6)",6,IF(H674="7)",7,IF(H674="8)",8,0))))))))</f>
        <v/>
      </c>
      <c r="L675" s="0">
        <f>IF(H674="1)",J674,IF(H674="2)",J674,IF(H674="3)",J674,IF(H674="4)",J674,IF(H674="5)",J674,IF(H674="6)",J674,IF(H674="7)",J674,IF(H674="8)",J674,0))))))))</f>
        <v/>
      </c>
    </row>
    <row r="676">
      <c r="A676" s="0" t="inlineStr">
        <is>
          <t>New</t>
        </is>
      </c>
      <c r="B676" s="0" t="inlineStr">
        <is>
          <t>Item</t>
        </is>
      </c>
      <c r="C676" s="0" t="inlineStr">
        <is>
          <t>Acquired</t>
        </is>
      </c>
      <c r="D676" s="0" t="inlineStr">
        <is>
          <t>:</t>
        </is>
      </c>
      <c r="E676" s="0" t="inlineStr">
        <is>
          <t>Minor</t>
        </is>
      </c>
      <c r="F676" s="0" t="inlineStr">
        <is>
          <t>(6,</t>
        </is>
      </c>
      <c r="G676" s="0" t="inlineStr">
        <is>
          <t>3)</t>
        </is>
      </c>
      <c r="K676" s="0">
        <f>IF(H675="1)",1,IF(H675="2)",2,IF(H675="3)",3,IF(H675="4)",4,IF(H675="5)",5,IF(H675="6)",6,IF(H675="7)",7,IF(H675="8)",8,0))))))))</f>
        <v/>
      </c>
      <c r="L676" s="0">
        <f>IF(H675="1)",J675,IF(H675="2)",J675,IF(H675="3)",J675,IF(H675="4)",J675,IF(H675="5)",J675,IF(H675="6)",J675,IF(H675="7)",J675,IF(H675="8)",J675,0))))))))</f>
        <v/>
      </c>
    </row>
    <row r="677">
      <c r="A677" s="0" t="inlineStr">
        <is>
          <t>New</t>
        </is>
      </c>
      <c r="B677" s="0" t="inlineStr">
        <is>
          <t>Item</t>
        </is>
      </c>
      <c r="C677" s="0" t="inlineStr">
        <is>
          <t>Acquired</t>
        </is>
      </c>
      <c r="D677" s="0" t="inlineStr">
        <is>
          <t>:</t>
        </is>
      </c>
      <c r="E677" s="0" t="inlineStr">
        <is>
          <t>120.00K</t>
        </is>
      </c>
      <c r="F677" s="0" t="inlineStr">
        <is>
          <t>(8,</t>
        </is>
      </c>
      <c r="G677" s="0" t="inlineStr">
        <is>
          <t>10)</t>
        </is>
      </c>
      <c r="K677" s="0">
        <f>IF(H676="1)",1,IF(H676="2)",2,IF(H676="3)",3,IF(H676="4)",4,IF(H676="5)",5,IF(H676="6)",6,IF(H676="7)",7,IF(H676="8)",8,0))))))))</f>
        <v/>
      </c>
      <c r="L677" s="0">
        <f>IF(H676="1)",J676,IF(H676="2)",J676,IF(H676="3)",J676,IF(H676="4)",J676,IF(H676="5)",J676,IF(H676="6)",J676,IF(H676="7)",J676,IF(H676="8)",J676,0))))))))</f>
        <v/>
      </c>
    </row>
    <row r="678">
      <c r="A678" s="0" t="inlineStr">
        <is>
          <t>New</t>
        </is>
      </c>
      <c r="B678" s="0" t="inlineStr">
        <is>
          <t>Item</t>
        </is>
      </c>
      <c r="C678" s="0" t="inlineStr">
        <is>
          <t>Acquired</t>
        </is>
      </c>
      <c r="D678" s="0" t="inlineStr">
        <is>
          <t>:</t>
        </is>
      </c>
      <c r="E678" s="0" t="inlineStr">
        <is>
          <t>200.00K</t>
        </is>
      </c>
      <c r="F678" s="0" t="inlineStr">
        <is>
          <t>(8,</t>
        </is>
      </c>
      <c r="G678" s="0" t="inlineStr">
        <is>
          <t>23)</t>
        </is>
      </c>
      <c r="K678" s="0">
        <f>IF(H677="1)",1,IF(H677="2)",2,IF(H677="3)",3,IF(H677="4)",4,IF(H677="5)",5,IF(H677="6)",6,IF(H677="7)",7,IF(H677="8)",8,0))))))))</f>
        <v/>
      </c>
      <c r="L678" s="0">
        <f>IF(H677="1)",J677,IF(H677="2)",J677,IF(H677="3)",J677,IF(H677="4)",J677,IF(H677="5)",J677,IF(H677="6)",J677,IF(H677="7)",J677,IF(H677="8)",J677,0))))))))</f>
        <v/>
      </c>
    </row>
    <row r="679">
      <c r="A679" s="0" t="inlineStr">
        <is>
          <t>New</t>
        </is>
      </c>
      <c r="B679" s="0" t="inlineStr">
        <is>
          <t>Item</t>
        </is>
      </c>
      <c r="C679" s="0" t="inlineStr">
        <is>
          <t>Acquired</t>
        </is>
      </c>
      <c r="D679" s="0" t="inlineStr">
        <is>
          <t>:</t>
        </is>
      </c>
      <c r="E679" s="0" t="inlineStr">
        <is>
          <t>87.50K</t>
        </is>
      </c>
      <c r="F679" s="0" t="inlineStr">
        <is>
          <t>(2,</t>
        </is>
      </c>
      <c r="G679" s="0" t="inlineStr">
        <is>
          <t>8)</t>
        </is>
      </c>
      <c r="K679" s="0">
        <f>IF(H678="1)",1,IF(H678="2)",2,IF(H678="3)",3,IF(H678="4)",4,IF(H678="5)",5,IF(H678="6)",6,IF(H678="7)",7,IF(H678="8)",8,0))))))))</f>
        <v/>
      </c>
      <c r="L679" s="0">
        <f>IF(H678="1)",J678,IF(H678="2)",J678,IF(H678="3)",J678,IF(H678="4)",J678,IF(H678="5)",J678,IF(H678="6)",J678,IF(H678="7)",J678,IF(H678="8)",J678,0))))))))</f>
        <v/>
      </c>
    </row>
    <row r="680">
      <c r="A680" s="0" t="inlineStr">
        <is>
          <t>New</t>
        </is>
      </c>
      <c r="B680" s="0" t="inlineStr">
        <is>
          <t>Item</t>
        </is>
      </c>
      <c r="C680" s="0" t="inlineStr">
        <is>
          <t>Acquired</t>
        </is>
      </c>
      <c r="D680" s="0" t="inlineStr">
        <is>
          <t>:</t>
        </is>
      </c>
      <c r="E680" s="0" t="inlineStr">
        <is>
          <t>Minor</t>
        </is>
      </c>
      <c r="F680" s="0" t="inlineStr">
        <is>
          <t>(5,</t>
        </is>
      </c>
      <c r="G680" s="0" t="inlineStr">
        <is>
          <t>18)</t>
        </is>
      </c>
      <c r="K680" s="0">
        <f>IF(H679="1)",1,IF(H679="2)",2,IF(H679="3)",3,IF(H679="4)",4,IF(H679="5)",5,IF(H679="6)",6,IF(H679="7)",7,IF(H679="8)",8,0))))))))</f>
        <v/>
      </c>
      <c r="L680" s="0">
        <f>IF(H679="1)",J679,IF(H679="2)",J679,IF(H679="3)",J679,IF(H679="4)",J679,IF(H679="5)",J679,IF(H679="6)",J679,IF(H679="7)",J679,IF(H679="8)",J679,0))))))))</f>
        <v/>
      </c>
    </row>
    <row r="681">
      <c r="A681" s="0" t="inlineStr">
        <is>
          <t>New</t>
        </is>
      </c>
      <c r="B681" s="0" t="inlineStr">
        <is>
          <t>Item</t>
        </is>
      </c>
      <c r="C681" s="0" t="inlineStr">
        <is>
          <t>Acquired</t>
        </is>
      </c>
      <c r="D681" s="0" t="inlineStr">
        <is>
          <t>:</t>
        </is>
      </c>
      <c r="E681" s="0" t="inlineStr">
        <is>
          <t>105.00K</t>
        </is>
      </c>
      <c r="F681" s="0" t="inlineStr">
        <is>
          <t>(3,</t>
        </is>
      </c>
      <c r="G681" s="0" t="inlineStr">
        <is>
          <t>18)</t>
        </is>
      </c>
      <c r="K681" s="0">
        <f>IF(H680="1)",1,IF(H680="2)",2,IF(H680="3)",3,IF(H680="4)",4,IF(H680="5)",5,IF(H680="6)",6,IF(H680="7)",7,IF(H680="8)",8,0))))))))</f>
        <v/>
      </c>
      <c r="L681" s="0">
        <f>IF(H680="1)",J680,IF(H680="2)",J680,IF(H680="3)",J680,IF(H680="4)",J680,IF(H680="5)",J680,IF(H680="6)",J680,IF(H680="7)",J680,IF(H680="8)",J680,0))))))))</f>
        <v/>
      </c>
    </row>
    <row r="682">
      <c r="A682" s="0" t="inlineStr">
        <is>
          <t>New</t>
        </is>
      </c>
      <c r="B682" s="0" t="inlineStr">
        <is>
          <t>Item</t>
        </is>
      </c>
      <c r="C682" s="0" t="inlineStr">
        <is>
          <t>Acquired</t>
        </is>
      </c>
      <c r="D682" s="0" t="inlineStr">
        <is>
          <t>:</t>
        </is>
      </c>
      <c r="E682" s="0" t="inlineStr">
        <is>
          <t>90.00K</t>
        </is>
      </c>
      <c r="F682" s="0" t="inlineStr">
        <is>
          <t>(7,</t>
        </is>
      </c>
      <c r="G682" s="0" t="inlineStr">
        <is>
          <t>21)</t>
        </is>
      </c>
      <c r="K682" s="0">
        <f>IF(H681="1)",1,IF(H681="2)",2,IF(H681="3)",3,IF(H681="4)",4,IF(H681="5)",5,IF(H681="6)",6,IF(H681="7)",7,IF(H681="8)",8,0))))))))</f>
        <v/>
      </c>
      <c r="L682" s="0">
        <f>IF(H681="1)",J681,IF(H681="2)",J681,IF(H681="3)",J681,IF(H681="4)",J681,IF(H681="5)",J681,IF(H681="6)",J681,IF(H681="7)",J681,IF(H681="8)",J681,0))))))))</f>
        <v/>
      </c>
    </row>
    <row r="683">
      <c r="A683" s="0" t="inlineStr">
        <is>
          <t>New</t>
        </is>
      </c>
      <c r="B683" s="0" t="inlineStr">
        <is>
          <t>Item</t>
        </is>
      </c>
      <c r="C683" s="0" t="inlineStr">
        <is>
          <t>Acquired</t>
        </is>
      </c>
      <c r="D683" s="0" t="inlineStr">
        <is>
          <t>:</t>
        </is>
      </c>
      <c r="E683" s="0" t="inlineStr">
        <is>
          <t>30.00K</t>
        </is>
      </c>
      <c r="F683" s="0" t="inlineStr">
        <is>
          <t>(1,</t>
        </is>
      </c>
      <c r="G683" s="0" t="inlineStr">
        <is>
          <t>12)</t>
        </is>
      </c>
      <c r="K683" s="0">
        <f>IF(H682="1)",1,IF(H682="2)",2,IF(H682="3)",3,IF(H682="4)",4,IF(H682="5)",5,IF(H682="6)",6,IF(H682="7)",7,IF(H682="8)",8,0))))))))</f>
        <v/>
      </c>
      <c r="L683" s="0">
        <f>IF(H682="1)",J682,IF(H682="2)",J682,IF(H682="3)",J682,IF(H682="4)",J682,IF(H682="5)",J682,IF(H682="6)",J682,IF(H682="7)",J682,IF(H682="8)",J682,0))))))))</f>
        <v/>
      </c>
    </row>
    <row r="684">
      <c r="A684" s="0" t="inlineStr">
        <is>
          <t>New</t>
        </is>
      </c>
      <c r="B684" s="0" t="inlineStr">
        <is>
          <t>Item</t>
        </is>
      </c>
      <c r="C684" s="0" t="inlineStr">
        <is>
          <t>Acquired</t>
        </is>
      </c>
      <c r="D684" s="0" t="inlineStr">
        <is>
          <t>:</t>
        </is>
      </c>
      <c r="E684" s="0" t="inlineStr">
        <is>
          <t>75.00K</t>
        </is>
      </c>
      <c r="F684" s="0" t="inlineStr">
        <is>
          <t>(6,</t>
        </is>
      </c>
      <c r="G684" s="0" t="inlineStr">
        <is>
          <t>17)</t>
        </is>
      </c>
      <c r="K684" s="0">
        <f>IF(H683="1)",1,IF(H683="2)",2,IF(H683="3)",3,IF(H683="4)",4,IF(H683="5)",5,IF(H683="6)",6,IF(H683="7)",7,IF(H683="8)",8,0))))))))</f>
        <v/>
      </c>
      <c r="L684" s="0">
        <f>IF(H683="1)",J683,IF(H683="2)",J683,IF(H683="3)",J683,IF(H683="4)",J683,IF(H683="5)",J683,IF(H683="6)",J683,IF(H683="7)",J683,IF(H683="8)",J683,0))))))))</f>
        <v/>
      </c>
    </row>
    <row r="685">
      <c r="A685" s="0" t="inlineStr">
        <is>
          <t>New</t>
        </is>
      </c>
      <c r="B685" s="0" t="inlineStr">
        <is>
          <t>Item</t>
        </is>
      </c>
      <c r="C685" s="0" t="inlineStr">
        <is>
          <t>Acquired</t>
        </is>
      </c>
      <c r="D685" s="0" t="inlineStr">
        <is>
          <t>:</t>
        </is>
      </c>
      <c r="E685" s="0" t="inlineStr">
        <is>
          <t>87.50K</t>
        </is>
      </c>
      <c r="F685" s="0" t="inlineStr">
        <is>
          <t>(2,</t>
        </is>
      </c>
      <c r="G685" s="0" t="inlineStr">
        <is>
          <t>21)</t>
        </is>
      </c>
      <c r="K685" s="0">
        <f>IF(H684="1)",1,IF(H684="2)",2,IF(H684="3)",3,IF(H684="4)",4,IF(H684="5)",5,IF(H684="6)",6,IF(H684="7)",7,IF(H684="8)",8,0))))))))</f>
        <v/>
      </c>
      <c r="L685" s="0">
        <f>IF(H684="1)",J684,IF(H684="2)",J684,IF(H684="3)",J684,IF(H684="4)",J684,IF(H684="5)",J684,IF(H684="6)",J684,IF(H684="7)",J684,IF(H684="8)",J684,0))))))))</f>
        <v/>
      </c>
    </row>
    <row r="686">
      <c r="A686" s="0" t="inlineStr">
        <is>
          <t>New</t>
        </is>
      </c>
      <c r="B686" s="0" t="inlineStr">
        <is>
          <t>Item</t>
        </is>
      </c>
      <c r="C686" s="0" t="inlineStr">
        <is>
          <t>Acquired</t>
        </is>
      </c>
      <c r="D686" s="0" t="inlineStr">
        <is>
          <t>:</t>
        </is>
      </c>
      <c r="E686" s="0" t="inlineStr">
        <is>
          <t>50.00K</t>
        </is>
      </c>
      <c r="F686" s="0" t="inlineStr">
        <is>
          <t>(1,</t>
        </is>
      </c>
      <c r="G686" s="0" t="inlineStr">
        <is>
          <t>18)</t>
        </is>
      </c>
      <c r="K686" s="0">
        <f>IF(H685="1)",1,IF(H685="2)",2,IF(H685="3)",3,IF(H685="4)",4,IF(H685="5)",5,IF(H685="6)",6,IF(H685="7)",7,IF(H685="8)",8,0))))))))</f>
        <v/>
      </c>
      <c r="L686" s="0">
        <f>IF(H685="1)",J685,IF(H685="2)",J685,IF(H685="3)",J685,IF(H685="4)",J685,IF(H685="5)",J685,IF(H685="6)",J685,IF(H685="7)",J685,IF(H685="8)",J685,0))))))))</f>
        <v/>
      </c>
    </row>
    <row r="687">
      <c r="A687" s="0" t="inlineStr">
        <is>
          <t>New</t>
        </is>
      </c>
      <c r="B687" s="0" t="inlineStr">
        <is>
          <t>Item</t>
        </is>
      </c>
      <c r="C687" s="0" t="inlineStr">
        <is>
          <t>Acquired</t>
        </is>
      </c>
      <c r="D687" s="0" t="inlineStr">
        <is>
          <t>:</t>
        </is>
      </c>
      <c r="E687" s="0" t="inlineStr">
        <is>
          <t>105.00K</t>
        </is>
      </c>
      <c r="F687" s="0" t="inlineStr">
        <is>
          <t>(4,</t>
        </is>
      </c>
      <c r="G687" s="0" t="inlineStr">
        <is>
          <t>14)</t>
        </is>
      </c>
      <c r="K687" s="0">
        <f>IF(H686="1)",1,IF(H686="2)",2,IF(H686="3)",3,IF(H686="4)",4,IF(H686="5)",5,IF(H686="6)",6,IF(H686="7)",7,IF(H686="8)",8,0))))))))</f>
        <v/>
      </c>
      <c r="L687" s="0">
        <f>IF(H686="1)",J686,IF(H686="2)",J686,IF(H686="3)",J686,IF(H686="4)",J686,IF(H686="5)",J686,IF(H686="6)",J686,IF(H686="7)",J686,IF(H686="8)",J686,0))))))))</f>
        <v/>
      </c>
    </row>
    <row r="688">
      <c r="A688" s="0" t="inlineStr">
        <is>
          <t>New</t>
        </is>
      </c>
      <c r="B688" s="0" t="inlineStr">
        <is>
          <t>Item</t>
        </is>
      </c>
      <c r="C688" s="0" t="inlineStr">
        <is>
          <t>Acquired</t>
        </is>
      </c>
      <c r="D688" s="0" t="inlineStr">
        <is>
          <t>:</t>
        </is>
      </c>
      <c r="E688" s="0" t="inlineStr">
        <is>
          <t>150.00K</t>
        </is>
      </c>
      <c r="F688" s="0" t="inlineStr">
        <is>
          <t>(7,</t>
        </is>
      </c>
      <c r="G688" s="0" t="inlineStr">
        <is>
          <t>11)</t>
        </is>
      </c>
      <c r="K688" s="0">
        <f>IF(H687="1)",1,IF(H687="2)",2,IF(H687="3)",3,IF(H687="4)",4,IF(H687="5)",5,IF(H687="6)",6,IF(H687="7)",7,IF(H687="8)",8,0))))))))</f>
        <v/>
      </c>
      <c r="L688" s="0">
        <f>IF(H687="1)",J687,IF(H687="2)",J687,IF(H687="3)",J687,IF(H687="4)",J687,IF(H687="5)",J687,IF(H687="6)",J687,IF(H687="7)",J687,IF(H687="8)",J687,0))))))))</f>
        <v/>
      </c>
    </row>
    <row r="689">
      <c r="A689" s="0" t="inlineStr">
        <is>
          <t>New</t>
        </is>
      </c>
      <c r="B689" s="0" t="inlineStr">
        <is>
          <t>Item</t>
        </is>
      </c>
      <c r="C689" s="0" t="inlineStr">
        <is>
          <t>Acquired</t>
        </is>
      </c>
      <c r="D689" s="0" t="inlineStr">
        <is>
          <t>:</t>
        </is>
      </c>
      <c r="E689" s="0" t="inlineStr">
        <is>
          <t>30.00K</t>
        </is>
      </c>
      <c r="F689" s="0" t="inlineStr">
        <is>
          <t>(1,</t>
        </is>
      </c>
      <c r="G689" s="0" t="inlineStr">
        <is>
          <t>20)</t>
        </is>
      </c>
      <c r="K689" s="0">
        <f>IF(H688="1)",1,IF(H688="2)",2,IF(H688="3)",3,IF(H688="4)",4,IF(H688="5)",5,IF(H688="6)",6,IF(H688="7)",7,IF(H688="8)",8,0))))))))</f>
        <v/>
      </c>
      <c r="L689" s="0">
        <f>IF(H688="1)",J688,IF(H688="2)",J688,IF(H688="3)",J688,IF(H688="4)",J688,IF(H688="5)",J688,IF(H688="6)",J688,IF(H688="7)",J688,IF(H688="8)",J688,0))))))))</f>
        <v/>
      </c>
    </row>
    <row r="690">
      <c r="A690" s="0" t="inlineStr">
        <is>
          <t>New</t>
        </is>
      </c>
      <c r="B690" s="0" t="inlineStr">
        <is>
          <t>Item</t>
        </is>
      </c>
      <c r="C690" s="0" t="inlineStr">
        <is>
          <t>Acquired</t>
        </is>
      </c>
      <c r="D690" s="0" t="inlineStr">
        <is>
          <t>:</t>
        </is>
      </c>
      <c r="E690" s="0" t="inlineStr">
        <is>
          <t>200.00K</t>
        </is>
      </c>
      <c r="F690" s="0" t="inlineStr">
        <is>
          <t>(8,</t>
        </is>
      </c>
      <c r="G690" s="0" t="inlineStr">
        <is>
          <t>21)</t>
        </is>
      </c>
      <c r="K690" s="0">
        <f>IF(H689="1)",1,IF(H689="2)",2,IF(H689="3)",3,IF(H689="4)",4,IF(H689="5)",5,IF(H689="6)",6,IF(H689="7)",7,IF(H689="8)",8,0))))))))</f>
        <v/>
      </c>
      <c r="L690" s="0">
        <f>IF(H689="1)",J689,IF(H689="2)",J689,IF(H689="3)",J689,IF(H689="4)",J689,IF(H689="5)",J689,IF(H689="6)",J689,IF(H689="7)",J689,IF(H689="8)",J689,0))))))))</f>
        <v/>
      </c>
    </row>
    <row r="691">
      <c r="A691" s="0" t="inlineStr">
        <is>
          <t>Line</t>
        </is>
      </c>
      <c r="B691" s="0" t="inlineStr">
        <is>
          <t>Prize</t>
        </is>
      </c>
      <c r="C691" s="0" t="inlineStr">
        <is>
          <t>Acquired</t>
        </is>
      </c>
      <c r="D691" s="0" t="inlineStr">
        <is>
          <t>:</t>
        </is>
      </c>
      <c r="E691" s="0" t="inlineStr">
        <is>
          <t>1.92M</t>
        </is>
      </c>
      <c r="F691" s="0" t="inlineStr">
        <is>
          <t>(Stage</t>
        </is>
      </c>
      <c r="G691" s="0" t="inlineStr">
        <is>
          <t>:</t>
        </is>
      </c>
      <c r="H691" s="0" t="inlineStr">
        <is>
          <t>8)</t>
        </is>
      </c>
      <c r="I691" s="0" t="inlineStr">
        <is>
          <t>-</t>
        </is>
      </c>
      <c r="J691" s="0" t="n">
        <v>1920000</v>
      </c>
      <c r="K691" s="0">
        <f>IF(H690="1)",1,IF(H690="2)",2,IF(H690="3)",3,IF(H690="4)",4,IF(H690="5)",5,IF(H690="6)",6,IF(H690="7)",7,IF(H690="8)",8,0))))))))</f>
        <v/>
      </c>
      <c r="L691" s="0">
        <f>IF(H690="1)",J690,IF(H690="2)",J690,IF(H690="3)",J690,IF(H690="4)",J690,IF(H690="5)",J690,IF(H690="6)",J690,IF(H690="7)",J690,IF(H690="8)",J690,0))))))))</f>
        <v/>
      </c>
    </row>
    <row r="692">
      <c r="A692" s="0" t="inlineStr">
        <is>
          <t>Clear</t>
        </is>
      </c>
      <c r="B692" s="0" t="inlineStr">
        <is>
          <t>Gem</t>
        </is>
      </c>
      <c r="C692" s="0" t="inlineStr">
        <is>
          <t>Acquired</t>
        </is>
      </c>
      <c r="D692" s="0" t="inlineStr">
        <is>
          <t>:</t>
        </is>
      </c>
      <c r="E692" s="0" t="n">
        <v>3900</v>
      </c>
      <c r="F692" s="0" t="inlineStr">
        <is>
          <t>-&gt;</t>
        </is>
      </c>
      <c r="G692" s="0" t="n">
        <v>4000</v>
      </c>
      <c r="H692" s="0" t="inlineStr">
        <is>
          <t>(Stage</t>
        </is>
      </c>
      <c r="I692" s="0" t="inlineStr">
        <is>
          <t>:</t>
        </is>
      </c>
      <c r="J692" s="0" t="inlineStr">
        <is>
          <t>8)</t>
        </is>
      </c>
      <c r="K692" s="0">
        <f>IF(H691="1)",1,IF(H691="2)",2,IF(H691="3)",3,IF(H691="4)",4,IF(H691="5)",5,IF(H691="6)",6,IF(H691="7)",7,IF(H691="8)",8,0))))))))</f>
        <v/>
      </c>
      <c r="L692" s="0">
        <f>IF(H691="1)",J691,IF(H691="2)",J691,IF(H691="3)",J691,IF(H691="4)",J691,IF(H691="5)",J691,IF(H691="6)",J691,IF(H691="7)",J691,IF(H691="8)",J691,0))))))))</f>
        <v/>
      </c>
    </row>
    <row r="693">
      <c r="A693" s="0" t="inlineStr">
        <is>
          <t>New</t>
        </is>
      </c>
      <c r="B693" s="0" t="inlineStr">
        <is>
          <t>Item</t>
        </is>
      </c>
      <c r="C693" s="0" t="inlineStr">
        <is>
          <t>Acquired</t>
        </is>
      </c>
      <c r="D693" s="0" t="inlineStr">
        <is>
          <t>:</t>
        </is>
      </c>
      <c r="E693" s="0" t="inlineStr">
        <is>
          <t>30.00K</t>
        </is>
      </c>
      <c r="F693" s="0" t="inlineStr">
        <is>
          <t>(1,</t>
        </is>
      </c>
      <c r="G693" s="0" t="inlineStr">
        <is>
          <t>24)</t>
        </is>
      </c>
      <c r="K693" s="0">
        <f>IF(H692="1)",1,IF(H692="2)",2,IF(H692="3)",3,IF(H692="4)",4,IF(H692="5)",5,IF(H692="6)",6,IF(H692="7)",7,IF(H692="8)",8,0))))))))</f>
        <v/>
      </c>
      <c r="L693" s="0">
        <f>IF(H692="1)",J692,IF(H692="2)",J692,IF(H692="3)",J692,IF(H692="4)",J692,IF(H692="5)",J692,IF(H692="6)",J692,IF(H692="7)",J692,IF(H692="8)",J692,0))))))))</f>
        <v/>
      </c>
    </row>
    <row r="694">
      <c r="A694" s="0" t="inlineStr">
        <is>
          <t>New</t>
        </is>
      </c>
      <c r="B694" s="0" t="inlineStr">
        <is>
          <t>Item</t>
        </is>
      </c>
      <c r="C694" s="0" t="inlineStr">
        <is>
          <t>Acquired</t>
        </is>
      </c>
      <c r="D694" s="0" t="inlineStr">
        <is>
          <t>:</t>
        </is>
      </c>
      <c r="E694" s="0" t="inlineStr">
        <is>
          <t>60.00K</t>
        </is>
      </c>
      <c r="F694" s="0" t="inlineStr">
        <is>
          <t>(4,</t>
        </is>
      </c>
      <c r="G694" s="0" t="inlineStr">
        <is>
          <t>1)</t>
        </is>
      </c>
      <c r="K694" s="0">
        <f>IF(H693="1)",1,IF(H693="2)",2,IF(H693="3)",3,IF(H693="4)",4,IF(H693="5)",5,IF(H693="6)",6,IF(H693="7)",7,IF(H693="8)",8,0))))))))</f>
        <v/>
      </c>
      <c r="L694" s="0">
        <f>IF(H693="1)",J693,IF(H693="2)",J693,IF(H693="3)",J693,IF(H693="4)",J693,IF(H693="5)",J693,IF(H693="6)",J693,IF(H693="7)",J693,IF(H693="8)",J693,0))))))))</f>
        <v/>
      </c>
    </row>
    <row r="695">
      <c r="A695" s="0" t="inlineStr">
        <is>
          <t>Item</t>
        </is>
      </c>
      <c r="B695" s="0" t="inlineStr">
        <is>
          <t>ReSelect</t>
        </is>
      </c>
      <c r="C695" s="0" t="inlineStr">
        <is>
          <t>Failed</t>
        </is>
      </c>
      <c r="D695" s="0" t="inlineStr">
        <is>
          <t>:</t>
        </is>
      </c>
      <c r="E695" s="0" t="inlineStr">
        <is>
          <t>Attempt</t>
        </is>
      </c>
      <c r="F695" s="0" t="inlineStr">
        <is>
          <t>Count</t>
        </is>
      </c>
      <c r="G695" s="0" t="inlineStr">
        <is>
          <t>-</t>
        </is>
      </c>
      <c r="H695" s="0" t="n">
        <v>3</v>
      </c>
      <c r="K695" s="0">
        <f>IF(H694="1)",1,IF(H694="2)",2,IF(H694="3)",3,IF(H694="4)",4,IF(H694="5)",5,IF(H694="6)",6,IF(H694="7)",7,IF(H694="8)",8,0))))))))</f>
        <v/>
      </c>
      <c r="L695" s="0">
        <f>IF(H694="1)",J694,IF(H694="2)",J694,IF(H694="3)",J694,IF(H694="4)",J694,IF(H694="5)",J694,IF(H694="6)",J694,IF(H694="7)",J694,IF(H694="8)",J694,0))))))))</f>
        <v/>
      </c>
    </row>
    <row r="696">
      <c r="A696" s="0" t="inlineStr">
        <is>
          <t>New</t>
        </is>
      </c>
      <c r="B696" s="0" t="inlineStr">
        <is>
          <t>Item</t>
        </is>
      </c>
      <c r="C696" s="0" t="inlineStr">
        <is>
          <t>Acquired</t>
        </is>
      </c>
      <c r="D696" s="0" t="inlineStr">
        <is>
          <t>:</t>
        </is>
      </c>
      <c r="E696" s="0" t="inlineStr">
        <is>
          <t>45.00K</t>
        </is>
      </c>
      <c r="F696" s="0" t="inlineStr">
        <is>
          <t>(3,</t>
        </is>
      </c>
      <c r="G696" s="0" t="inlineStr">
        <is>
          <t>7)</t>
        </is>
      </c>
      <c r="K696" s="0">
        <f>IF(H695="1)",1,IF(H695="2)",2,IF(H695="3)",3,IF(H695="4)",4,IF(H695="5)",5,IF(H695="6)",6,IF(H695="7)",7,IF(H695="8)",8,0))))))))</f>
        <v/>
      </c>
      <c r="L696" s="0">
        <f>IF(H695="1)",J695,IF(H695="2)",J695,IF(H695="3)",J695,IF(H695="4)",J695,IF(H695="5)",J695,IF(H695="6)",J695,IF(H695="7)",J695,IF(H695="8)",J695,0))))))))</f>
        <v/>
      </c>
    </row>
    <row r="697">
      <c r="A697" s="0" t="inlineStr">
        <is>
          <t>New</t>
        </is>
      </c>
      <c r="B697" s="0" t="inlineStr">
        <is>
          <t>Item</t>
        </is>
      </c>
      <c r="C697" s="0" t="inlineStr">
        <is>
          <t>Acquired</t>
        </is>
      </c>
      <c r="D697" s="0" t="inlineStr">
        <is>
          <t>:</t>
        </is>
      </c>
      <c r="E697" s="0" t="inlineStr">
        <is>
          <t>105.00K</t>
        </is>
      </c>
      <c r="F697" s="0" t="inlineStr">
        <is>
          <t>(3,</t>
        </is>
      </c>
      <c r="G697" s="0" t="inlineStr">
        <is>
          <t>8)</t>
        </is>
      </c>
      <c r="K697" s="0">
        <f>IF(H696="1)",1,IF(H696="2)",2,IF(H696="3)",3,IF(H696="4)",4,IF(H696="5)",5,IF(H696="6)",6,IF(H696="7)",7,IF(H696="8)",8,0))))))))</f>
        <v/>
      </c>
      <c r="L697" s="0">
        <f>IF(H696="1)",J696,IF(H696="2)",J696,IF(H696="3)",J696,IF(H696="4)",J696,IF(H696="5)",J696,IF(H696="6)",J696,IF(H696="7)",J696,IF(H696="8)",J696,0))))))))</f>
        <v/>
      </c>
    </row>
    <row r="698">
      <c r="A698" s="0" t="inlineStr">
        <is>
          <t>New</t>
        </is>
      </c>
      <c r="B698" s="0" t="inlineStr">
        <is>
          <t>Item</t>
        </is>
      </c>
      <c r="C698" s="0" t="inlineStr">
        <is>
          <t>Acquired</t>
        </is>
      </c>
      <c r="D698" s="0" t="inlineStr">
        <is>
          <t>:</t>
        </is>
      </c>
      <c r="E698" s="0" t="inlineStr">
        <is>
          <t>30.00K</t>
        </is>
      </c>
      <c r="F698" s="0" t="inlineStr">
        <is>
          <t>(1,</t>
        </is>
      </c>
      <c r="G698" s="0" t="inlineStr">
        <is>
          <t>16)</t>
        </is>
      </c>
      <c r="K698" s="0">
        <f>IF(H697="1)",1,IF(H697="2)",2,IF(H697="3)",3,IF(H697="4)",4,IF(H697="5)",5,IF(H697="6)",6,IF(H697="7)",7,IF(H697="8)",8,0))))))))</f>
        <v/>
      </c>
      <c r="L698" s="0">
        <f>IF(H697="1)",J697,IF(H697="2)",J697,IF(H697="3)",J697,IF(H697="4)",J697,IF(H697="5)",J697,IF(H697="6)",J697,IF(H697="7)",J697,IF(H697="8)",J697,0))))))))</f>
        <v/>
      </c>
    </row>
    <row r="699">
      <c r="A699" s="0" t="inlineStr">
        <is>
          <t>New</t>
        </is>
      </c>
      <c r="B699" s="0" t="inlineStr">
        <is>
          <t>Item</t>
        </is>
      </c>
      <c r="C699" s="0" t="inlineStr">
        <is>
          <t>Acquired</t>
        </is>
      </c>
      <c r="D699" s="0" t="inlineStr">
        <is>
          <t>:</t>
        </is>
      </c>
      <c r="E699" s="0" t="inlineStr">
        <is>
          <t>75.00K</t>
        </is>
      </c>
      <c r="F699" s="0" t="inlineStr">
        <is>
          <t>(6,</t>
        </is>
      </c>
      <c r="G699" s="0" t="inlineStr">
        <is>
          <t>2)</t>
        </is>
      </c>
      <c r="K699" s="0">
        <f>IF(H698="1)",1,IF(H698="2)",2,IF(H698="3)",3,IF(H698="4)",4,IF(H698="5)",5,IF(H698="6)",6,IF(H698="7)",7,IF(H698="8)",8,0))))))))</f>
        <v/>
      </c>
      <c r="L699" s="0">
        <f>IF(H698="1)",J698,IF(H698="2)",J698,IF(H698="3)",J698,IF(H698="4)",J698,IF(H698="5)",J698,IF(H698="6)",J698,IF(H698="7)",J698,IF(H698="8)",J698,0))))))))</f>
        <v/>
      </c>
    </row>
    <row r="700">
      <c r="A700" s="0" t="inlineStr">
        <is>
          <t>New</t>
        </is>
      </c>
      <c r="B700" s="0" t="inlineStr">
        <is>
          <t>Item</t>
        </is>
      </c>
      <c r="C700" s="0" t="inlineStr">
        <is>
          <t>Acquired</t>
        </is>
      </c>
      <c r="D700" s="0" t="inlineStr">
        <is>
          <t>:</t>
        </is>
      </c>
      <c r="E700" s="0" t="inlineStr">
        <is>
          <t>50.00K</t>
        </is>
      </c>
      <c r="F700" s="0" t="inlineStr">
        <is>
          <t>(1,</t>
        </is>
      </c>
      <c r="G700" s="0" t="inlineStr">
        <is>
          <t>25)</t>
        </is>
      </c>
      <c r="K700" s="0">
        <f>IF(H699="1)",1,IF(H699="2)",2,IF(H699="3)",3,IF(H699="4)",4,IF(H699="5)",5,IF(H699="6)",6,IF(H699="7)",7,IF(H699="8)",8,0))))))))</f>
        <v/>
      </c>
      <c r="L700" s="0">
        <f>IF(H699="1)",J699,IF(H699="2)",J699,IF(H699="3)",J699,IF(H699="4)",J699,IF(H699="5)",J699,IF(H699="6)",J699,IF(H699="7)",J699,IF(H699="8)",J699,0))))))))</f>
        <v/>
      </c>
    </row>
    <row r="701">
      <c r="A701" s="0" t="inlineStr">
        <is>
          <t>New</t>
        </is>
      </c>
      <c r="B701" s="0" t="inlineStr">
        <is>
          <t>Item</t>
        </is>
      </c>
      <c r="C701" s="0" t="inlineStr">
        <is>
          <t>Acquired</t>
        </is>
      </c>
      <c r="D701" s="0" t="inlineStr">
        <is>
          <t>:</t>
        </is>
      </c>
      <c r="E701" s="0" t="inlineStr">
        <is>
          <t>Major</t>
        </is>
      </c>
      <c r="F701" s="0" t="inlineStr">
        <is>
          <t>(1,</t>
        </is>
      </c>
      <c r="G701" s="0" t="inlineStr">
        <is>
          <t>1)</t>
        </is>
      </c>
      <c r="K701" s="0">
        <f>IF(H700="1)",1,IF(H700="2)",2,IF(H700="3)",3,IF(H700="4)",4,IF(H700="5)",5,IF(H700="6)",6,IF(H700="7)",7,IF(H700="8)",8,0))))))))</f>
        <v/>
      </c>
      <c r="L701" s="0">
        <f>IF(H700="1)",J700,IF(H700="2)",J700,IF(H700="3)",J700,IF(H700="4)",J700,IF(H700="5)",J700,IF(H700="6)",J700,IF(H700="7)",J700,IF(H700="8)",J700,0))))))))</f>
        <v/>
      </c>
    </row>
    <row r="702">
      <c r="A702" s="0" t="inlineStr">
        <is>
          <t>New</t>
        </is>
      </c>
      <c r="B702" s="0" t="inlineStr">
        <is>
          <t>Item</t>
        </is>
      </c>
      <c r="C702" s="0" t="inlineStr">
        <is>
          <t>Acquired</t>
        </is>
      </c>
      <c r="D702" s="0" t="inlineStr">
        <is>
          <t>:</t>
        </is>
      </c>
      <c r="E702" s="0" t="inlineStr">
        <is>
          <t>Mini</t>
        </is>
      </c>
      <c r="F702" s="0" t="inlineStr">
        <is>
          <t>(7,</t>
        </is>
      </c>
      <c r="G702" s="0" t="inlineStr">
        <is>
          <t>14)</t>
        </is>
      </c>
      <c r="K702" s="0">
        <f>IF(H701="1)",1,IF(H701="2)",2,IF(H701="3)",3,IF(H701="4)",4,IF(H701="5)",5,IF(H701="6)",6,IF(H701="7)",7,IF(H701="8)",8,0))))))))</f>
        <v/>
      </c>
      <c r="L702" s="0">
        <f>IF(H701="1)",J701,IF(H701="2)",J701,IF(H701="3)",J701,IF(H701="4)",J701,IF(H701="5)",J701,IF(H701="6)",J701,IF(H701="7)",J701,IF(H701="8)",J701,0))))))))</f>
        <v/>
      </c>
    </row>
    <row r="703">
      <c r="A703" s="0" t="inlineStr">
        <is>
          <t>New</t>
        </is>
      </c>
      <c r="B703" s="0" t="inlineStr">
        <is>
          <t>Item</t>
        </is>
      </c>
      <c r="C703" s="0" t="inlineStr">
        <is>
          <t>Acquired</t>
        </is>
      </c>
      <c r="D703" s="0" t="inlineStr">
        <is>
          <t>:</t>
        </is>
      </c>
      <c r="E703" s="0" t="inlineStr">
        <is>
          <t>60.00K</t>
        </is>
      </c>
      <c r="F703" s="0" t="inlineStr">
        <is>
          <t>(4,</t>
        </is>
      </c>
      <c r="G703" s="0" t="inlineStr">
        <is>
          <t>9)</t>
        </is>
      </c>
      <c r="K703" s="0">
        <f>IF(H702="1)",1,IF(H702="2)",2,IF(H702="3)",3,IF(H702="4)",4,IF(H702="5)",5,IF(H702="6)",6,IF(H702="7)",7,IF(H702="8)",8,0))))))))</f>
        <v/>
      </c>
      <c r="L703" s="0">
        <f>IF(H702="1)",J702,IF(H702="2)",J702,IF(H702="3)",J702,IF(H702="4)",J702,IF(H702="5)",J702,IF(H702="6)",J702,IF(H702="7)",J702,IF(H702="8)",J702,0))))))))</f>
        <v/>
      </c>
    </row>
    <row r="704">
      <c r="A704" s="0" t="inlineStr">
        <is>
          <t>New</t>
        </is>
      </c>
      <c r="B704" s="0" t="inlineStr">
        <is>
          <t>Item</t>
        </is>
      </c>
      <c r="C704" s="0" t="inlineStr">
        <is>
          <t>Acquired</t>
        </is>
      </c>
      <c r="D704" s="0" t="inlineStr">
        <is>
          <t>:</t>
        </is>
      </c>
      <c r="E704" s="0" t="inlineStr">
        <is>
          <t>50.00K</t>
        </is>
      </c>
      <c r="F704" s="0" t="inlineStr">
        <is>
          <t>(1,</t>
        </is>
      </c>
      <c r="G704" s="0" t="inlineStr">
        <is>
          <t>14)</t>
        </is>
      </c>
      <c r="K704" s="0">
        <f>IF(H703="1)",1,IF(H703="2)",2,IF(H703="3)",3,IF(H703="4)",4,IF(H703="5)",5,IF(H703="6)",6,IF(H703="7)",7,IF(H703="8)",8,0))))))))</f>
        <v/>
      </c>
      <c r="L704" s="0">
        <f>IF(H703="1)",J703,IF(H703="2)",J703,IF(H703="3)",J703,IF(H703="4)",J703,IF(H703="5)",J703,IF(H703="6)",J703,IF(H703="7)",J703,IF(H703="8)",J703,0))))))))</f>
        <v/>
      </c>
    </row>
    <row r="705">
      <c r="A705" s="0" t="inlineStr">
        <is>
          <t>New</t>
        </is>
      </c>
      <c r="B705" s="0" t="inlineStr">
        <is>
          <t>Item</t>
        </is>
      </c>
      <c r="C705" s="0" t="inlineStr">
        <is>
          <t>Acquired</t>
        </is>
      </c>
      <c r="D705" s="0" t="inlineStr">
        <is>
          <t>:</t>
        </is>
      </c>
      <c r="E705" s="0" t="inlineStr">
        <is>
          <t>200.00K</t>
        </is>
      </c>
      <c r="F705" s="0" t="inlineStr">
        <is>
          <t>(8,</t>
        </is>
      </c>
      <c r="G705" s="0" t="inlineStr">
        <is>
          <t>10)</t>
        </is>
      </c>
      <c r="K705" s="0">
        <f>IF(H704="1)",1,IF(H704="2)",2,IF(H704="3)",3,IF(H704="4)",4,IF(H704="5)",5,IF(H704="6)",6,IF(H704="7)",7,IF(H704="8)",8,0))))))))</f>
        <v/>
      </c>
      <c r="L705" s="0">
        <f>IF(H704="1)",J704,IF(H704="2)",J704,IF(H704="3)",J704,IF(H704="4)",J704,IF(H704="5)",J704,IF(H704="6)",J704,IF(H704="7)",J704,IF(H704="8)",J704,0))))))))</f>
        <v/>
      </c>
    </row>
    <row r="706">
      <c r="A706" s="0" t="inlineStr">
        <is>
          <t>New</t>
        </is>
      </c>
      <c r="B706" s="0" t="inlineStr">
        <is>
          <t>Item</t>
        </is>
      </c>
      <c r="C706" s="0" t="inlineStr">
        <is>
          <t>Acquired</t>
        </is>
      </c>
      <c r="D706" s="0" t="inlineStr">
        <is>
          <t>:</t>
        </is>
      </c>
      <c r="E706" s="0" t="inlineStr">
        <is>
          <t>90.00K</t>
        </is>
      </c>
      <c r="F706" s="0" t="inlineStr">
        <is>
          <t>(7,</t>
        </is>
      </c>
      <c r="G706" s="0" t="inlineStr">
        <is>
          <t>7)</t>
        </is>
      </c>
      <c r="K706" s="0">
        <f>IF(H705="1)",1,IF(H705="2)",2,IF(H705="3)",3,IF(H705="4)",4,IF(H705="5)",5,IF(H705="6)",6,IF(H705="7)",7,IF(H705="8)",8,0))))))))</f>
        <v/>
      </c>
      <c r="L706" s="0">
        <f>IF(H705="1)",J705,IF(H705="2)",J705,IF(H705="3)",J705,IF(H705="4)",J705,IF(H705="5)",J705,IF(H705="6)",J705,IF(H705="7)",J705,IF(H705="8)",J705,0))))))))</f>
        <v/>
      </c>
    </row>
    <row r="707">
      <c r="A707" s="0" t="inlineStr">
        <is>
          <t>New</t>
        </is>
      </c>
      <c r="B707" s="0" t="inlineStr">
        <is>
          <t>Item</t>
        </is>
      </c>
      <c r="C707" s="0" t="inlineStr">
        <is>
          <t>Acquired</t>
        </is>
      </c>
      <c r="D707" s="0" t="inlineStr">
        <is>
          <t>:</t>
        </is>
      </c>
      <c r="E707" s="0" t="inlineStr">
        <is>
          <t>210.00K</t>
        </is>
      </c>
      <c r="F707" s="0" t="inlineStr">
        <is>
          <t>(7,</t>
        </is>
      </c>
      <c r="G707" s="0" t="inlineStr">
        <is>
          <t>19)</t>
        </is>
      </c>
      <c r="K707" s="0">
        <f>IF(H706="1)",1,IF(H706="2)",2,IF(H706="3)",3,IF(H706="4)",4,IF(H706="5)",5,IF(H706="6)",6,IF(H706="7)",7,IF(H706="8)",8,0))))))))</f>
        <v/>
      </c>
      <c r="L707" s="0">
        <f>IF(H706="1)",J706,IF(H706="2)",J706,IF(H706="3)",J706,IF(H706="4)",J706,IF(H706="5)",J706,IF(H706="6)",J706,IF(H706="7)",J706,IF(H706="8)",J706,0))))))))</f>
        <v/>
      </c>
    </row>
    <row r="708">
      <c r="A708" s="0" t="inlineStr">
        <is>
          <t>New</t>
        </is>
      </c>
      <c r="B708" s="0" t="inlineStr">
        <is>
          <t>Item</t>
        </is>
      </c>
      <c r="C708" s="0" t="inlineStr">
        <is>
          <t>Acquired</t>
        </is>
      </c>
      <c r="D708" s="0" t="inlineStr">
        <is>
          <t>:</t>
        </is>
      </c>
      <c r="E708" s="0" t="inlineStr">
        <is>
          <t>150.00K</t>
        </is>
      </c>
      <c r="F708" s="0" t="inlineStr">
        <is>
          <t>(7,</t>
        </is>
      </c>
      <c r="G708" s="0" t="inlineStr">
        <is>
          <t>22)</t>
        </is>
      </c>
      <c r="K708" s="0">
        <f>IF(H707="1)",1,IF(H707="2)",2,IF(H707="3)",3,IF(H707="4)",4,IF(H707="5)",5,IF(H707="6)",6,IF(H707="7)",7,IF(H707="8)",8,0))))))))</f>
        <v/>
      </c>
      <c r="L708" s="0">
        <f>IF(H707="1)",J707,IF(H707="2)",J707,IF(H707="3)",J707,IF(H707="4)",J707,IF(H707="5)",J707,IF(H707="6)",J707,IF(H707="7)",J707,IF(H707="8)",J707,0))))))))</f>
        <v/>
      </c>
    </row>
    <row r="709">
      <c r="A709" s="0" t="inlineStr">
        <is>
          <t>New</t>
        </is>
      </c>
      <c r="B709" s="0" t="inlineStr">
        <is>
          <t>Item</t>
        </is>
      </c>
      <c r="C709" s="0" t="inlineStr">
        <is>
          <t>Acquired</t>
        </is>
      </c>
      <c r="D709" s="0" t="inlineStr">
        <is>
          <t>:</t>
        </is>
      </c>
      <c r="E709" s="0" t="inlineStr">
        <is>
          <t>45.00K</t>
        </is>
      </c>
      <c r="F709" s="0" t="inlineStr">
        <is>
          <t>(3,</t>
        </is>
      </c>
      <c r="G709" s="0" t="inlineStr">
        <is>
          <t>22)</t>
        </is>
      </c>
      <c r="K709" s="0">
        <f>IF(H708="1)",1,IF(H708="2)",2,IF(H708="3)",3,IF(H708="4)",4,IF(H708="5)",5,IF(H708="6)",6,IF(H708="7)",7,IF(H708="8)",8,0))))))))</f>
        <v/>
      </c>
      <c r="L709" s="0">
        <f>IF(H708="1)",J708,IF(H708="2)",J708,IF(H708="3)",J708,IF(H708="4)",J708,IF(H708="5)",J708,IF(H708="6)",J708,IF(H708="7)",J708,IF(H708="8)",J708,0))))))))</f>
        <v/>
      </c>
    </row>
    <row r="710">
      <c r="A710" s="0" t="inlineStr">
        <is>
          <t>New</t>
        </is>
      </c>
      <c r="B710" s="0" t="inlineStr">
        <is>
          <t>Item</t>
        </is>
      </c>
      <c r="C710" s="0" t="inlineStr">
        <is>
          <t>Acquired</t>
        </is>
      </c>
      <c r="D710" s="0" t="inlineStr">
        <is>
          <t>:</t>
        </is>
      </c>
      <c r="E710" s="0" t="inlineStr">
        <is>
          <t>125.00K</t>
        </is>
      </c>
      <c r="F710" s="0" t="inlineStr">
        <is>
          <t>(6,</t>
        </is>
      </c>
      <c r="G710" s="0" t="inlineStr">
        <is>
          <t>19)</t>
        </is>
      </c>
      <c r="K710" s="0">
        <f>IF(H709="1)",1,IF(H709="2)",2,IF(H709="3)",3,IF(H709="4)",4,IF(H709="5)",5,IF(H709="6)",6,IF(H709="7)",7,IF(H709="8)",8,0))))))))</f>
        <v/>
      </c>
      <c r="L710" s="0">
        <f>IF(H709="1)",J709,IF(H709="2)",J709,IF(H709="3)",J709,IF(H709="4)",J709,IF(H709="5)",J709,IF(H709="6)",J709,IF(H709="7)",J709,IF(H709="8)",J709,0))))))))</f>
        <v/>
      </c>
    </row>
    <row r="711">
      <c r="A711" s="0" t="inlineStr">
        <is>
          <t>New</t>
        </is>
      </c>
      <c r="B711" s="0" t="inlineStr">
        <is>
          <t>Item</t>
        </is>
      </c>
      <c r="C711" s="0" t="inlineStr">
        <is>
          <t>Acquired</t>
        </is>
      </c>
      <c r="D711" s="0" t="inlineStr">
        <is>
          <t>:</t>
        </is>
      </c>
      <c r="E711" s="0" t="inlineStr">
        <is>
          <t>30.00K</t>
        </is>
      </c>
      <c r="F711" s="0" t="inlineStr">
        <is>
          <t>(1,</t>
        </is>
      </c>
      <c r="G711" s="0" t="inlineStr">
        <is>
          <t>11)</t>
        </is>
      </c>
      <c r="K711" s="0">
        <f>IF(H710="1)",1,IF(H710="2)",2,IF(H710="3)",3,IF(H710="4)",4,IF(H710="5)",5,IF(H710="6)",6,IF(H710="7)",7,IF(H710="8)",8,0))))))))</f>
        <v/>
      </c>
      <c r="L711" s="0">
        <f>IF(H710="1)",J710,IF(H710="2)",J710,IF(H710="3)",J710,IF(H710="4)",J710,IF(H710="5)",J710,IF(H710="6)",J710,IF(H710="7)",J710,IF(H710="8)",J710,0))))))))</f>
        <v/>
      </c>
    </row>
    <row r="712">
      <c r="A712" s="0" t="inlineStr">
        <is>
          <t>Item</t>
        </is>
      </c>
      <c r="B712" s="0" t="inlineStr">
        <is>
          <t>ReSelect</t>
        </is>
      </c>
      <c r="C712" s="0" t="inlineStr">
        <is>
          <t>Failed</t>
        </is>
      </c>
      <c r="D712" s="0" t="inlineStr">
        <is>
          <t>:</t>
        </is>
      </c>
      <c r="E712" s="0" t="inlineStr">
        <is>
          <t>Attempt</t>
        </is>
      </c>
      <c r="F712" s="0" t="inlineStr">
        <is>
          <t>Count</t>
        </is>
      </c>
      <c r="G712" s="0" t="inlineStr">
        <is>
          <t>-</t>
        </is>
      </c>
      <c r="H712" s="0" t="n">
        <v>3</v>
      </c>
      <c r="K712" s="0">
        <f>IF(H711="1)",1,IF(H711="2)",2,IF(H711="3)",3,IF(H711="4)",4,IF(H711="5)",5,IF(H711="6)",6,IF(H711="7)",7,IF(H711="8)",8,0))))))))</f>
        <v/>
      </c>
      <c r="L712" s="0">
        <f>IF(H711="1)",J711,IF(H711="2)",J711,IF(H711="3)",J711,IF(H711="4)",J711,IF(H711="5)",J711,IF(H711="6)",J711,IF(H711="7)",J711,IF(H711="8)",J711,0))))))))</f>
        <v/>
      </c>
    </row>
    <row r="713">
      <c r="A713" s="0" t="inlineStr">
        <is>
          <t>New</t>
        </is>
      </c>
      <c r="B713" s="0" t="inlineStr">
        <is>
          <t>Item</t>
        </is>
      </c>
      <c r="C713" s="0" t="inlineStr">
        <is>
          <t>Acquired</t>
        </is>
      </c>
      <c r="D713" s="0" t="inlineStr">
        <is>
          <t>:</t>
        </is>
      </c>
      <c r="E713" s="0" t="inlineStr">
        <is>
          <t>90.00K</t>
        </is>
      </c>
      <c r="F713" s="0" t="inlineStr">
        <is>
          <t>(7,</t>
        </is>
      </c>
      <c r="G713" s="0" t="inlineStr">
        <is>
          <t>15)</t>
        </is>
      </c>
      <c r="K713" s="0">
        <f>IF(H712="1)",1,IF(H712="2)",2,IF(H712="3)",3,IF(H712="4)",4,IF(H712="5)",5,IF(H712="6)",6,IF(H712="7)",7,IF(H712="8)",8,0))))))))</f>
        <v/>
      </c>
      <c r="L713" s="0">
        <f>IF(H712="1)",J712,IF(H712="2)",J712,IF(H712="3)",J712,IF(H712="4)",J712,IF(H712="5)",J712,IF(H712="6)",J712,IF(H712="7)",J712,IF(H712="8)",J712,0))))))))</f>
        <v/>
      </c>
    </row>
    <row r="714">
      <c r="A714" s="0" t="inlineStr">
        <is>
          <t>New</t>
        </is>
      </c>
      <c r="B714" s="0" t="inlineStr">
        <is>
          <t>Item</t>
        </is>
      </c>
      <c r="C714" s="0" t="inlineStr">
        <is>
          <t>Acquired</t>
        </is>
      </c>
      <c r="D714" s="0" t="inlineStr">
        <is>
          <t>:</t>
        </is>
      </c>
      <c r="E714" s="0" t="inlineStr">
        <is>
          <t>Minor</t>
        </is>
      </c>
      <c r="F714" s="0" t="inlineStr">
        <is>
          <t>(2,</t>
        </is>
      </c>
      <c r="G714" s="0" t="inlineStr">
        <is>
          <t>5)</t>
        </is>
      </c>
      <c r="K714" s="0">
        <f>IF(H713="1)",1,IF(H713="2)",2,IF(H713="3)",3,IF(H713="4)",4,IF(H713="5)",5,IF(H713="6)",6,IF(H713="7)",7,IF(H713="8)",8,0))))))))</f>
        <v/>
      </c>
      <c r="L714" s="0">
        <f>IF(H713="1)",J713,IF(H713="2)",J713,IF(H713="3)",J713,IF(H713="4)",J713,IF(H713="5)",J713,IF(H713="6)",J713,IF(H713="7)",J713,IF(H713="8)",J713,0))))))))</f>
        <v/>
      </c>
    </row>
    <row r="715">
      <c r="A715" s="0" t="inlineStr">
        <is>
          <t>Line</t>
        </is>
      </c>
      <c r="B715" s="0" t="inlineStr">
        <is>
          <t>Prize</t>
        </is>
      </c>
      <c r="C715" s="0" t="inlineStr">
        <is>
          <t>Acquired</t>
        </is>
      </c>
      <c r="D715" s="0" t="inlineStr">
        <is>
          <t>:</t>
        </is>
      </c>
      <c r="E715" s="0" t="inlineStr">
        <is>
          <t>987.50K</t>
        </is>
      </c>
      <c r="F715" s="0" t="inlineStr">
        <is>
          <t>(Stage</t>
        </is>
      </c>
      <c r="G715" s="0" t="inlineStr">
        <is>
          <t>:</t>
        </is>
      </c>
      <c r="H715" s="0" t="inlineStr">
        <is>
          <t>2)</t>
        </is>
      </c>
      <c r="I715" s="0" t="inlineStr">
        <is>
          <t>-</t>
        </is>
      </c>
      <c r="J715" s="0" t="n">
        <v>987500</v>
      </c>
      <c r="K715" s="0">
        <f>IF(H714="1)",1,IF(H714="2)",2,IF(H714="3)",3,IF(H714="4)",4,IF(H714="5)",5,IF(H714="6)",6,IF(H714="7)",7,IF(H714="8)",8,0))))))))</f>
        <v/>
      </c>
      <c r="L715" s="0">
        <f>IF(H714="1)",J714,IF(H714="2)",J714,IF(H714="3)",J714,IF(H714="4)",J714,IF(H714="5)",J714,IF(H714="6)",J714,IF(H714="7)",J714,IF(H714="8)",J714,0))))))))</f>
        <v/>
      </c>
    </row>
    <row r="716">
      <c r="A716" s="0" t="inlineStr">
        <is>
          <t>Clear</t>
        </is>
      </c>
      <c r="B716" s="0" t="inlineStr">
        <is>
          <t>Gem</t>
        </is>
      </c>
      <c r="C716" s="0" t="inlineStr">
        <is>
          <t>Acquired</t>
        </is>
      </c>
      <c r="D716" s="0" t="inlineStr">
        <is>
          <t>:</t>
        </is>
      </c>
      <c r="E716" s="0" t="n">
        <v>4000</v>
      </c>
      <c r="F716" s="0" t="inlineStr">
        <is>
          <t>-&gt;</t>
        </is>
      </c>
      <c r="G716" s="0" t="n">
        <v>4100</v>
      </c>
      <c r="H716" s="0" t="inlineStr">
        <is>
          <t>(Stage</t>
        </is>
      </c>
      <c r="I716" s="0" t="inlineStr">
        <is>
          <t>:</t>
        </is>
      </c>
      <c r="J716" s="0" t="inlineStr">
        <is>
          <t>2)</t>
        </is>
      </c>
      <c r="K716" s="0">
        <f>IF(H715="1)",1,IF(H715="2)",2,IF(H715="3)",3,IF(H715="4)",4,IF(H715="5)",5,IF(H715="6)",6,IF(H715="7)",7,IF(H715="8)",8,0))))))))</f>
        <v/>
      </c>
      <c r="L716" s="0">
        <f>IF(H715="1)",J715,IF(H715="2)",J715,IF(H715="3)",J715,IF(H715="4)",J715,IF(H715="5)",J715,IF(H715="6)",J715,IF(H715="7)",J715,IF(H715="8)",J715,0))))))))</f>
        <v/>
      </c>
    </row>
    <row r="717">
      <c r="A717" s="0" t="inlineStr">
        <is>
          <t>New</t>
        </is>
      </c>
      <c r="B717" s="0" t="inlineStr">
        <is>
          <t>Item</t>
        </is>
      </c>
      <c r="C717" s="0" t="inlineStr">
        <is>
          <t>Acquired</t>
        </is>
      </c>
      <c r="D717" s="0" t="inlineStr">
        <is>
          <t>:</t>
        </is>
      </c>
      <c r="E717" s="0" t="inlineStr">
        <is>
          <t>60.00K</t>
        </is>
      </c>
      <c r="F717" s="0" t="inlineStr">
        <is>
          <t>(4,</t>
        </is>
      </c>
      <c r="G717" s="0" t="inlineStr">
        <is>
          <t>18)</t>
        </is>
      </c>
      <c r="K717" s="0">
        <f>IF(H716="1)",1,IF(H716="2)",2,IF(H716="3)",3,IF(H716="4)",4,IF(H716="5)",5,IF(H716="6)",6,IF(H716="7)",7,IF(H716="8)",8,0))))))))</f>
        <v/>
      </c>
      <c r="L717" s="0">
        <f>IF(H716="1)",J716,IF(H716="2)",J716,IF(H716="3)",J716,IF(H716="4)",J716,IF(H716="5)",J716,IF(H716="6)",J716,IF(H716="7)",J716,IF(H716="8)",J716,0))))))))</f>
        <v/>
      </c>
    </row>
    <row r="718">
      <c r="A718" s="0" t="inlineStr">
        <is>
          <t>New</t>
        </is>
      </c>
      <c r="B718" s="0" t="inlineStr">
        <is>
          <t>Item</t>
        </is>
      </c>
      <c r="C718" s="0" t="inlineStr">
        <is>
          <t>Acquired</t>
        </is>
      </c>
      <c r="D718" s="0" t="inlineStr">
        <is>
          <t>:</t>
        </is>
      </c>
      <c r="E718" s="0" t="inlineStr">
        <is>
          <t>120.00K</t>
        </is>
      </c>
      <c r="F718" s="0" t="inlineStr">
        <is>
          <t>(8,</t>
        </is>
      </c>
      <c r="G718" s="0" t="inlineStr">
        <is>
          <t>4)</t>
        </is>
      </c>
      <c r="K718" s="0">
        <f>IF(H717="1)",1,IF(H717="2)",2,IF(H717="3)",3,IF(H717="4)",4,IF(H717="5)",5,IF(H717="6)",6,IF(H717="7)",7,IF(H717="8)",8,0))))))))</f>
        <v/>
      </c>
      <c r="L718" s="0">
        <f>IF(H717="1)",J717,IF(H717="2)",J717,IF(H717="3)",J717,IF(H717="4)",J717,IF(H717="5)",J717,IF(H717="6)",J717,IF(H717="7)",J717,IF(H717="8)",J717,0))))))))</f>
        <v/>
      </c>
    </row>
    <row r="719">
      <c r="A719" s="0" t="inlineStr">
        <is>
          <t>Item</t>
        </is>
      </c>
      <c r="B719" s="0" t="inlineStr">
        <is>
          <t>ReSelect</t>
        </is>
      </c>
      <c r="C719" s="0" t="inlineStr">
        <is>
          <t>Failed</t>
        </is>
      </c>
      <c r="D719" s="0" t="inlineStr">
        <is>
          <t>:</t>
        </is>
      </c>
      <c r="E719" s="0" t="inlineStr">
        <is>
          <t>Attempt</t>
        </is>
      </c>
      <c r="F719" s="0" t="inlineStr">
        <is>
          <t>Count</t>
        </is>
      </c>
      <c r="G719" s="0" t="inlineStr">
        <is>
          <t>-</t>
        </is>
      </c>
      <c r="H719" s="0" t="n">
        <v>3</v>
      </c>
      <c r="K719" s="0">
        <f>IF(H718="1)",1,IF(H718="2)",2,IF(H718="3)",3,IF(H718="4)",4,IF(H718="5)",5,IF(H718="6)",6,IF(H718="7)",7,IF(H718="8)",8,0))))))))</f>
        <v/>
      </c>
      <c r="L719" s="0">
        <f>IF(H718="1)",J718,IF(H718="2)",J718,IF(H718="3)",J718,IF(H718="4)",J718,IF(H718="5)",J718,IF(H718="6)",J718,IF(H718="7)",J718,IF(H718="8)",J718,0))))))))</f>
        <v/>
      </c>
    </row>
    <row r="720">
      <c r="A720" s="0" t="inlineStr">
        <is>
          <t>New</t>
        </is>
      </c>
      <c r="B720" s="0" t="inlineStr">
        <is>
          <t>Item</t>
        </is>
      </c>
      <c r="C720" s="0" t="inlineStr">
        <is>
          <t>Acquired</t>
        </is>
      </c>
      <c r="D720" s="0" t="inlineStr">
        <is>
          <t>:</t>
        </is>
      </c>
      <c r="E720" s="0" t="inlineStr">
        <is>
          <t>67.50K</t>
        </is>
      </c>
      <c r="F720" s="0" t="inlineStr">
        <is>
          <t>(5,</t>
        </is>
      </c>
      <c r="G720" s="0" t="inlineStr">
        <is>
          <t>16)</t>
        </is>
      </c>
      <c r="K720" s="0">
        <f>IF(H719="1)",1,IF(H719="2)",2,IF(H719="3)",3,IF(H719="4)",4,IF(H719="5)",5,IF(H719="6)",6,IF(H719="7)",7,IF(H719="8)",8,0))))))))</f>
        <v/>
      </c>
      <c r="L720" s="0">
        <f>IF(H719="1)",J719,IF(H719="2)",J719,IF(H719="3)",J719,IF(H719="4)",J719,IF(H719="5)",J719,IF(H719="6)",J719,IF(H719="7)",J719,IF(H719="8)",J719,0))))))))</f>
        <v/>
      </c>
    </row>
    <row r="721">
      <c r="A721" s="0" t="inlineStr">
        <is>
          <t>New</t>
        </is>
      </c>
      <c r="B721" s="0" t="inlineStr">
        <is>
          <t>Item</t>
        </is>
      </c>
      <c r="C721" s="0" t="inlineStr">
        <is>
          <t>Acquired</t>
        </is>
      </c>
      <c r="D721" s="0" t="inlineStr">
        <is>
          <t>:</t>
        </is>
      </c>
      <c r="E721" s="0" t="inlineStr">
        <is>
          <t>62.50K</t>
        </is>
      </c>
      <c r="F721" s="0" t="inlineStr">
        <is>
          <t>(2,</t>
        </is>
      </c>
      <c r="G721" s="0" t="inlineStr">
        <is>
          <t>19)</t>
        </is>
      </c>
      <c r="K721" s="0">
        <f>IF(H720="1)",1,IF(H720="2)",2,IF(H720="3)",3,IF(H720="4)",4,IF(H720="5)",5,IF(H720="6)",6,IF(H720="7)",7,IF(H720="8)",8,0))))))))</f>
        <v/>
      </c>
      <c r="L721" s="0">
        <f>IF(H720="1)",J720,IF(H720="2)",J720,IF(H720="3)",J720,IF(H720="4)",J720,IF(H720="5)",J720,IF(H720="6)",J720,IF(H720="7)",J720,IF(H720="8)",J720,0))))))))</f>
        <v/>
      </c>
    </row>
    <row r="722">
      <c r="A722" s="0" t="inlineStr">
        <is>
          <t>New</t>
        </is>
      </c>
      <c r="B722" s="0" t="inlineStr">
        <is>
          <t>Item</t>
        </is>
      </c>
      <c r="C722" s="0" t="inlineStr">
        <is>
          <t>Acquired</t>
        </is>
      </c>
      <c r="D722" s="0" t="inlineStr">
        <is>
          <t>:</t>
        </is>
      </c>
      <c r="E722" s="0" t="inlineStr">
        <is>
          <t>87.50K</t>
        </is>
      </c>
      <c r="F722" s="0" t="inlineStr">
        <is>
          <t>(2,</t>
        </is>
      </c>
      <c r="G722" s="0" t="inlineStr">
        <is>
          <t>15)</t>
        </is>
      </c>
      <c r="K722" s="0">
        <f>IF(H721="1)",1,IF(H721="2)",2,IF(H721="3)",3,IF(H721="4)",4,IF(H721="5)",5,IF(H721="6)",6,IF(H721="7)",7,IF(H721="8)",8,0))))))))</f>
        <v/>
      </c>
      <c r="L722" s="0">
        <f>IF(H721="1)",J721,IF(H721="2)",J721,IF(H721="3)",J721,IF(H721="4)",J721,IF(H721="5)",J721,IF(H721="6)",J721,IF(H721="7)",J721,IF(H721="8)",J721,0))))))))</f>
        <v/>
      </c>
    </row>
    <row r="723">
      <c r="A723" s="0" t="inlineStr">
        <is>
          <t>New</t>
        </is>
      </c>
      <c r="B723" s="0" t="inlineStr">
        <is>
          <t>Item</t>
        </is>
      </c>
      <c r="C723" s="0" t="inlineStr">
        <is>
          <t>Acquired</t>
        </is>
      </c>
      <c r="D723" s="0" t="inlineStr">
        <is>
          <t>:</t>
        </is>
      </c>
      <c r="E723" s="0" t="inlineStr">
        <is>
          <t>30.00K</t>
        </is>
      </c>
      <c r="F723" s="0" t="inlineStr">
        <is>
          <t>(1,</t>
        </is>
      </c>
      <c r="G723" s="0" t="inlineStr">
        <is>
          <t>21)</t>
        </is>
      </c>
      <c r="K723" s="0">
        <f>IF(H722="1)",1,IF(H722="2)",2,IF(H722="3)",3,IF(H722="4)",4,IF(H722="5)",5,IF(H722="6)",6,IF(H722="7)",7,IF(H722="8)",8,0))))))))</f>
        <v/>
      </c>
      <c r="L723" s="0">
        <f>IF(H722="1)",J722,IF(H722="2)",J722,IF(H722="3)",J722,IF(H722="4)",J722,IF(H722="5)",J722,IF(H722="6)",J722,IF(H722="7)",J722,IF(H722="8)",J722,0))))))))</f>
        <v/>
      </c>
    </row>
    <row r="724">
      <c r="A724" s="0" t="inlineStr">
        <is>
          <t>New</t>
        </is>
      </c>
      <c r="B724" s="0" t="inlineStr">
        <is>
          <t>Item</t>
        </is>
      </c>
      <c r="C724" s="0" t="inlineStr">
        <is>
          <t>Acquired</t>
        </is>
      </c>
      <c r="D724" s="0" t="inlineStr">
        <is>
          <t>:</t>
        </is>
      </c>
      <c r="E724" s="0" t="inlineStr">
        <is>
          <t>70.00K</t>
        </is>
      </c>
      <c r="F724" s="0" t="inlineStr">
        <is>
          <t>(1,</t>
        </is>
      </c>
      <c r="G724" s="0" t="inlineStr">
        <is>
          <t>22)</t>
        </is>
      </c>
      <c r="K724" s="0">
        <f>IF(H723="1)",1,IF(H723="2)",2,IF(H723="3)",3,IF(H723="4)",4,IF(H723="5)",5,IF(H723="6)",6,IF(H723="7)",7,IF(H723="8)",8,0))))))))</f>
        <v/>
      </c>
      <c r="L724" s="0">
        <f>IF(H723="1)",J723,IF(H723="2)",J723,IF(H723="3)",J723,IF(H723="4)",J723,IF(H723="5)",J723,IF(H723="6)",J723,IF(H723="7)",J723,IF(H723="8)",J723,0))))))))</f>
        <v/>
      </c>
    </row>
    <row r="725">
      <c r="A725" s="0" t="inlineStr">
        <is>
          <t>New</t>
        </is>
      </c>
      <c r="B725" s="0" t="inlineStr">
        <is>
          <t>Item</t>
        </is>
      </c>
      <c r="C725" s="0" t="inlineStr">
        <is>
          <t>Acquired</t>
        </is>
      </c>
      <c r="D725" s="0" t="inlineStr">
        <is>
          <t>:</t>
        </is>
      </c>
      <c r="E725" s="0" t="inlineStr">
        <is>
          <t>280.00K</t>
        </is>
      </c>
      <c r="F725" s="0" t="inlineStr">
        <is>
          <t>(8,</t>
        </is>
      </c>
      <c r="G725" s="0" t="inlineStr">
        <is>
          <t>5)</t>
        </is>
      </c>
      <c r="K725" s="0">
        <f>IF(H724="1)",1,IF(H724="2)",2,IF(H724="3)",3,IF(H724="4)",4,IF(H724="5)",5,IF(H724="6)",6,IF(H724="7)",7,IF(H724="8)",8,0))))))))</f>
        <v/>
      </c>
      <c r="L725" s="0">
        <f>IF(H724="1)",J724,IF(H724="2)",J724,IF(H724="3)",J724,IF(H724="4)",J724,IF(H724="5)",J724,IF(H724="6)",J724,IF(H724="7)",J724,IF(H724="8)",J724,0))))))))</f>
        <v/>
      </c>
    </row>
    <row r="726">
      <c r="A726" s="0" t="inlineStr">
        <is>
          <t>New</t>
        </is>
      </c>
      <c r="B726" s="0" t="inlineStr">
        <is>
          <t>Item</t>
        </is>
      </c>
      <c r="C726" s="0" t="inlineStr">
        <is>
          <t>Acquired</t>
        </is>
      </c>
      <c r="D726" s="0" t="inlineStr">
        <is>
          <t>:</t>
        </is>
      </c>
      <c r="E726" s="0" t="inlineStr">
        <is>
          <t>30.00K</t>
        </is>
      </c>
      <c r="F726" s="0" t="inlineStr">
        <is>
          <t>(1,</t>
        </is>
      </c>
      <c r="G726" s="0" t="inlineStr">
        <is>
          <t>9)</t>
        </is>
      </c>
      <c r="K726" s="0">
        <f>IF(H725="1)",1,IF(H725="2)",2,IF(H725="3)",3,IF(H725="4)",4,IF(H725="5)",5,IF(H725="6)",6,IF(H725="7)",7,IF(H725="8)",8,0))))))))</f>
        <v/>
      </c>
      <c r="L726" s="0">
        <f>IF(H725="1)",J725,IF(H725="2)",J725,IF(H725="3)",J725,IF(H725="4)",J725,IF(H725="5)",J725,IF(H725="6)",J725,IF(H725="7)",J725,IF(H725="8)",J725,0))))))))</f>
        <v/>
      </c>
    </row>
    <row r="727">
      <c r="A727" s="0" t="inlineStr">
        <is>
          <t>New</t>
        </is>
      </c>
      <c r="B727" s="0" t="inlineStr">
        <is>
          <t>Item</t>
        </is>
      </c>
      <c r="C727" s="0" t="inlineStr">
        <is>
          <t>Acquired</t>
        </is>
      </c>
      <c r="D727" s="0" t="inlineStr">
        <is>
          <t>:</t>
        </is>
      </c>
      <c r="E727" s="0" t="inlineStr">
        <is>
          <t>75.00K</t>
        </is>
      </c>
      <c r="F727" s="0" t="inlineStr">
        <is>
          <t>(6,</t>
        </is>
      </c>
      <c r="G727" s="0" t="inlineStr">
        <is>
          <t>23)</t>
        </is>
      </c>
      <c r="K727" s="0">
        <f>IF(H726="1)",1,IF(H726="2)",2,IF(H726="3)",3,IF(H726="4)",4,IF(H726="5)",5,IF(H726="6)",6,IF(H726="7)",7,IF(H726="8)",8,0))))))))</f>
        <v/>
      </c>
      <c r="L727" s="0">
        <f>IF(H726="1)",J726,IF(H726="2)",J726,IF(H726="3)",J726,IF(H726="4)",J726,IF(H726="5)",J726,IF(H726="6)",J726,IF(H726="7)",J726,IF(H726="8)",J726,0))))))))</f>
        <v/>
      </c>
    </row>
    <row r="728">
      <c r="A728" s="0" t="inlineStr">
        <is>
          <t>New</t>
        </is>
      </c>
      <c r="B728" s="0" t="inlineStr">
        <is>
          <t>Item</t>
        </is>
      </c>
      <c r="C728" s="0" t="inlineStr">
        <is>
          <t>Acquired</t>
        </is>
      </c>
      <c r="D728" s="0" t="inlineStr">
        <is>
          <t>:</t>
        </is>
      </c>
      <c r="E728" s="0" t="inlineStr">
        <is>
          <t>60.00K</t>
        </is>
      </c>
      <c r="F728" s="0" t="inlineStr">
        <is>
          <t>(4,</t>
        </is>
      </c>
      <c r="G728" s="0" t="inlineStr">
        <is>
          <t>19)</t>
        </is>
      </c>
      <c r="K728" s="0">
        <f>IF(H727="1)",1,IF(H727="2)",2,IF(H727="3)",3,IF(H727="4)",4,IF(H727="5)",5,IF(H727="6)",6,IF(H727="7)",7,IF(H727="8)",8,0))))))))</f>
        <v/>
      </c>
      <c r="L728" s="0">
        <f>IF(H727="1)",J727,IF(H727="2)",J727,IF(H727="3)",J727,IF(H727="4)",J727,IF(H727="5)",J727,IF(H727="6)",J727,IF(H727="7)",J727,IF(H727="8)",J727,0))))))))</f>
        <v/>
      </c>
    </row>
    <row r="729">
      <c r="A729" s="0" t="inlineStr">
        <is>
          <t>New</t>
        </is>
      </c>
      <c r="B729" s="0" t="inlineStr">
        <is>
          <t>Item</t>
        </is>
      </c>
      <c r="C729" s="0" t="inlineStr">
        <is>
          <t>Acquired</t>
        </is>
      </c>
      <c r="D729" s="0" t="inlineStr">
        <is>
          <t>:</t>
        </is>
      </c>
      <c r="E729" s="0" t="inlineStr">
        <is>
          <t>75.00K</t>
        </is>
      </c>
      <c r="F729" s="0" t="inlineStr">
        <is>
          <t>(4,</t>
        </is>
      </c>
      <c r="G729" s="0" t="inlineStr">
        <is>
          <t>10)</t>
        </is>
      </c>
      <c r="K729" s="0">
        <f>IF(H728="1)",1,IF(H728="2)",2,IF(H728="3)",3,IF(H728="4)",4,IF(H728="5)",5,IF(H728="6)",6,IF(H728="7)",7,IF(H728="8)",8,0))))))))</f>
        <v/>
      </c>
      <c r="L729" s="0">
        <f>IF(H728="1)",J728,IF(H728="2)",J728,IF(H728="3)",J728,IF(H728="4)",J728,IF(H728="5)",J728,IF(H728="6)",J728,IF(H728="7)",J728,IF(H728="8)",J728,0))))))))</f>
        <v/>
      </c>
    </row>
    <row r="730">
      <c r="A730" s="0" t="inlineStr">
        <is>
          <t>New</t>
        </is>
      </c>
      <c r="B730" s="0" t="inlineStr">
        <is>
          <t>Item</t>
        </is>
      </c>
      <c r="C730" s="0" t="inlineStr">
        <is>
          <t>Acquired</t>
        </is>
      </c>
      <c r="D730" s="0" t="inlineStr">
        <is>
          <t>:</t>
        </is>
      </c>
      <c r="E730" s="0" t="inlineStr">
        <is>
          <t>37.50K</t>
        </is>
      </c>
      <c r="F730" s="0" t="inlineStr">
        <is>
          <t>(2,</t>
        </is>
      </c>
      <c r="G730" s="0" t="inlineStr">
        <is>
          <t>14)</t>
        </is>
      </c>
      <c r="K730" s="0">
        <f>IF(H729="1)",1,IF(H729="2)",2,IF(H729="3)",3,IF(H729="4)",4,IF(H729="5)",5,IF(H729="6)",6,IF(H729="7)",7,IF(H729="8)",8,0))))))))</f>
        <v/>
      </c>
      <c r="L730" s="0">
        <f>IF(H729="1)",J729,IF(H729="2)",J729,IF(H729="3)",J729,IF(H729="4)",J729,IF(H729="5)",J729,IF(H729="6)",J729,IF(H729="7)",J729,IF(H729="8)",J729,0))))))))</f>
        <v/>
      </c>
    </row>
    <row r="731">
      <c r="A731" s="0" t="inlineStr">
        <is>
          <t>New</t>
        </is>
      </c>
      <c r="B731" s="0" t="inlineStr">
        <is>
          <t>Item</t>
        </is>
      </c>
      <c r="C731" s="0" t="inlineStr">
        <is>
          <t>Acquired</t>
        </is>
      </c>
      <c r="D731" s="0" t="inlineStr">
        <is>
          <t>:</t>
        </is>
      </c>
      <c r="E731" s="0" t="inlineStr">
        <is>
          <t>67.50K</t>
        </is>
      </c>
      <c r="F731" s="0" t="inlineStr">
        <is>
          <t>(5,</t>
        </is>
      </c>
      <c r="G731" s="0" t="inlineStr">
        <is>
          <t>2)</t>
        </is>
      </c>
      <c r="K731" s="0">
        <f>IF(H730="1)",1,IF(H730="2)",2,IF(H730="3)",3,IF(H730="4)",4,IF(H730="5)",5,IF(H730="6)",6,IF(H730="7)",7,IF(H730="8)",8,0))))))))</f>
        <v/>
      </c>
      <c r="L731" s="0">
        <f>IF(H730="1)",J730,IF(H730="2)",J730,IF(H730="3)",J730,IF(H730="4)",J730,IF(H730="5)",J730,IF(H730="6)",J730,IF(H730="7)",J730,IF(H730="8)",J730,0))))))))</f>
        <v/>
      </c>
    </row>
    <row r="732">
      <c r="A732" s="0" t="inlineStr">
        <is>
          <t>New</t>
        </is>
      </c>
      <c r="B732" s="0" t="inlineStr">
        <is>
          <t>Item</t>
        </is>
      </c>
      <c r="C732" s="0" t="inlineStr">
        <is>
          <t>Acquired</t>
        </is>
      </c>
      <c r="D732" s="0" t="inlineStr">
        <is>
          <t>:</t>
        </is>
      </c>
      <c r="E732" s="0" t="inlineStr">
        <is>
          <t>90.00K</t>
        </is>
      </c>
      <c r="F732" s="0" t="inlineStr">
        <is>
          <t>(7,</t>
        </is>
      </c>
      <c r="G732" s="0" t="inlineStr">
        <is>
          <t>18)</t>
        </is>
      </c>
      <c r="K732" s="0">
        <f>IF(H731="1)",1,IF(H731="2)",2,IF(H731="3)",3,IF(H731="4)",4,IF(H731="5)",5,IF(H731="6)",6,IF(H731="7)",7,IF(H731="8)",8,0))))))))</f>
        <v/>
      </c>
      <c r="L732" s="0">
        <f>IF(H731="1)",J731,IF(H731="2)",J731,IF(H731="3)",J731,IF(H731="4)",J731,IF(H731="5)",J731,IF(H731="6)",J731,IF(H731="7)",J731,IF(H731="8)",J731,0))))))))</f>
        <v/>
      </c>
    </row>
    <row r="733">
      <c r="A733" s="0" t="inlineStr">
        <is>
          <t>New</t>
        </is>
      </c>
      <c r="B733" s="0" t="inlineStr">
        <is>
          <t>Item</t>
        </is>
      </c>
      <c r="C733" s="0" t="inlineStr">
        <is>
          <t>Acquired</t>
        </is>
      </c>
      <c r="D733" s="0" t="inlineStr">
        <is>
          <t>:</t>
        </is>
      </c>
      <c r="E733" s="0" t="inlineStr">
        <is>
          <t>Major</t>
        </is>
      </c>
      <c r="F733" s="0" t="inlineStr">
        <is>
          <t>(6,</t>
        </is>
      </c>
      <c r="G733" s="0" t="inlineStr">
        <is>
          <t>9)</t>
        </is>
      </c>
      <c r="K733" s="0">
        <f>IF(H732="1)",1,IF(H732="2)",2,IF(H732="3)",3,IF(H732="4)",4,IF(H732="5)",5,IF(H732="6)",6,IF(H732="7)",7,IF(H732="8)",8,0))))))))</f>
        <v/>
      </c>
      <c r="L733" s="0">
        <f>IF(H732="1)",J732,IF(H732="2)",J732,IF(H732="3)",J732,IF(H732="4)",J732,IF(H732="5)",J732,IF(H732="6)",J732,IF(H732="7)",J732,IF(H732="8)",J732,0))))))))</f>
        <v/>
      </c>
    </row>
    <row r="734">
      <c r="A734" s="0" t="inlineStr">
        <is>
          <t>Line</t>
        </is>
      </c>
      <c r="B734" s="0" t="inlineStr">
        <is>
          <t>Prize</t>
        </is>
      </c>
      <c r="C734" s="0" t="inlineStr">
        <is>
          <t>Acquired</t>
        </is>
      </c>
      <c r="D734" s="0" t="inlineStr">
        <is>
          <t>:</t>
        </is>
      </c>
      <c r="E734" s="0" t="inlineStr">
        <is>
          <t>4.35M</t>
        </is>
      </c>
      <c r="F734" s="0" t="inlineStr">
        <is>
          <t>(Stage</t>
        </is>
      </c>
      <c r="G734" s="0" t="inlineStr">
        <is>
          <t>:</t>
        </is>
      </c>
      <c r="H734" s="0" t="inlineStr">
        <is>
          <t>6)</t>
        </is>
      </c>
      <c r="I734" s="0" t="inlineStr">
        <is>
          <t>-</t>
        </is>
      </c>
      <c r="J734" s="0" t="n">
        <v>4350000</v>
      </c>
      <c r="K734" s="0">
        <f>IF(H733="1)",1,IF(H733="2)",2,IF(H733="3)",3,IF(H733="4)",4,IF(H733="5)",5,IF(H733="6)",6,IF(H733="7)",7,IF(H733="8)",8,0))))))))</f>
        <v/>
      </c>
      <c r="L734" s="0">
        <f>IF(H733="1)",J733,IF(H733="2)",J733,IF(H733="3)",J733,IF(H733="4)",J733,IF(H733="5)",J733,IF(H733="6)",J733,IF(H733="7)",J733,IF(H733="8)",J733,0))))))))</f>
        <v/>
      </c>
    </row>
    <row r="735">
      <c r="A735" s="0" t="inlineStr">
        <is>
          <t>Clear</t>
        </is>
      </c>
      <c r="B735" s="0" t="inlineStr">
        <is>
          <t>Gem</t>
        </is>
      </c>
      <c r="C735" s="0" t="inlineStr">
        <is>
          <t>Acquired</t>
        </is>
      </c>
      <c r="D735" s="0" t="inlineStr">
        <is>
          <t>:</t>
        </is>
      </c>
      <c r="E735" s="0" t="n">
        <v>4100</v>
      </c>
      <c r="F735" s="0" t="inlineStr">
        <is>
          <t>-&gt;</t>
        </is>
      </c>
      <c r="G735" s="0" t="n">
        <v>4200</v>
      </c>
      <c r="H735" s="0" t="inlineStr">
        <is>
          <t>(Stage</t>
        </is>
      </c>
      <c r="I735" s="0" t="inlineStr">
        <is>
          <t>:</t>
        </is>
      </c>
      <c r="J735" s="0" t="inlineStr">
        <is>
          <t>6)</t>
        </is>
      </c>
      <c r="K735" s="0">
        <f>IF(H734="1)",1,IF(H734="2)",2,IF(H734="3)",3,IF(H734="4)",4,IF(H734="5)",5,IF(H734="6)",6,IF(H734="7)",7,IF(H734="8)",8,0))))))))</f>
        <v/>
      </c>
      <c r="L735" s="0">
        <f>IF(H734="1)",J734,IF(H734="2)",J734,IF(H734="3)",J734,IF(H734="4)",J734,IF(H734="5)",J734,IF(H734="6)",J734,IF(H734="7)",J734,IF(H734="8)",J734,0))))))))</f>
        <v/>
      </c>
    </row>
    <row r="736">
      <c r="A736" s="0" t="inlineStr">
        <is>
          <t>New</t>
        </is>
      </c>
      <c r="B736" s="0" t="inlineStr">
        <is>
          <t>Item</t>
        </is>
      </c>
      <c r="C736" s="0" t="inlineStr">
        <is>
          <t>Acquired</t>
        </is>
      </c>
      <c r="D736" s="0" t="inlineStr">
        <is>
          <t>:</t>
        </is>
      </c>
      <c r="E736" s="0" t="inlineStr">
        <is>
          <t>125.00K</t>
        </is>
      </c>
      <c r="F736" s="0" t="inlineStr">
        <is>
          <t>(6,</t>
        </is>
      </c>
      <c r="G736" s="0" t="inlineStr">
        <is>
          <t>1)</t>
        </is>
      </c>
      <c r="K736" s="0">
        <f>IF(H735="1)",1,IF(H735="2)",2,IF(H735="3)",3,IF(H735="4)",4,IF(H735="5)",5,IF(H735="6)",6,IF(H735="7)",7,IF(H735="8)",8,0))))))))</f>
        <v/>
      </c>
      <c r="L736" s="0">
        <f>IF(H735="1)",J735,IF(H735="2)",J735,IF(H735="3)",J735,IF(H735="4)",J735,IF(H735="5)",J735,IF(H735="6)",J735,IF(H735="7)",J735,IF(H735="8)",J735,0))))))))</f>
        <v/>
      </c>
    </row>
    <row r="737">
      <c r="A737" s="0" t="inlineStr">
        <is>
          <t>New</t>
        </is>
      </c>
      <c r="B737" s="0" t="inlineStr">
        <is>
          <t>Item</t>
        </is>
      </c>
      <c r="C737" s="0" t="inlineStr">
        <is>
          <t>Acquired</t>
        </is>
      </c>
      <c r="D737" s="0" t="inlineStr">
        <is>
          <t>:</t>
        </is>
      </c>
      <c r="E737" s="0" t="inlineStr">
        <is>
          <t>75.00K</t>
        </is>
      </c>
      <c r="F737" s="0" t="inlineStr">
        <is>
          <t>(6,</t>
        </is>
      </c>
      <c r="G737" s="0" t="inlineStr">
        <is>
          <t>19)</t>
        </is>
      </c>
      <c r="K737" s="0">
        <f>IF(H736="1)",1,IF(H736="2)",2,IF(H736="3)",3,IF(H736="4)",4,IF(H736="5)",5,IF(H736="6)",6,IF(H736="7)",7,IF(H736="8)",8,0))))))))</f>
        <v/>
      </c>
      <c r="L737" s="0">
        <f>IF(H736="1)",J736,IF(H736="2)",J736,IF(H736="3)",J736,IF(H736="4)",J736,IF(H736="5)",J736,IF(H736="6)",J736,IF(H736="7)",J736,IF(H736="8)",J736,0))))))))</f>
        <v/>
      </c>
    </row>
    <row r="738">
      <c r="A738" s="0" t="inlineStr">
        <is>
          <t>New</t>
        </is>
      </c>
      <c r="B738" s="0" t="inlineStr">
        <is>
          <t>Item</t>
        </is>
      </c>
      <c r="C738" s="0" t="inlineStr">
        <is>
          <t>Acquired</t>
        </is>
      </c>
      <c r="D738" s="0" t="inlineStr">
        <is>
          <t>:</t>
        </is>
      </c>
      <c r="E738" s="0" t="inlineStr">
        <is>
          <t>67.50K</t>
        </is>
      </c>
      <c r="F738" s="0" t="inlineStr">
        <is>
          <t>(5,</t>
        </is>
      </c>
      <c r="G738" s="0" t="inlineStr">
        <is>
          <t>17)</t>
        </is>
      </c>
      <c r="K738" s="0">
        <f>IF(H737="1)",1,IF(H737="2)",2,IF(H737="3)",3,IF(H737="4)",4,IF(H737="5)",5,IF(H737="6)",6,IF(H737="7)",7,IF(H737="8)",8,0))))))))</f>
        <v/>
      </c>
      <c r="L738" s="0">
        <f>IF(H737="1)",J737,IF(H737="2)",J737,IF(H737="3)",J737,IF(H737="4)",J737,IF(H737="5)",J737,IF(H737="6)",J737,IF(H737="7)",J737,IF(H737="8)",J737,0))))))))</f>
        <v/>
      </c>
    </row>
    <row r="739">
      <c r="A739" s="0" t="inlineStr">
        <is>
          <t>Line</t>
        </is>
      </c>
      <c r="B739" s="0" t="inlineStr">
        <is>
          <t>Prize</t>
        </is>
      </c>
      <c r="C739" s="0" t="inlineStr">
        <is>
          <t>Acquired</t>
        </is>
      </c>
      <c r="D739" s="0" t="inlineStr">
        <is>
          <t>:</t>
        </is>
      </c>
      <c r="E739" s="0" t="inlineStr">
        <is>
          <t>1.54M</t>
        </is>
      </c>
      <c r="F739" s="0" t="inlineStr">
        <is>
          <t>(Stage</t>
        </is>
      </c>
      <c r="G739" s="0" t="inlineStr">
        <is>
          <t>:</t>
        </is>
      </c>
      <c r="H739" s="0" t="inlineStr">
        <is>
          <t>5)</t>
        </is>
      </c>
      <c r="I739" s="0" t="inlineStr">
        <is>
          <t>-</t>
        </is>
      </c>
      <c r="J739" s="0" t="n">
        <v>1540000</v>
      </c>
      <c r="K739" s="0">
        <f>IF(H738="1)",1,IF(H738="2)",2,IF(H738="3)",3,IF(H738="4)",4,IF(H738="5)",5,IF(H738="6)",6,IF(H738="7)",7,IF(H738="8)",8,0))))))))</f>
        <v/>
      </c>
      <c r="L739" s="0">
        <f>IF(H738="1)",J738,IF(H738="2)",J738,IF(H738="3)",J738,IF(H738="4)",J738,IF(H738="5)",J738,IF(H738="6)",J738,IF(H738="7)",J738,IF(H738="8)",J738,0))))))))</f>
        <v/>
      </c>
    </row>
    <row r="740">
      <c r="A740" s="0" t="inlineStr">
        <is>
          <t>Clear</t>
        </is>
      </c>
      <c r="B740" s="0" t="inlineStr">
        <is>
          <t>Gem</t>
        </is>
      </c>
      <c r="C740" s="0" t="inlineStr">
        <is>
          <t>Acquired</t>
        </is>
      </c>
      <c r="D740" s="0" t="inlineStr">
        <is>
          <t>:</t>
        </is>
      </c>
      <c r="E740" s="0" t="n">
        <v>4200</v>
      </c>
      <c r="F740" s="0" t="inlineStr">
        <is>
          <t>-&gt;</t>
        </is>
      </c>
      <c r="G740" s="0" t="n">
        <v>4300</v>
      </c>
      <c r="H740" s="0" t="inlineStr">
        <is>
          <t>(Stage</t>
        </is>
      </c>
      <c r="I740" s="0" t="inlineStr">
        <is>
          <t>:</t>
        </is>
      </c>
      <c r="J740" s="0" t="inlineStr">
        <is>
          <t>5)</t>
        </is>
      </c>
      <c r="K740" s="0">
        <f>IF(H739="1)",1,IF(H739="2)",2,IF(H739="3)",3,IF(H739="4)",4,IF(H739="5)",5,IF(H739="6)",6,IF(H739="7)",7,IF(H739="8)",8,0))))))))</f>
        <v/>
      </c>
      <c r="L740" s="0">
        <f>IF(H739="1)",J739,IF(H739="2)",J739,IF(H739="3)",J739,IF(H739="4)",J739,IF(H739="5)",J739,IF(H739="6)",J739,IF(H739="7)",J739,IF(H739="8)",J739,0))))))))</f>
        <v/>
      </c>
    </row>
    <row r="741">
      <c r="A741" s="0" t="inlineStr">
        <is>
          <t>New</t>
        </is>
      </c>
      <c r="B741" s="0" t="inlineStr">
        <is>
          <t>Item</t>
        </is>
      </c>
      <c r="C741" s="0" t="inlineStr">
        <is>
          <t>Acquired</t>
        </is>
      </c>
      <c r="D741" s="0" t="inlineStr">
        <is>
          <t>:</t>
        </is>
      </c>
      <c r="E741" s="0" t="inlineStr">
        <is>
          <t>37.50K</t>
        </is>
      </c>
      <c r="F741" s="0" t="inlineStr">
        <is>
          <t>(2,</t>
        </is>
      </c>
      <c r="G741" s="0" t="inlineStr">
        <is>
          <t>25)</t>
        </is>
      </c>
      <c r="K741" s="0">
        <f>IF(H740="1)",1,IF(H740="2)",2,IF(H740="3)",3,IF(H740="4)",4,IF(H740="5)",5,IF(H740="6)",6,IF(H740="7)",7,IF(H740="8)",8,0))))))))</f>
        <v/>
      </c>
      <c r="L741" s="0">
        <f>IF(H740="1)",J740,IF(H740="2)",J740,IF(H740="3)",J740,IF(H740="4)",J740,IF(H740="5)",J740,IF(H740="6)",J740,IF(H740="7)",J740,IF(H740="8)",J740,0))))))))</f>
        <v/>
      </c>
    </row>
    <row r="742">
      <c r="A742" s="0" t="inlineStr">
        <is>
          <t>New</t>
        </is>
      </c>
      <c r="B742" s="0" t="inlineStr">
        <is>
          <t>Item</t>
        </is>
      </c>
      <c r="C742" s="0" t="inlineStr">
        <is>
          <t>Acquired</t>
        </is>
      </c>
      <c r="D742" s="0" t="inlineStr">
        <is>
          <t>:</t>
        </is>
      </c>
      <c r="E742" s="0" t="inlineStr">
        <is>
          <t>150.00K</t>
        </is>
      </c>
      <c r="F742" s="0" t="inlineStr">
        <is>
          <t>(7,</t>
        </is>
      </c>
      <c r="G742" s="0" t="inlineStr">
        <is>
          <t>20)</t>
        </is>
      </c>
      <c r="K742" s="0">
        <f>IF(H741="1)",1,IF(H741="2)",2,IF(H741="3)",3,IF(H741="4)",4,IF(H741="5)",5,IF(H741="6)",6,IF(H741="7)",7,IF(H741="8)",8,0))))))))</f>
        <v/>
      </c>
      <c r="L742" s="0">
        <f>IF(H741="1)",J741,IF(H741="2)",J741,IF(H741="3)",J741,IF(H741="4)",J741,IF(H741="5)",J741,IF(H741="6)",J741,IF(H741="7)",J741,IF(H741="8)",J741,0))))))))</f>
        <v/>
      </c>
    </row>
    <row r="743">
      <c r="A743" s="0" t="inlineStr">
        <is>
          <t>Line</t>
        </is>
      </c>
      <c r="B743" s="0" t="inlineStr">
        <is>
          <t>Prize</t>
        </is>
      </c>
      <c r="C743" s="0" t="inlineStr">
        <is>
          <t>Acquired</t>
        </is>
      </c>
      <c r="D743" s="0" t="inlineStr">
        <is>
          <t>:</t>
        </is>
      </c>
      <c r="E743" s="0" t="inlineStr">
        <is>
          <t>1.44M</t>
        </is>
      </c>
      <c r="F743" s="0" t="inlineStr">
        <is>
          <t>(Stage</t>
        </is>
      </c>
      <c r="G743" s="0" t="inlineStr">
        <is>
          <t>:</t>
        </is>
      </c>
      <c r="H743" s="0" t="inlineStr">
        <is>
          <t>7)</t>
        </is>
      </c>
      <c r="I743" s="0" t="inlineStr">
        <is>
          <t>-</t>
        </is>
      </c>
      <c r="J743" s="0" t="n">
        <v>1440000</v>
      </c>
      <c r="K743" s="0">
        <f>IF(H742="1)",1,IF(H742="2)",2,IF(H742="3)",3,IF(H742="4)",4,IF(H742="5)",5,IF(H742="6)",6,IF(H742="7)",7,IF(H742="8)",8,0))))))))</f>
        <v/>
      </c>
      <c r="L743" s="0">
        <f>IF(H742="1)",J742,IF(H742="2)",J742,IF(H742="3)",J742,IF(H742="4)",J742,IF(H742="5)",J742,IF(H742="6)",J742,IF(H742="7)",J742,IF(H742="8)",J742,0))))))))</f>
        <v/>
      </c>
    </row>
    <row r="744">
      <c r="A744" s="0" t="inlineStr">
        <is>
          <t>Clear</t>
        </is>
      </c>
      <c r="B744" s="0" t="inlineStr">
        <is>
          <t>Gem</t>
        </is>
      </c>
      <c r="C744" s="0" t="inlineStr">
        <is>
          <t>Acquired</t>
        </is>
      </c>
      <c r="D744" s="0" t="inlineStr">
        <is>
          <t>:</t>
        </is>
      </c>
      <c r="E744" s="0" t="n">
        <v>4300</v>
      </c>
      <c r="F744" s="0" t="inlineStr">
        <is>
          <t>-&gt;</t>
        </is>
      </c>
      <c r="G744" s="0" t="n">
        <v>4400</v>
      </c>
      <c r="H744" s="0" t="inlineStr">
        <is>
          <t>(Stage</t>
        </is>
      </c>
      <c r="I744" s="0" t="inlineStr">
        <is>
          <t>:</t>
        </is>
      </c>
      <c r="J744" s="0" t="inlineStr">
        <is>
          <t>7)</t>
        </is>
      </c>
      <c r="K744" s="0">
        <f>IF(H743="1)",1,IF(H743="2)",2,IF(H743="3)",3,IF(H743="4)",4,IF(H743="5)",5,IF(H743="6)",6,IF(H743="7)",7,IF(H743="8)",8,0))))))))</f>
        <v/>
      </c>
      <c r="L744" s="0">
        <f>IF(H743="1)",J743,IF(H743="2)",J743,IF(H743="3)",J743,IF(H743="4)",J743,IF(H743="5)",J743,IF(H743="6)",J743,IF(H743="7)",J743,IF(H743="8)",J743,0))))))))</f>
        <v/>
      </c>
    </row>
    <row r="745">
      <c r="A745" s="0" t="inlineStr">
        <is>
          <t>New</t>
        </is>
      </c>
      <c r="B745" s="0" t="inlineStr">
        <is>
          <t>Item</t>
        </is>
      </c>
      <c r="C745" s="0" t="inlineStr">
        <is>
          <t>Acquired</t>
        </is>
      </c>
      <c r="D745" s="0" t="inlineStr">
        <is>
          <t>:</t>
        </is>
      </c>
      <c r="E745" s="0" t="inlineStr">
        <is>
          <t>37.50K</t>
        </is>
      </c>
      <c r="F745" s="0" t="inlineStr">
        <is>
          <t>(2,</t>
        </is>
      </c>
      <c r="G745" s="0" t="inlineStr">
        <is>
          <t>12)</t>
        </is>
      </c>
      <c r="K745" s="0">
        <f>IF(H744="1)",1,IF(H744="2)",2,IF(H744="3)",3,IF(H744="4)",4,IF(H744="5)",5,IF(H744="6)",6,IF(H744="7)",7,IF(H744="8)",8,0))))))))</f>
        <v/>
      </c>
      <c r="L745" s="0">
        <f>IF(H744="1)",J744,IF(H744="2)",J744,IF(H744="3)",J744,IF(H744="4)",J744,IF(H744="5)",J744,IF(H744="6)",J744,IF(H744="7)",J744,IF(H744="8)",J744,0))))))))</f>
        <v/>
      </c>
    </row>
    <row r="746">
      <c r="A746" s="0" t="inlineStr">
        <is>
          <t>New</t>
        </is>
      </c>
      <c r="B746" s="0" t="inlineStr">
        <is>
          <t>Item</t>
        </is>
      </c>
      <c r="C746" s="0" t="inlineStr">
        <is>
          <t>Acquired</t>
        </is>
      </c>
      <c r="D746" s="0" t="inlineStr">
        <is>
          <t>:</t>
        </is>
      </c>
      <c r="E746" s="0" t="inlineStr">
        <is>
          <t>90.00K</t>
        </is>
      </c>
      <c r="F746" s="0" t="inlineStr">
        <is>
          <t>(7,</t>
        </is>
      </c>
      <c r="G746" s="0" t="inlineStr">
        <is>
          <t>12)</t>
        </is>
      </c>
      <c r="K746" s="0">
        <f>IF(H745="1)",1,IF(H745="2)",2,IF(H745="3)",3,IF(H745="4)",4,IF(H745="5)",5,IF(H745="6)",6,IF(H745="7)",7,IF(H745="8)",8,0))))))))</f>
        <v/>
      </c>
      <c r="L746" s="0">
        <f>IF(H745="1)",J745,IF(H745="2)",J745,IF(H745="3)",J745,IF(H745="4)",J745,IF(H745="5)",J745,IF(H745="6)",J745,IF(H745="7)",J745,IF(H745="8)",J745,0))))))))</f>
        <v/>
      </c>
    </row>
    <row r="747">
      <c r="A747" s="0" t="inlineStr">
        <is>
          <t>New</t>
        </is>
      </c>
      <c r="B747" s="0" t="inlineStr">
        <is>
          <t>Item</t>
        </is>
      </c>
      <c r="C747" s="0" t="inlineStr">
        <is>
          <t>Acquired</t>
        </is>
      </c>
      <c r="D747" s="0" t="inlineStr">
        <is>
          <t>:</t>
        </is>
      </c>
      <c r="E747" s="0" t="inlineStr">
        <is>
          <t>37.50K</t>
        </is>
      </c>
      <c r="F747" s="0" t="inlineStr">
        <is>
          <t>(2,</t>
        </is>
      </c>
      <c r="G747" s="0" t="inlineStr">
        <is>
          <t>21)</t>
        </is>
      </c>
      <c r="K747" s="0">
        <f>IF(H746="1)",1,IF(H746="2)",2,IF(H746="3)",3,IF(H746="4)",4,IF(H746="5)",5,IF(H746="6)",6,IF(H746="7)",7,IF(H746="8)",8,0))))))))</f>
        <v/>
      </c>
      <c r="L747" s="0">
        <f>IF(H746="1)",J746,IF(H746="2)",J746,IF(H746="3)",J746,IF(H746="4)",J746,IF(H746="5)",J746,IF(H746="6)",J746,IF(H746="7)",J746,IF(H746="8)",J746,0))))))))</f>
        <v/>
      </c>
    </row>
    <row r="748">
      <c r="A748" s="0" t="inlineStr">
        <is>
          <t>New</t>
        </is>
      </c>
      <c r="B748" s="0" t="inlineStr">
        <is>
          <t>Item</t>
        </is>
      </c>
      <c r="C748" s="0" t="inlineStr">
        <is>
          <t>Acquired</t>
        </is>
      </c>
      <c r="D748" s="0" t="inlineStr">
        <is>
          <t>:</t>
        </is>
      </c>
      <c r="E748" s="0" t="inlineStr">
        <is>
          <t>30.00K</t>
        </is>
      </c>
      <c r="F748" s="0" t="inlineStr">
        <is>
          <t>(1,</t>
        </is>
      </c>
      <c r="G748" s="0" t="inlineStr">
        <is>
          <t>5)</t>
        </is>
      </c>
      <c r="K748" s="0">
        <f>IF(H747="1)",1,IF(H747="2)",2,IF(H747="3)",3,IF(H747="4)",4,IF(H747="5)",5,IF(H747="6)",6,IF(H747="7)",7,IF(H747="8)",8,0))))))))</f>
        <v/>
      </c>
      <c r="L748" s="0">
        <f>IF(H747="1)",J747,IF(H747="2)",J747,IF(H747="3)",J747,IF(H747="4)",J747,IF(H747="5)",J747,IF(H747="6)",J747,IF(H747="7)",J747,IF(H747="8)",J747,0))))))))</f>
        <v/>
      </c>
    </row>
    <row r="749">
      <c r="A749" s="0" t="inlineStr">
        <is>
          <t>New</t>
        </is>
      </c>
      <c r="B749" s="0" t="inlineStr">
        <is>
          <t>Item</t>
        </is>
      </c>
      <c r="C749" s="0" t="inlineStr">
        <is>
          <t>Acquired</t>
        </is>
      </c>
      <c r="D749" s="0" t="inlineStr">
        <is>
          <t>:</t>
        </is>
      </c>
      <c r="E749" s="0" t="inlineStr">
        <is>
          <t>67.50K</t>
        </is>
      </c>
      <c r="F749" s="0" t="inlineStr">
        <is>
          <t>(5,</t>
        </is>
      </c>
      <c r="G749" s="0" t="inlineStr">
        <is>
          <t>14)</t>
        </is>
      </c>
      <c r="K749" s="0">
        <f>IF(H748="1)",1,IF(H748="2)",2,IF(H748="3)",3,IF(H748="4)",4,IF(H748="5)",5,IF(H748="6)",6,IF(H748="7)",7,IF(H748="8)",8,0))))))))</f>
        <v/>
      </c>
      <c r="L749" s="0">
        <f>IF(H748="1)",J748,IF(H748="2)",J748,IF(H748="3)",J748,IF(H748="4)",J748,IF(H748="5)",J748,IF(H748="6)",J748,IF(H748="7)",J748,IF(H748="8)",J748,0))))))))</f>
        <v/>
      </c>
    </row>
    <row r="750">
      <c r="A750" s="0" t="inlineStr">
        <is>
          <t>New</t>
        </is>
      </c>
      <c r="B750" s="0" t="inlineStr">
        <is>
          <t>Item</t>
        </is>
      </c>
      <c r="C750" s="0" t="inlineStr">
        <is>
          <t>Acquired</t>
        </is>
      </c>
      <c r="D750" s="0" t="inlineStr">
        <is>
          <t>:</t>
        </is>
      </c>
      <c r="E750" s="0" t="inlineStr">
        <is>
          <t>120.00K</t>
        </is>
      </c>
      <c r="F750" s="0" t="inlineStr">
        <is>
          <t>(8,</t>
        </is>
      </c>
      <c r="G750" s="0" t="inlineStr">
        <is>
          <t>6)</t>
        </is>
      </c>
      <c r="K750" s="0">
        <f>IF(H749="1)",1,IF(H749="2)",2,IF(H749="3)",3,IF(H749="4)",4,IF(H749="5)",5,IF(H749="6)",6,IF(H749="7)",7,IF(H749="8)",8,0))))))))</f>
        <v/>
      </c>
      <c r="L750" s="0">
        <f>IF(H749="1)",J749,IF(H749="2)",J749,IF(H749="3)",J749,IF(H749="4)",J749,IF(H749="5)",J749,IF(H749="6)",J749,IF(H749="7)",J749,IF(H749="8)",J749,0))))))))</f>
        <v/>
      </c>
    </row>
    <row r="751">
      <c r="A751" s="0" t="inlineStr">
        <is>
          <t>New</t>
        </is>
      </c>
      <c r="B751" s="0" t="inlineStr">
        <is>
          <t>Item</t>
        </is>
      </c>
      <c r="C751" s="0" t="inlineStr">
        <is>
          <t>Acquired</t>
        </is>
      </c>
      <c r="D751" s="0" t="inlineStr">
        <is>
          <t>:</t>
        </is>
      </c>
      <c r="E751" s="0" t="inlineStr">
        <is>
          <t>67.50K</t>
        </is>
      </c>
      <c r="F751" s="0" t="inlineStr">
        <is>
          <t>(5,</t>
        </is>
      </c>
      <c r="G751" s="0" t="inlineStr">
        <is>
          <t>2)</t>
        </is>
      </c>
      <c r="K751" s="0">
        <f>IF(H750="1)",1,IF(H750="2)",2,IF(H750="3)",3,IF(H750="4)",4,IF(H750="5)",5,IF(H750="6)",6,IF(H750="7)",7,IF(H750="8)",8,0))))))))</f>
        <v/>
      </c>
      <c r="L751" s="0">
        <f>IF(H750="1)",J750,IF(H750="2)",J750,IF(H750="3)",J750,IF(H750="4)",J750,IF(H750="5)",J750,IF(H750="6)",J750,IF(H750="7)",J750,IF(H750="8)",J750,0))))))))</f>
        <v/>
      </c>
    </row>
    <row r="752">
      <c r="A752" s="0" t="inlineStr">
        <is>
          <t>New</t>
        </is>
      </c>
      <c r="B752" s="0" t="inlineStr">
        <is>
          <t>Item</t>
        </is>
      </c>
      <c r="C752" s="0" t="inlineStr">
        <is>
          <t>Acquired</t>
        </is>
      </c>
      <c r="D752" s="0" t="inlineStr">
        <is>
          <t>:</t>
        </is>
      </c>
      <c r="E752" s="0" t="inlineStr">
        <is>
          <t>30.00K</t>
        </is>
      </c>
      <c r="F752" s="0" t="inlineStr">
        <is>
          <t>(1,</t>
        </is>
      </c>
      <c r="G752" s="0" t="inlineStr">
        <is>
          <t>6)</t>
        </is>
      </c>
      <c r="K752" s="0">
        <f>IF(H751="1)",1,IF(H751="2)",2,IF(H751="3)",3,IF(H751="4)",4,IF(H751="5)",5,IF(H751="6)",6,IF(H751="7)",7,IF(H751="8)",8,0))))))))</f>
        <v/>
      </c>
      <c r="L752" s="0">
        <f>IF(H751="1)",J751,IF(H751="2)",J751,IF(H751="3)",J751,IF(H751="4)",J751,IF(H751="5)",J751,IF(H751="6)",J751,IF(H751="7)",J751,IF(H751="8)",J751,0))))))))</f>
        <v/>
      </c>
    </row>
    <row r="753">
      <c r="A753" s="0" t="inlineStr">
        <is>
          <t>Line</t>
        </is>
      </c>
      <c r="B753" s="0" t="inlineStr">
        <is>
          <t>Prize</t>
        </is>
      </c>
      <c r="C753" s="0" t="inlineStr">
        <is>
          <t>Acquired</t>
        </is>
      </c>
      <c r="D753" s="0" t="inlineStr">
        <is>
          <t>:</t>
        </is>
      </c>
      <c r="E753" s="0" t="inlineStr">
        <is>
          <t>1.12M</t>
        </is>
      </c>
      <c r="F753" s="0" t="inlineStr">
        <is>
          <t>(Stage</t>
        </is>
      </c>
      <c r="G753" s="0" t="inlineStr">
        <is>
          <t>:</t>
        </is>
      </c>
      <c r="H753" s="0" t="inlineStr">
        <is>
          <t>1)</t>
        </is>
      </c>
      <c r="I753" s="0" t="inlineStr">
        <is>
          <t>-</t>
        </is>
      </c>
      <c r="J753" s="0" t="n">
        <v>1120000</v>
      </c>
      <c r="K753" s="0">
        <f>IF(H752="1)",1,IF(H752="2)",2,IF(H752="3)",3,IF(H752="4)",4,IF(H752="5)",5,IF(H752="6)",6,IF(H752="7)",7,IF(H752="8)",8,0))))))))</f>
        <v/>
      </c>
      <c r="L753" s="0">
        <f>IF(H752="1)",J752,IF(H752="2)",J752,IF(H752="3)",J752,IF(H752="4)",J752,IF(H752="5)",J752,IF(H752="6)",J752,IF(H752="7)",J752,IF(H752="8)",J752,0))))))))</f>
        <v/>
      </c>
    </row>
    <row r="754">
      <c r="A754" s="0" t="inlineStr">
        <is>
          <t>Clear</t>
        </is>
      </c>
      <c r="B754" s="0" t="inlineStr">
        <is>
          <t>Gem</t>
        </is>
      </c>
      <c r="C754" s="0" t="inlineStr">
        <is>
          <t>Acquired</t>
        </is>
      </c>
      <c r="D754" s="0" t="inlineStr">
        <is>
          <t>:</t>
        </is>
      </c>
      <c r="E754" s="0" t="n">
        <v>4400</v>
      </c>
      <c r="F754" s="0" t="inlineStr">
        <is>
          <t>-&gt;</t>
        </is>
      </c>
      <c r="G754" s="0" t="n">
        <v>4500</v>
      </c>
      <c r="H754" s="0" t="inlineStr">
        <is>
          <t>(Stage</t>
        </is>
      </c>
      <c r="I754" s="0" t="inlineStr">
        <is>
          <t>:</t>
        </is>
      </c>
      <c r="J754" s="0" t="inlineStr">
        <is>
          <t>1)</t>
        </is>
      </c>
      <c r="K754" s="0">
        <f>IF(H753="1)",1,IF(H753="2)",2,IF(H753="3)",3,IF(H753="4)",4,IF(H753="5)",5,IF(H753="6)",6,IF(H753="7)",7,IF(H753="8)",8,0))))))))</f>
        <v/>
      </c>
      <c r="L754" s="0">
        <f>IF(H753="1)",J753,IF(H753="2)",J753,IF(H753="3)",J753,IF(H753="4)",J753,IF(H753="5)",J753,IF(H753="6)",J753,IF(H753="7)",J753,IF(H753="8)",J753,0))))))))</f>
        <v/>
      </c>
    </row>
    <row r="755">
      <c r="A755" s="0" t="inlineStr">
        <is>
          <t>New</t>
        </is>
      </c>
      <c r="B755" s="0" t="inlineStr">
        <is>
          <t>Item</t>
        </is>
      </c>
      <c r="C755" s="0" t="inlineStr">
        <is>
          <t>Acquired</t>
        </is>
      </c>
      <c r="D755" s="0" t="inlineStr">
        <is>
          <t>:</t>
        </is>
      </c>
      <c r="E755" s="0" t="inlineStr">
        <is>
          <t>Mini</t>
        </is>
      </c>
      <c r="F755" s="0" t="inlineStr">
        <is>
          <t>(4,</t>
        </is>
      </c>
      <c r="G755" s="0" t="inlineStr">
        <is>
          <t>23)</t>
        </is>
      </c>
      <c r="K755" s="0">
        <f>IF(H754="1)",1,IF(H754="2)",2,IF(H754="3)",3,IF(H754="4)",4,IF(H754="5)",5,IF(H754="6)",6,IF(H754="7)",7,IF(H754="8)",8,0))))))))</f>
        <v/>
      </c>
      <c r="L755" s="0">
        <f>IF(H754="1)",J754,IF(H754="2)",J754,IF(H754="3)",J754,IF(H754="4)",J754,IF(H754="5)",J754,IF(H754="6)",J754,IF(H754="7)",J754,IF(H754="8)",J754,0))))))))</f>
        <v/>
      </c>
    </row>
    <row r="756">
      <c r="A756" s="0" t="inlineStr">
        <is>
          <t>New</t>
        </is>
      </c>
      <c r="B756" s="0" t="inlineStr">
        <is>
          <t>Item</t>
        </is>
      </c>
      <c r="C756" s="0" t="inlineStr">
        <is>
          <t>Acquired</t>
        </is>
      </c>
      <c r="D756" s="0" t="inlineStr">
        <is>
          <t>:</t>
        </is>
      </c>
      <c r="E756" s="0" t="inlineStr">
        <is>
          <t>75.00K</t>
        </is>
      </c>
      <c r="F756" s="0" t="inlineStr">
        <is>
          <t>(6,</t>
        </is>
      </c>
      <c r="G756" s="0" t="inlineStr">
        <is>
          <t>4)</t>
        </is>
      </c>
      <c r="K756" s="0">
        <f>IF(H755="1)",1,IF(H755="2)",2,IF(H755="3)",3,IF(H755="4)",4,IF(H755="5)",5,IF(H755="6)",6,IF(H755="7)",7,IF(H755="8)",8,0))))))))</f>
        <v/>
      </c>
      <c r="L756" s="0">
        <f>IF(H755="1)",J755,IF(H755="2)",J755,IF(H755="3)",J755,IF(H755="4)",J755,IF(H755="5)",J755,IF(H755="6)",J755,IF(H755="7)",J755,IF(H755="8)",J755,0))))))))</f>
        <v/>
      </c>
    </row>
    <row r="757">
      <c r="A757" s="0" t="inlineStr">
        <is>
          <t>New</t>
        </is>
      </c>
      <c r="B757" s="0" t="inlineStr">
        <is>
          <t>Item</t>
        </is>
      </c>
      <c r="C757" s="0" t="inlineStr">
        <is>
          <t>Acquired</t>
        </is>
      </c>
      <c r="D757" s="0" t="inlineStr">
        <is>
          <t>:</t>
        </is>
      </c>
      <c r="E757" s="0" t="inlineStr">
        <is>
          <t>50.00K</t>
        </is>
      </c>
      <c r="F757" s="0" t="inlineStr">
        <is>
          <t>(1,</t>
        </is>
      </c>
      <c r="G757" s="0" t="inlineStr">
        <is>
          <t>6)</t>
        </is>
      </c>
      <c r="K757" s="0">
        <f>IF(H756="1)",1,IF(H756="2)",2,IF(H756="3)",3,IF(H756="4)",4,IF(H756="5)",5,IF(H756="6)",6,IF(H756="7)",7,IF(H756="8)",8,0))))))))</f>
        <v/>
      </c>
      <c r="L757" s="0">
        <f>IF(H756="1)",J756,IF(H756="2)",J756,IF(H756="3)",J756,IF(H756="4)",J756,IF(H756="5)",J756,IF(H756="6)",J756,IF(H756="7)",J756,IF(H756="8)",J756,0))))))))</f>
        <v/>
      </c>
    </row>
    <row r="758">
      <c r="A758" s="0" t="inlineStr">
        <is>
          <t>New</t>
        </is>
      </c>
      <c r="B758" s="0" t="inlineStr">
        <is>
          <t>Item</t>
        </is>
      </c>
      <c r="C758" s="0" t="inlineStr">
        <is>
          <t>Acquired</t>
        </is>
      </c>
      <c r="D758" s="0" t="inlineStr">
        <is>
          <t>:</t>
        </is>
      </c>
      <c r="E758" s="0" t="inlineStr">
        <is>
          <t>75.00K</t>
        </is>
      </c>
      <c r="F758" s="0" t="inlineStr">
        <is>
          <t>(6,</t>
        </is>
      </c>
      <c r="G758" s="0" t="inlineStr">
        <is>
          <t>11)</t>
        </is>
      </c>
      <c r="K758" s="0">
        <f>IF(H757="1)",1,IF(H757="2)",2,IF(H757="3)",3,IF(H757="4)",4,IF(H757="5)",5,IF(H757="6)",6,IF(H757="7)",7,IF(H757="8)",8,0))))))))</f>
        <v/>
      </c>
      <c r="L758" s="0">
        <f>IF(H757="1)",J757,IF(H757="2)",J757,IF(H757="3)",J757,IF(H757="4)",J757,IF(H757="5)",J757,IF(H757="6)",J757,IF(H757="7)",J757,IF(H757="8)",J757,0))))))))</f>
        <v/>
      </c>
    </row>
    <row r="759">
      <c r="A759" s="0" t="inlineStr">
        <is>
          <t>New</t>
        </is>
      </c>
      <c r="B759" s="0" t="inlineStr">
        <is>
          <t>Item</t>
        </is>
      </c>
      <c r="C759" s="0" t="inlineStr">
        <is>
          <t>Acquired</t>
        </is>
      </c>
      <c r="D759" s="0" t="inlineStr">
        <is>
          <t>:</t>
        </is>
      </c>
      <c r="E759" s="0" t="inlineStr">
        <is>
          <t>150.00K</t>
        </is>
      </c>
      <c r="F759" s="0" t="inlineStr">
        <is>
          <t>(7,</t>
        </is>
      </c>
      <c r="G759" s="0" t="inlineStr">
        <is>
          <t>25)</t>
        </is>
      </c>
      <c r="K759" s="0">
        <f>IF(H758="1)",1,IF(H758="2)",2,IF(H758="3)",3,IF(H758="4)",4,IF(H758="5)",5,IF(H758="6)",6,IF(H758="7)",7,IF(H758="8)",8,0))))))))</f>
        <v/>
      </c>
      <c r="L759" s="0">
        <f>IF(H758="1)",J758,IF(H758="2)",J758,IF(H758="3)",J758,IF(H758="4)",J758,IF(H758="5)",J758,IF(H758="6)",J758,IF(H758="7)",J758,IF(H758="8)",J758,0))))))))</f>
        <v/>
      </c>
    </row>
    <row r="760">
      <c r="A760" s="0" t="inlineStr">
        <is>
          <t>New</t>
        </is>
      </c>
      <c r="B760" s="0" t="inlineStr">
        <is>
          <t>Item</t>
        </is>
      </c>
      <c r="C760" s="0" t="inlineStr">
        <is>
          <t>Acquired</t>
        </is>
      </c>
      <c r="D760" s="0" t="inlineStr">
        <is>
          <t>:</t>
        </is>
      </c>
      <c r="E760" s="0" t="inlineStr">
        <is>
          <t>62.50K</t>
        </is>
      </c>
      <c r="F760" s="0" t="inlineStr">
        <is>
          <t>(2,</t>
        </is>
      </c>
      <c r="G760" s="0" t="inlineStr">
        <is>
          <t>3)</t>
        </is>
      </c>
      <c r="K760" s="0">
        <f>IF(H759="1)",1,IF(H759="2)",2,IF(H759="3)",3,IF(H759="4)",4,IF(H759="5)",5,IF(H759="6)",6,IF(H759="7)",7,IF(H759="8)",8,0))))))))</f>
        <v/>
      </c>
      <c r="L760" s="0">
        <f>IF(H759="1)",J759,IF(H759="2)",J759,IF(H759="3)",J759,IF(H759="4)",J759,IF(H759="5)",J759,IF(H759="6)",J759,IF(H759="7)",J759,IF(H759="8)",J759,0))))))))</f>
        <v/>
      </c>
    </row>
    <row r="761">
      <c r="A761" s="0" t="inlineStr">
        <is>
          <t>New</t>
        </is>
      </c>
      <c r="B761" s="0" t="inlineStr">
        <is>
          <t>Item</t>
        </is>
      </c>
      <c r="C761" s="0" t="inlineStr">
        <is>
          <t>Acquired</t>
        </is>
      </c>
      <c r="D761" s="0" t="inlineStr">
        <is>
          <t>:</t>
        </is>
      </c>
      <c r="E761" s="0" t="inlineStr">
        <is>
          <t>105.00K</t>
        </is>
      </c>
      <c r="F761" s="0" t="inlineStr">
        <is>
          <t>(3,</t>
        </is>
      </c>
      <c r="G761" s="0" t="inlineStr">
        <is>
          <t>24)</t>
        </is>
      </c>
      <c r="K761" s="0">
        <f>IF(H760="1)",1,IF(H760="2)",2,IF(H760="3)",3,IF(H760="4)",4,IF(H760="5)",5,IF(H760="6)",6,IF(H760="7)",7,IF(H760="8)",8,0))))))))</f>
        <v/>
      </c>
      <c r="L761" s="0">
        <f>IF(H760="1)",J760,IF(H760="2)",J760,IF(H760="3)",J760,IF(H760="4)",J760,IF(H760="5)",J760,IF(H760="6)",J760,IF(H760="7)",J760,IF(H760="8)",J760,0))))))))</f>
        <v/>
      </c>
    </row>
    <row r="762">
      <c r="A762" s="0" t="inlineStr">
        <is>
          <t>New</t>
        </is>
      </c>
      <c r="B762" s="0" t="inlineStr">
        <is>
          <t>Item</t>
        </is>
      </c>
      <c r="C762" s="0" t="inlineStr">
        <is>
          <t>Acquired</t>
        </is>
      </c>
      <c r="D762" s="0" t="inlineStr">
        <is>
          <t>:</t>
        </is>
      </c>
      <c r="E762" s="0" t="inlineStr">
        <is>
          <t>Minor</t>
        </is>
      </c>
      <c r="F762" s="0" t="inlineStr">
        <is>
          <t>(5,</t>
        </is>
      </c>
      <c r="G762" s="0" t="inlineStr">
        <is>
          <t>23)</t>
        </is>
      </c>
      <c r="K762" s="0">
        <f>IF(H761="1)",1,IF(H761="2)",2,IF(H761="3)",3,IF(H761="4)",4,IF(H761="5)",5,IF(H761="6)",6,IF(H761="7)",7,IF(H761="8)",8,0))))))))</f>
        <v/>
      </c>
      <c r="L762" s="0">
        <f>IF(H761="1)",J761,IF(H761="2)",J761,IF(H761="3)",J761,IF(H761="4)",J761,IF(H761="5)",J761,IF(H761="6)",J761,IF(H761="7)",J761,IF(H761="8)",J761,0))))))))</f>
        <v/>
      </c>
    </row>
    <row r="763">
      <c r="A763" s="0" t="inlineStr">
        <is>
          <t>New</t>
        </is>
      </c>
      <c r="B763" s="0" t="inlineStr">
        <is>
          <t>Item</t>
        </is>
      </c>
      <c r="C763" s="0" t="inlineStr">
        <is>
          <t>Acquired</t>
        </is>
      </c>
      <c r="D763" s="0" t="inlineStr">
        <is>
          <t>:</t>
        </is>
      </c>
      <c r="E763" s="0" t="inlineStr">
        <is>
          <t>62.50K</t>
        </is>
      </c>
      <c r="F763" s="0" t="inlineStr">
        <is>
          <t>(2,</t>
        </is>
      </c>
      <c r="G763" s="0" t="inlineStr">
        <is>
          <t>7)</t>
        </is>
      </c>
      <c r="K763" s="0">
        <f>IF(H762="1)",1,IF(H762="2)",2,IF(H762="3)",3,IF(H762="4)",4,IF(H762="5)",5,IF(H762="6)",6,IF(H762="7)",7,IF(H762="8)",8,0))))))))</f>
        <v/>
      </c>
      <c r="L763" s="0">
        <f>IF(H762="1)",J762,IF(H762="2)",J762,IF(H762="3)",J762,IF(H762="4)",J762,IF(H762="5)",J762,IF(H762="6)",J762,IF(H762="7)",J762,IF(H762="8)",J762,0))))))))</f>
        <v/>
      </c>
    </row>
    <row r="764">
      <c r="A764" s="0" t="inlineStr">
        <is>
          <t>New</t>
        </is>
      </c>
      <c r="B764" s="0" t="inlineStr">
        <is>
          <t>Item</t>
        </is>
      </c>
      <c r="C764" s="0" t="inlineStr">
        <is>
          <t>Acquired</t>
        </is>
      </c>
      <c r="D764" s="0" t="inlineStr">
        <is>
          <t>:</t>
        </is>
      </c>
      <c r="E764" s="0" t="inlineStr">
        <is>
          <t>157.50K</t>
        </is>
      </c>
      <c r="F764" s="0" t="inlineStr">
        <is>
          <t>(5,</t>
        </is>
      </c>
      <c r="G764" s="0" t="inlineStr">
        <is>
          <t>4)</t>
        </is>
      </c>
      <c r="K764" s="0">
        <f>IF(H763="1)",1,IF(H763="2)",2,IF(H763="3)",3,IF(H763="4)",4,IF(H763="5)",5,IF(H763="6)",6,IF(H763="7)",7,IF(H763="8)",8,0))))))))</f>
        <v/>
      </c>
      <c r="L764" s="0">
        <f>IF(H763="1)",J763,IF(H763="2)",J763,IF(H763="3)",J763,IF(H763="4)",J763,IF(H763="5)",J763,IF(H763="6)",J763,IF(H763="7)",J763,IF(H763="8)",J763,0))))))))</f>
        <v/>
      </c>
    </row>
    <row r="765">
      <c r="A765" s="0" t="inlineStr">
        <is>
          <t>New</t>
        </is>
      </c>
      <c r="B765" s="0" t="inlineStr">
        <is>
          <t>Item</t>
        </is>
      </c>
      <c r="C765" s="0" t="inlineStr">
        <is>
          <t>Acquired</t>
        </is>
      </c>
      <c r="D765" s="0" t="inlineStr">
        <is>
          <t>:</t>
        </is>
      </c>
      <c r="E765" s="0" t="inlineStr">
        <is>
          <t>90.00K</t>
        </is>
      </c>
      <c r="F765" s="0" t="inlineStr">
        <is>
          <t>(7,</t>
        </is>
      </c>
      <c r="G765" s="0" t="inlineStr">
        <is>
          <t>22)</t>
        </is>
      </c>
      <c r="K765" s="0">
        <f>IF(H764="1)",1,IF(H764="2)",2,IF(H764="3)",3,IF(H764="4)",4,IF(H764="5)",5,IF(H764="6)",6,IF(H764="7)",7,IF(H764="8)",8,0))))))))</f>
        <v/>
      </c>
      <c r="L765" s="0">
        <f>IF(H764="1)",J764,IF(H764="2)",J764,IF(H764="3)",J764,IF(H764="4)",J764,IF(H764="5)",J764,IF(H764="6)",J764,IF(H764="7)",J764,IF(H764="8)",J764,0))))))))</f>
        <v/>
      </c>
    </row>
    <row r="766">
      <c r="A766" s="0" t="inlineStr">
        <is>
          <t>New</t>
        </is>
      </c>
      <c r="B766" s="0" t="inlineStr">
        <is>
          <t>Item</t>
        </is>
      </c>
      <c r="C766" s="0" t="inlineStr">
        <is>
          <t>Acquired</t>
        </is>
      </c>
      <c r="D766" s="0" t="inlineStr">
        <is>
          <t>:</t>
        </is>
      </c>
      <c r="E766" s="0" t="inlineStr">
        <is>
          <t>120.00K</t>
        </is>
      </c>
      <c r="F766" s="0" t="inlineStr">
        <is>
          <t>(8,</t>
        </is>
      </c>
      <c r="G766" s="0" t="inlineStr">
        <is>
          <t>19)</t>
        </is>
      </c>
      <c r="K766" s="0">
        <f>IF(H765="1)",1,IF(H765="2)",2,IF(H765="3)",3,IF(H765="4)",4,IF(H765="5)",5,IF(H765="6)",6,IF(H765="7)",7,IF(H765="8)",8,0))))))))</f>
        <v/>
      </c>
      <c r="L766" s="0">
        <f>IF(H765="1)",J765,IF(H765="2)",J765,IF(H765="3)",J765,IF(H765="4)",J765,IF(H765="5)",J765,IF(H765="6)",J765,IF(H765="7)",J765,IF(H765="8)",J765,0))))))))</f>
        <v/>
      </c>
    </row>
    <row r="767">
      <c r="A767" s="0" t="inlineStr">
        <is>
          <t>New</t>
        </is>
      </c>
      <c r="B767" s="0" t="inlineStr">
        <is>
          <t>Item</t>
        </is>
      </c>
      <c r="C767" s="0" t="inlineStr">
        <is>
          <t>Acquired</t>
        </is>
      </c>
      <c r="D767" s="0" t="inlineStr">
        <is>
          <t>:</t>
        </is>
      </c>
      <c r="E767" s="0" t="inlineStr">
        <is>
          <t>157.50K</t>
        </is>
      </c>
      <c r="F767" s="0" t="inlineStr">
        <is>
          <t>(5,</t>
        </is>
      </c>
      <c r="G767" s="0" t="inlineStr">
        <is>
          <t>3)</t>
        </is>
      </c>
      <c r="K767" s="0">
        <f>IF(H766="1)",1,IF(H766="2)",2,IF(H766="3)",3,IF(H766="4)",4,IF(H766="5)",5,IF(H766="6)",6,IF(H766="7)",7,IF(H766="8)",8,0))))))))</f>
        <v/>
      </c>
      <c r="L767" s="0">
        <f>IF(H766="1)",J766,IF(H766="2)",J766,IF(H766="3)",J766,IF(H766="4)",J766,IF(H766="5)",J766,IF(H766="6)",J766,IF(H766="7)",J766,IF(H766="8)",J766,0))))))))</f>
        <v/>
      </c>
    </row>
    <row r="768">
      <c r="A768" s="0" t="inlineStr">
        <is>
          <t>New</t>
        </is>
      </c>
      <c r="B768" s="0" t="inlineStr">
        <is>
          <t>Item</t>
        </is>
      </c>
      <c r="C768" s="0" t="inlineStr">
        <is>
          <t>Acquired</t>
        </is>
      </c>
      <c r="D768" s="0" t="inlineStr">
        <is>
          <t>:</t>
        </is>
      </c>
      <c r="E768" s="0" t="inlineStr">
        <is>
          <t>45.00K</t>
        </is>
      </c>
      <c r="F768" s="0" t="inlineStr">
        <is>
          <t>(3,</t>
        </is>
      </c>
      <c r="G768" s="0" t="inlineStr">
        <is>
          <t>15)</t>
        </is>
      </c>
      <c r="K768" s="0">
        <f>IF(H767="1)",1,IF(H767="2)",2,IF(H767="3)",3,IF(H767="4)",4,IF(H767="5)",5,IF(H767="6)",6,IF(H767="7)",7,IF(H767="8)",8,0))))))))</f>
        <v/>
      </c>
      <c r="L768" s="0">
        <f>IF(H767="1)",J767,IF(H767="2)",J767,IF(H767="3)",J767,IF(H767="4)",J767,IF(H767="5)",J767,IF(H767="6)",J767,IF(H767="7)",J767,IF(H767="8)",J767,0))))))))</f>
        <v/>
      </c>
    </row>
    <row r="769">
      <c r="A769" s="0" t="inlineStr">
        <is>
          <t>New</t>
        </is>
      </c>
      <c r="B769" s="0" t="inlineStr">
        <is>
          <t>Item</t>
        </is>
      </c>
      <c r="C769" s="0" t="inlineStr">
        <is>
          <t>Acquired</t>
        </is>
      </c>
      <c r="D769" s="0" t="inlineStr">
        <is>
          <t>:</t>
        </is>
      </c>
      <c r="E769" s="0" t="inlineStr">
        <is>
          <t>30.00K</t>
        </is>
      </c>
      <c r="F769" s="0" t="inlineStr">
        <is>
          <t>(1,</t>
        </is>
      </c>
      <c r="G769" s="0" t="inlineStr">
        <is>
          <t>12)</t>
        </is>
      </c>
      <c r="K769" s="0">
        <f>IF(H768="1)",1,IF(H768="2)",2,IF(H768="3)",3,IF(H768="4)",4,IF(H768="5)",5,IF(H768="6)",6,IF(H768="7)",7,IF(H768="8)",8,0))))))))</f>
        <v/>
      </c>
      <c r="L769" s="0">
        <f>IF(H768="1)",J768,IF(H768="2)",J768,IF(H768="3)",J768,IF(H768="4)",J768,IF(H768="5)",J768,IF(H768="6)",J768,IF(H768="7)",J768,IF(H768="8)",J768,0))))))))</f>
        <v/>
      </c>
    </row>
    <row r="770">
      <c r="A770" s="0" t="inlineStr">
        <is>
          <t>New</t>
        </is>
      </c>
      <c r="B770" s="0" t="inlineStr">
        <is>
          <t>Item</t>
        </is>
      </c>
      <c r="C770" s="0" t="inlineStr">
        <is>
          <t>Acquired</t>
        </is>
      </c>
      <c r="D770" s="0" t="inlineStr">
        <is>
          <t>:</t>
        </is>
      </c>
      <c r="E770" s="0" t="inlineStr">
        <is>
          <t>67.50K</t>
        </is>
      </c>
      <c r="F770" s="0" t="inlineStr">
        <is>
          <t>(5,</t>
        </is>
      </c>
      <c r="G770" s="0" t="inlineStr">
        <is>
          <t>5)</t>
        </is>
      </c>
      <c r="K770" s="0">
        <f>IF(H769="1)",1,IF(H769="2)",2,IF(H769="3)",3,IF(H769="4)",4,IF(H769="5)",5,IF(H769="6)",6,IF(H769="7)",7,IF(H769="8)",8,0))))))))</f>
        <v/>
      </c>
      <c r="L770" s="0">
        <f>IF(H769="1)",J769,IF(H769="2)",J769,IF(H769="3)",J769,IF(H769="4)",J769,IF(H769="5)",J769,IF(H769="6)",J769,IF(H769="7)",J769,IF(H769="8)",J769,0))))))))</f>
        <v/>
      </c>
    </row>
    <row r="771">
      <c r="A771" s="0" t="inlineStr">
        <is>
          <t>New</t>
        </is>
      </c>
      <c r="B771" s="0" t="inlineStr">
        <is>
          <t>Item</t>
        </is>
      </c>
      <c r="C771" s="0" t="inlineStr">
        <is>
          <t>Acquired</t>
        </is>
      </c>
      <c r="D771" s="0" t="inlineStr">
        <is>
          <t>:</t>
        </is>
      </c>
      <c r="E771" s="0" t="inlineStr">
        <is>
          <t>50.00K</t>
        </is>
      </c>
      <c r="F771" s="0" t="inlineStr">
        <is>
          <t>(1,</t>
        </is>
      </c>
      <c r="G771" s="0" t="inlineStr">
        <is>
          <t>20)</t>
        </is>
      </c>
      <c r="K771" s="0">
        <f>IF(H770="1)",1,IF(H770="2)",2,IF(H770="3)",3,IF(H770="4)",4,IF(H770="5)",5,IF(H770="6)",6,IF(H770="7)",7,IF(H770="8)",8,0))))))))</f>
        <v/>
      </c>
      <c r="L771" s="0">
        <f>IF(H770="1)",J770,IF(H770="2)",J770,IF(H770="3)",J770,IF(H770="4)",J770,IF(H770="5)",J770,IF(H770="6)",J770,IF(H770="7)",J770,IF(H770="8)",J770,0))))))))</f>
        <v/>
      </c>
    </row>
    <row r="772">
      <c r="A772" s="0" t="inlineStr">
        <is>
          <t>New</t>
        </is>
      </c>
      <c r="B772" s="0" t="inlineStr">
        <is>
          <t>Item</t>
        </is>
      </c>
      <c r="C772" s="0" t="inlineStr">
        <is>
          <t>Acquired</t>
        </is>
      </c>
      <c r="D772" s="0" t="inlineStr">
        <is>
          <t>:</t>
        </is>
      </c>
      <c r="E772" s="0" t="inlineStr">
        <is>
          <t>75.00K</t>
        </is>
      </c>
      <c r="F772" s="0" t="inlineStr">
        <is>
          <t>(6,</t>
        </is>
      </c>
      <c r="G772" s="0" t="inlineStr">
        <is>
          <t>5)</t>
        </is>
      </c>
      <c r="K772" s="0">
        <f>IF(H771="1)",1,IF(H771="2)",2,IF(H771="3)",3,IF(H771="4)",4,IF(H771="5)",5,IF(H771="6)",6,IF(H771="7)",7,IF(H771="8)",8,0))))))))</f>
        <v/>
      </c>
      <c r="L772" s="0">
        <f>IF(H771="1)",J771,IF(H771="2)",J771,IF(H771="3)",J771,IF(H771="4)",J771,IF(H771="5)",J771,IF(H771="6)",J771,IF(H771="7)",J771,IF(H771="8)",J771,0))))))))</f>
        <v/>
      </c>
    </row>
    <row r="773">
      <c r="A773" s="0" t="inlineStr">
        <is>
          <t>New</t>
        </is>
      </c>
      <c r="B773" s="0" t="inlineStr">
        <is>
          <t>Item</t>
        </is>
      </c>
      <c r="C773" s="0" t="inlineStr">
        <is>
          <t>Acquired</t>
        </is>
      </c>
      <c r="D773" s="0" t="inlineStr">
        <is>
          <t>:</t>
        </is>
      </c>
      <c r="E773" s="0" t="inlineStr">
        <is>
          <t>30.00K</t>
        </is>
      </c>
      <c r="F773" s="0" t="inlineStr">
        <is>
          <t>(1,</t>
        </is>
      </c>
      <c r="G773" s="0" t="inlineStr">
        <is>
          <t>1)</t>
        </is>
      </c>
      <c r="K773" s="0">
        <f>IF(H772="1)",1,IF(H772="2)",2,IF(H772="3)",3,IF(H772="4)",4,IF(H772="5)",5,IF(H772="6)",6,IF(H772="7)",7,IF(H772="8)",8,0))))))))</f>
        <v/>
      </c>
      <c r="L773" s="0">
        <f>IF(H772="1)",J772,IF(H772="2)",J772,IF(H772="3)",J772,IF(H772="4)",J772,IF(H772="5)",J772,IF(H772="6)",J772,IF(H772="7)",J772,IF(H772="8)",J772,0))))))))</f>
        <v/>
      </c>
    </row>
    <row r="774">
      <c r="A774" s="0" t="inlineStr">
        <is>
          <t>New</t>
        </is>
      </c>
      <c r="B774" s="0" t="inlineStr">
        <is>
          <t>Item</t>
        </is>
      </c>
      <c r="C774" s="0" t="inlineStr">
        <is>
          <t>Acquired</t>
        </is>
      </c>
      <c r="D774" s="0" t="inlineStr">
        <is>
          <t>:</t>
        </is>
      </c>
      <c r="E774" s="0" t="inlineStr">
        <is>
          <t>112.50K</t>
        </is>
      </c>
      <c r="F774" s="0" t="inlineStr">
        <is>
          <t>(5,</t>
        </is>
      </c>
      <c r="G774" s="0" t="inlineStr">
        <is>
          <t>25)</t>
        </is>
      </c>
      <c r="K774" s="0">
        <f>IF(H773="1)",1,IF(H773="2)",2,IF(H773="3)",3,IF(H773="4)",4,IF(H773="5)",5,IF(H773="6)",6,IF(H773="7)",7,IF(H773="8)",8,0))))))))</f>
        <v/>
      </c>
      <c r="L774" s="0">
        <f>IF(H773="1)",J773,IF(H773="2)",J773,IF(H773="3)",J773,IF(H773="4)",J773,IF(H773="5)",J773,IF(H773="6)",J773,IF(H773="7)",J773,IF(H773="8)",J773,0))))))))</f>
        <v/>
      </c>
    </row>
    <row r="775">
      <c r="A775" s="0" t="inlineStr">
        <is>
          <t>New</t>
        </is>
      </c>
      <c r="B775" s="0" t="inlineStr">
        <is>
          <t>Item</t>
        </is>
      </c>
      <c r="C775" s="0" t="inlineStr">
        <is>
          <t>Acquired</t>
        </is>
      </c>
      <c r="D775" s="0" t="inlineStr">
        <is>
          <t>:</t>
        </is>
      </c>
      <c r="E775" s="0" t="inlineStr">
        <is>
          <t>112.50K</t>
        </is>
      </c>
      <c r="F775" s="0" t="inlineStr">
        <is>
          <t>(5,</t>
        </is>
      </c>
      <c r="G775" s="0" t="inlineStr">
        <is>
          <t>16)</t>
        </is>
      </c>
      <c r="K775" s="0">
        <f>IF(H774="1)",1,IF(H774="2)",2,IF(H774="3)",3,IF(H774="4)",4,IF(H774="5)",5,IF(H774="6)",6,IF(H774="7)",7,IF(H774="8)",8,0))))))))</f>
        <v/>
      </c>
      <c r="L775" s="0">
        <f>IF(H774="1)",J774,IF(H774="2)",J774,IF(H774="3)",J774,IF(H774="4)",J774,IF(H774="5)",J774,IF(H774="6)",J774,IF(H774="7)",J774,IF(H774="8)",J774,0))))))))</f>
        <v/>
      </c>
    </row>
    <row r="776">
      <c r="A776" s="0" t="inlineStr">
        <is>
          <t>New</t>
        </is>
      </c>
      <c r="B776" s="0" t="inlineStr">
        <is>
          <t>Item</t>
        </is>
      </c>
      <c r="C776" s="0" t="inlineStr">
        <is>
          <t>Acquired</t>
        </is>
      </c>
      <c r="D776" s="0" t="inlineStr">
        <is>
          <t>:</t>
        </is>
      </c>
      <c r="E776" s="0" t="inlineStr">
        <is>
          <t>75.00K</t>
        </is>
      </c>
      <c r="F776" s="0" t="inlineStr">
        <is>
          <t>(4,</t>
        </is>
      </c>
      <c r="G776" s="0" t="inlineStr">
        <is>
          <t>20)</t>
        </is>
      </c>
      <c r="K776" s="0">
        <f>IF(H775="1)",1,IF(H775="2)",2,IF(H775="3)",3,IF(H775="4)",4,IF(H775="5)",5,IF(H775="6)",6,IF(H775="7)",7,IF(H775="8)",8,0))))))))</f>
        <v/>
      </c>
      <c r="L776" s="0">
        <f>IF(H775="1)",J775,IF(H775="2)",J775,IF(H775="3)",J775,IF(H775="4)",J775,IF(H775="5)",J775,IF(H775="6)",J775,IF(H775="7)",J775,IF(H775="8)",J775,0))))))))</f>
        <v/>
      </c>
    </row>
    <row r="777">
      <c r="A777" s="0" t="inlineStr">
        <is>
          <t>New</t>
        </is>
      </c>
      <c r="B777" s="0" t="inlineStr">
        <is>
          <t>Item</t>
        </is>
      </c>
      <c r="C777" s="0" t="inlineStr">
        <is>
          <t>Acquired</t>
        </is>
      </c>
      <c r="D777" s="0" t="inlineStr">
        <is>
          <t>:</t>
        </is>
      </c>
      <c r="E777" s="0" t="inlineStr">
        <is>
          <t>90.00K</t>
        </is>
      </c>
      <c r="F777" s="0" t="inlineStr">
        <is>
          <t>(7,</t>
        </is>
      </c>
      <c r="G777" s="0" t="inlineStr">
        <is>
          <t>3)</t>
        </is>
      </c>
      <c r="K777" s="0">
        <f>IF(H776="1)",1,IF(H776="2)",2,IF(H776="3)",3,IF(H776="4)",4,IF(H776="5)",5,IF(H776="6)",6,IF(H776="7)",7,IF(H776="8)",8,0))))))))</f>
        <v/>
      </c>
      <c r="L777" s="0">
        <f>IF(H776="1)",J776,IF(H776="2)",J776,IF(H776="3)",J776,IF(H776="4)",J776,IF(H776="5)",J776,IF(H776="6)",J776,IF(H776="7)",J776,IF(H776="8)",J776,0))))))))</f>
        <v/>
      </c>
    </row>
    <row r="778">
      <c r="A778" s="0" t="inlineStr">
        <is>
          <t>New</t>
        </is>
      </c>
      <c r="B778" s="0" t="inlineStr">
        <is>
          <t>Item</t>
        </is>
      </c>
      <c r="C778" s="0" t="inlineStr">
        <is>
          <t>Acquired</t>
        </is>
      </c>
      <c r="D778" s="0" t="inlineStr">
        <is>
          <t>:</t>
        </is>
      </c>
      <c r="E778" s="0" t="inlineStr">
        <is>
          <t>120.00K</t>
        </is>
      </c>
      <c r="F778" s="0" t="inlineStr">
        <is>
          <t>(8,</t>
        </is>
      </c>
      <c r="G778" s="0" t="inlineStr">
        <is>
          <t>21)</t>
        </is>
      </c>
      <c r="K778" s="0">
        <f>IF(H777="1)",1,IF(H777="2)",2,IF(H777="3)",3,IF(H777="4)",4,IF(H777="5)",5,IF(H777="6)",6,IF(H777="7)",7,IF(H777="8)",8,0))))))))</f>
        <v/>
      </c>
      <c r="L778" s="0">
        <f>IF(H777="1)",J777,IF(H777="2)",J777,IF(H777="3)",J777,IF(H777="4)",J777,IF(H777="5)",J777,IF(H777="6)",J777,IF(H777="7)",J777,IF(H777="8)",J777,0))))))))</f>
        <v/>
      </c>
    </row>
    <row r="779">
      <c r="A779" s="0" t="inlineStr">
        <is>
          <t>New</t>
        </is>
      </c>
      <c r="B779" s="0" t="inlineStr">
        <is>
          <t>Item</t>
        </is>
      </c>
      <c r="C779" s="0" t="inlineStr">
        <is>
          <t>Acquired</t>
        </is>
      </c>
      <c r="D779" s="0" t="inlineStr">
        <is>
          <t>:</t>
        </is>
      </c>
      <c r="E779" s="0" t="inlineStr">
        <is>
          <t>Mini</t>
        </is>
      </c>
      <c r="F779" s="0" t="inlineStr">
        <is>
          <t>(4,</t>
        </is>
      </c>
      <c r="G779" s="0" t="inlineStr">
        <is>
          <t>25)</t>
        </is>
      </c>
      <c r="K779" s="0">
        <f>IF(H778="1)",1,IF(H778="2)",2,IF(H778="3)",3,IF(H778="4)",4,IF(H778="5)",5,IF(H778="6)",6,IF(H778="7)",7,IF(H778="8)",8,0))))))))</f>
        <v/>
      </c>
      <c r="L779" s="0">
        <f>IF(H778="1)",J778,IF(H778="2)",J778,IF(H778="3)",J778,IF(H778="4)",J778,IF(H778="5)",J778,IF(H778="6)",J778,IF(H778="7)",J778,IF(H778="8)",J778,0))))))))</f>
        <v/>
      </c>
    </row>
    <row r="780">
      <c r="A780" s="0" t="inlineStr">
        <is>
          <t>New</t>
        </is>
      </c>
      <c r="B780" s="0" t="inlineStr">
        <is>
          <t>Item</t>
        </is>
      </c>
      <c r="C780" s="0" t="inlineStr">
        <is>
          <t>Acquired</t>
        </is>
      </c>
      <c r="D780" s="0" t="inlineStr">
        <is>
          <t>:</t>
        </is>
      </c>
      <c r="E780" s="0" t="inlineStr">
        <is>
          <t>90.00K</t>
        </is>
      </c>
      <c r="F780" s="0" t="inlineStr">
        <is>
          <t>(7,</t>
        </is>
      </c>
      <c r="G780" s="0" t="inlineStr">
        <is>
          <t>14)</t>
        </is>
      </c>
      <c r="K780" s="0">
        <f>IF(H779="1)",1,IF(H779="2)",2,IF(H779="3)",3,IF(H779="4)",4,IF(H779="5)",5,IF(H779="6)",6,IF(H779="7)",7,IF(H779="8)",8,0))))))))</f>
        <v/>
      </c>
      <c r="L780" s="0">
        <f>IF(H779="1)",J779,IF(H779="2)",J779,IF(H779="3)",J779,IF(H779="4)",J779,IF(H779="5)",J779,IF(H779="6)",J779,IF(H779="7)",J779,IF(H779="8)",J779,0))))))))</f>
        <v/>
      </c>
    </row>
    <row r="781">
      <c r="A781" s="0" t="inlineStr">
        <is>
          <t>New</t>
        </is>
      </c>
      <c r="B781" s="0" t="inlineStr">
        <is>
          <t>Item</t>
        </is>
      </c>
      <c r="C781" s="0" t="inlineStr">
        <is>
          <t>Acquired</t>
        </is>
      </c>
      <c r="D781" s="0" t="inlineStr">
        <is>
          <t>:</t>
        </is>
      </c>
      <c r="E781" s="0" t="inlineStr">
        <is>
          <t>Mini</t>
        </is>
      </c>
      <c r="F781" s="0" t="inlineStr">
        <is>
          <t>(8,</t>
        </is>
      </c>
      <c r="G781" s="0" t="inlineStr">
        <is>
          <t>9)</t>
        </is>
      </c>
      <c r="K781" s="0">
        <f>IF(H780="1)",1,IF(H780="2)",2,IF(H780="3)",3,IF(H780="4)",4,IF(H780="5)",5,IF(H780="6)",6,IF(H780="7)",7,IF(H780="8)",8,0))))))))</f>
        <v/>
      </c>
      <c r="L781" s="0">
        <f>IF(H780="1)",J780,IF(H780="2)",J780,IF(H780="3)",J780,IF(H780="4)",J780,IF(H780="5)",J780,IF(H780="6)",J780,IF(H780="7)",J780,IF(H780="8)",J780,0))))))))</f>
        <v/>
      </c>
    </row>
    <row r="782">
      <c r="A782" s="0" t="inlineStr">
        <is>
          <t>New</t>
        </is>
      </c>
      <c r="B782" s="0" t="inlineStr">
        <is>
          <t>Item</t>
        </is>
      </c>
      <c r="C782" s="0" t="inlineStr">
        <is>
          <t>Acquired</t>
        </is>
      </c>
      <c r="D782" s="0" t="inlineStr">
        <is>
          <t>:</t>
        </is>
      </c>
      <c r="E782" s="0" t="inlineStr">
        <is>
          <t>45.00K</t>
        </is>
      </c>
      <c r="F782" s="0" t="inlineStr">
        <is>
          <t>(3,</t>
        </is>
      </c>
      <c r="G782" s="0" t="inlineStr">
        <is>
          <t>9)</t>
        </is>
      </c>
      <c r="K782" s="0">
        <f>IF(H781="1)",1,IF(H781="2)",2,IF(H781="3)",3,IF(H781="4)",4,IF(H781="5)",5,IF(H781="6)",6,IF(H781="7)",7,IF(H781="8)",8,0))))))))</f>
        <v/>
      </c>
      <c r="L782" s="0">
        <f>IF(H781="1)",J781,IF(H781="2)",J781,IF(H781="3)",J781,IF(H781="4)",J781,IF(H781="5)",J781,IF(H781="6)",J781,IF(H781="7)",J781,IF(H781="8)",J781,0))))))))</f>
        <v/>
      </c>
    </row>
    <row r="783">
      <c r="A783" s="0" t="inlineStr">
        <is>
          <t>Line</t>
        </is>
      </c>
      <c r="B783" s="0" t="inlineStr">
        <is>
          <t>Prize</t>
        </is>
      </c>
      <c r="C783" s="0" t="inlineStr">
        <is>
          <t>Acquired</t>
        </is>
      </c>
      <c r="D783" s="0" t="inlineStr">
        <is>
          <t>:</t>
        </is>
      </c>
      <c r="E783" s="0" t="inlineStr">
        <is>
          <t>435.00K</t>
        </is>
      </c>
      <c r="F783" s="0" t="inlineStr">
        <is>
          <t>(Stage</t>
        </is>
      </c>
      <c r="G783" s="0" t="inlineStr">
        <is>
          <t>:</t>
        </is>
      </c>
      <c r="H783" s="0" t="inlineStr">
        <is>
          <t>3)</t>
        </is>
      </c>
      <c r="I783" s="0" t="inlineStr">
        <is>
          <t>-</t>
        </is>
      </c>
      <c r="J783" s="0" t="n">
        <v>435000</v>
      </c>
      <c r="K783" s="0">
        <f>IF(H782="1)",1,IF(H782="2)",2,IF(H782="3)",3,IF(H782="4)",4,IF(H782="5)",5,IF(H782="6)",6,IF(H782="7)",7,IF(H782="8)",8,0))))))))</f>
        <v/>
      </c>
      <c r="L783" s="0">
        <f>IF(H782="1)",J782,IF(H782="2)",J782,IF(H782="3)",J782,IF(H782="4)",J782,IF(H782="5)",J782,IF(H782="6)",J782,IF(H782="7)",J782,IF(H782="8)",J782,0))))))))</f>
        <v/>
      </c>
    </row>
    <row r="784">
      <c r="A784" s="0" t="inlineStr">
        <is>
          <t>Clear</t>
        </is>
      </c>
      <c r="B784" s="0" t="inlineStr">
        <is>
          <t>Gem</t>
        </is>
      </c>
      <c r="C784" s="0" t="inlineStr">
        <is>
          <t>Acquired</t>
        </is>
      </c>
      <c r="D784" s="0" t="inlineStr">
        <is>
          <t>:</t>
        </is>
      </c>
      <c r="E784" s="0" t="n">
        <v>4500</v>
      </c>
      <c r="F784" s="0" t="inlineStr">
        <is>
          <t>-&gt;</t>
        </is>
      </c>
      <c r="G784" s="0" t="n">
        <v>4600</v>
      </c>
      <c r="H784" s="0" t="inlineStr">
        <is>
          <t>(Stage</t>
        </is>
      </c>
      <c r="I784" s="0" t="inlineStr">
        <is>
          <t>:</t>
        </is>
      </c>
      <c r="J784" s="0" t="inlineStr">
        <is>
          <t>3)</t>
        </is>
      </c>
      <c r="K784" s="0">
        <f>IF(H783="1)",1,IF(H783="2)",2,IF(H783="3)",3,IF(H783="4)",4,IF(H783="5)",5,IF(H783="6)",6,IF(H783="7)",7,IF(H783="8)",8,0))))))))</f>
        <v/>
      </c>
      <c r="L784" s="0">
        <f>IF(H783="1)",J783,IF(H783="2)",J783,IF(H783="3)",J783,IF(H783="4)",J783,IF(H783="5)",J783,IF(H783="6)",J783,IF(H783="7)",J783,IF(H783="8)",J783,0))))))))</f>
        <v/>
      </c>
    </row>
    <row r="785">
      <c r="A785" s="0" t="inlineStr">
        <is>
          <t>New</t>
        </is>
      </c>
      <c r="B785" s="0" t="inlineStr">
        <is>
          <t>Item</t>
        </is>
      </c>
      <c r="C785" s="0" t="inlineStr">
        <is>
          <t>Acquired</t>
        </is>
      </c>
      <c r="D785" s="0" t="inlineStr">
        <is>
          <t>:</t>
        </is>
      </c>
      <c r="E785" s="0" t="inlineStr">
        <is>
          <t>90.00K</t>
        </is>
      </c>
      <c r="F785" s="0" t="inlineStr">
        <is>
          <t>(7,</t>
        </is>
      </c>
      <c r="G785" s="0" t="inlineStr">
        <is>
          <t>5)</t>
        </is>
      </c>
      <c r="K785" s="0">
        <f>IF(H784="1)",1,IF(H784="2)",2,IF(H784="3)",3,IF(H784="4)",4,IF(H784="5)",5,IF(H784="6)",6,IF(H784="7)",7,IF(H784="8)",8,0))))))))</f>
        <v/>
      </c>
      <c r="L785" s="0">
        <f>IF(H784="1)",J784,IF(H784="2)",J784,IF(H784="3)",J784,IF(H784="4)",J784,IF(H784="5)",J784,IF(H784="6)",J784,IF(H784="7)",J784,IF(H784="8)",J784,0))))))))</f>
        <v/>
      </c>
    </row>
    <row r="786">
      <c r="A786" s="0" t="inlineStr">
        <is>
          <t>Item</t>
        </is>
      </c>
      <c r="B786" s="0" t="inlineStr">
        <is>
          <t>ReSelect</t>
        </is>
      </c>
      <c r="C786" s="0" t="inlineStr">
        <is>
          <t>Failed</t>
        </is>
      </c>
      <c r="D786" s="0" t="inlineStr">
        <is>
          <t>:</t>
        </is>
      </c>
      <c r="E786" s="0" t="inlineStr">
        <is>
          <t>Attempt</t>
        </is>
      </c>
      <c r="F786" s="0" t="inlineStr">
        <is>
          <t>Count</t>
        </is>
      </c>
      <c r="G786" s="0" t="inlineStr">
        <is>
          <t>-</t>
        </is>
      </c>
      <c r="H786" s="0" t="n">
        <v>3</v>
      </c>
      <c r="K786" s="0">
        <f>IF(H785="1)",1,IF(H785="2)",2,IF(H785="3)",3,IF(H785="4)",4,IF(H785="5)",5,IF(H785="6)",6,IF(H785="7)",7,IF(H785="8)",8,0))))))))</f>
        <v/>
      </c>
      <c r="L786" s="0">
        <f>IF(H785="1)",J785,IF(H785="2)",J785,IF(H785="3)",J785,IF(H785="4)",J785,IF(H785="5)",J785,IF(H785="6)",J785,IF(H785="7)",J785,IF(H785="8)",J785,0))))))))</f>
        <v/>
      </c>
    </row>
    <row r="787">
      <c r="A787" s="0" t="inlineStr">
        <is>
          <t>New</t>
        </is>
      </c>
      <c r="B787" s="0" t="inlineStr">
        <is>
          <t>Item</t>
        </is>
      </c>
      <c r="C787" s="0" t="inlineStr">
        <is>
          <t>Acquired</t>
        </is>
      </c>
      <c r="D787" s="0" t="inlineStr">
        <is>
          <t>:</t>
        </is>
      </c>
      <c r="E787" s="0" t="inlineStr">
        <is>
          <t>45.00K</t>
        </is>
      </c>
      <c r="F787" s="0" t="inlineStr">
        <is>
          <t>(3,</t>
        </is>
      </c>
      <c r="G787" s="0" t="inlineStr">
        <is>
          <t>22)</t>
        </is>
      </c>
      <c r="K787" s="0">
        <f>IF(H786="1)",1,IF(H786="2)",2,IF(H786="3)",3,IF(H786="4)",4,IF(H786="5)",5,IF(H786="6)",6,IF(H786="7)",7,IF(H786="8)",8,0))))))))</f>
        <v/>
      </c>
      <c r="L787" s="0">
        <f>IF(H786="1)",J786,IF(H786="2)",J786,IF(H786="3)",J786,IF(H786="4)",J786,IF(H786="5)",J786,IF(H786="6)",J786,IF(H786="7)",J786,IF(H786="8)",J786,0))))))))</f>
        <v/>
      </c>
    </row>
    <row r="788">
      <c r="A788" s="0" t="inlineStr">
        <is>
          <t>New</t>
        </is>
      </c>
      <c r="B788" s="0" t="inlineStr">
        <is>
          <t>Item</t>
        </is>
      </c>
      <c r="C788" s="0" t="inlineStr">
        <is>
          <t>Acquired</t>
        </is>
      </c>
      <c r="D788" s="0" t="inlineStr">
        <is>
          <t>:</t>
        </is>
      </c>
      <c r="E788" s="0" t="inlineStr">
        <is>
          <t>Mini</t>
        </is>
      </c>
      <c r="F788" s="0" t="inlineStr">
        <is>
          <t>(4,</t>
        </is>
      </c>
      <c r="G788" s="0" t="inlineStr">
        <is>
          <t>12)</t>
        </is>
      </c>
      <c r="K788" s="0">
        <f>IF(H787="1)",1,IF(H787="2)",2,IF(H787="3)",3,IF(H787="4)",4,IF(H787="5)",5,IF(H787="6)",6,IF(H787="7)",7,IF(H787="8)",8,0))))))))</f>
        <v/>
      </c>
      <c r="L788" s="0">
        <f>IF(H787="1)",J787,IF(H787="2)",J787,IF(H787="3)",J787,IF(H787="4)",J787,IF(H787="5)",J787,IF(H787="6)",J787,IF(H787="7)",J787,IF(H787="8)",J787,0))))))))</f>
        <v/>
      </c>
    </row>
    <row r="789">
      <c r="A789" s="0" t="inlineStr">
        <is>
          <t>New</t>
        </is>
      </c>
      <c r="B789" s="0" t="inlineStr">
        <is>
          <t>Item</t>
        </is>
      </c>
      <c r="C789" s="0" t="inlineStr">
        <is>
          <t>Acquired</t>
        </is>
      </c>
      <c r="D789" s="0" t="inlineStr">
        <is>
          <t>:</t>
        </is>
      </c>
      <c r="E789" s="0" t="inlineStr">
        <is>
          <t>62.50K</t>
        </is>
      </c>
      <c r="F789" s="0" t="inlineStr">
        <is>
          <t>(2,</t>
        </is>
      </c>
      <c r="G789" s="0" t="inlineStr">
        <is>
          <t>20)</t>
        </is>
      </c>
      <c r="K789" s="0">
        <f>IF(H788="1)",1,IF(H788="2)",2,IF(H788="3)",3,IF(H788="4)",4,IF(H788="5)",5,IF(H788="6)",6,IF(H788="7)",7,IF(H788="8)",8,0))))))))</f>
        <v/>
      </c>
      <c r="L789" s="0">
        <f>IF(H788="1)",J788,IF(H788="2)",J788,IF(H788="3)",J788,IF(H788="4)",J788,IF(H788="5)",J788,IF(H788="6)",J788,IF(H788="7)",J788,IF(H788="8)",J788,0))))))))</f>
        <v/>
      </c>
    </row>
    <row r="790">
      <c r="A790" s="0" t="inlineStr">
        <is>
          <t>New</t>
        </is>
      </c>
      <c r="B790" s="0" t="inlineStr">
        <is>
          <t>Item</t>
        </is>
      </c>
      <c r="C790" s="0" t="inlineStr">
        <is>
          <t>Acquired</t>
        </is>
      </c>
      <c r="D790" s="0" t="inlineStr">
        <is>
          <t>:</t>
        </is>
      </c>
      <c r="E790" s="0" t="inlineStr">
        <is>
          <t>105.00K</t>
        </is>
      </c>
      <c r="F790" s="0" t="inlineStr">
        <is>
          <t>(3,</t>
        </is>
      </c>
      <c r="G790" s="0" t="inlineStr">
        <is>
          <t>10)</t>
        </is>
      </c>
      <c r="K790" s="0">
        <f>IF(H789="1)",1,IF(H789="2)",2,IF(H789="3)",3,IF(H789="4)",4,IF(H789="5)",5,IF(H789="6)",6,IF(H789="7)",7,IF(H789="8)",8,0))))))))</f>
        <v/>
      </c>
      <c r="L790" s="0">
        <f>IF(H789="1)",J789,IF(H789="2)",J789,IF(H789="3)",J789,IF(H789="4)",J789,IF(H789="5)",J789,IF(H789="6)",J789,IF(H789="7)",J789,IF(H789="8)",J789,0))))))))</f>
        <v/>
      </c>
    </row>
    <row r="791">
      <c r="A791" s="0" t="inlineStr">
        <is>
          <t>New</t>
        </is>
      </c>
      <c r="B791" s="0" t="inlineStr">
        <is>
          <t>Item</t>
        </is>
      </c>
      <c r="C791" s="0" t="inlineStr">
        <is>
          <t>Acquired</t>
        </is>
      </c>
      <c r="D791" s="0" t="inlineStr">
        <is>
          <t>:</t>
        </is>
      </c>
      <c r="E791" s="0" t="inlineStr">
        <is>
          <t>105.00K</t>
        </is>
      </c>
      <c r="F791" s="0" t="inlineStr">
        <is>
          <t>(4,</t>
        </is>
      </c>
      <c r="G791" s="0" t="inlineStr">
        <is>
          <t>2)</t>
        </is>
      </c>
      <c r="K791" s="0">
        <f>IF(H790="1)",1,IF(H790="2)",2,IF(H790="3)",3,IF(H790="4)",4,IF(H790="5)",5,IF(H790="6)",6,IF(H790="7)",7,IF(H790="8)",8,0))))))))</f>
        <v/>
      </c>
      <c r="L791" s="0">
        <f>IF(H790="1)",J790,IF(H790="2)",J790,IF(H790="3)",J790,IF(H790="4)",J790,IF(H790="5)",J790,IF(H790="6)",J790,IF(H790="7)",J790,IF(H790="8)",J790,0))))))))</f>
        <v/>
      </c>
    </row>
    <row r="792">
      <c r="A792" s="0" t="inlineStr">
        <is>
          <t>New</t>
        </is>
      </c>
      <c r="B792" s="0" t="inlineStr">
        <is>
          <t>Item</t>
        </is>
      </c>
      <c r="C792" s="0" t="inlineStr">
        <is>
          <t>Acquired</t>
        </is>
      </c>
      <c r="D792" s="0" t="inlineStr">
        <is>
          <t>:</t>
        </is>
      </c>
      <c r="E792" s="0" t="inlineStr">
        <is>
          <t>Mini</t>
        </is>
      </c>
      <c r="F792" s="0" t="inlineStr">
        <is>
          <t>(4,</t>
        </is>
      </c>
      <c r="G792" s="0" t="inlineStr">
        <is>
          <t>21)</t>
        </is>
      </c>
      <c r="K792" s="0">
        <f>IF(H791="1)",1,IF(H791="2)",2,IF(H791="3)",3,IF(H791="4)",4,IF(H791="5)",5,IF(H791="6)",6,IF(H791="7)",7,IF(H791="8)",8,0))))))))</f>
        <v/>
      </c>
      <c r="L792" s="0">
        <f>IF(H791="1)",J791,IF(H791="2)",J791,IF(H791="3)",J791,IF(H791="4)",J791,IF(H791="5)",J791,IF(H791="6)",J791,IF(H791="7)",J791,IF(H791="8)",J791,0))))))))</f>
        <v/>
      </c>
    </row>
    <row r="793">
      <c r="A793" s="0" t="inlineStr">
        <is>
          <t>New</t>
        </is>
      </c>
      <c r="B793" s="0" t="inlineStr">
        <is>
          <t>Item</t>
        </is>
      </c>
      <c r="C793" s="0" t="inlineStr">
        <is>
          <t>Acquired</t>
        </is>
      </c>
      <c r="D793" s="0" t="inlineStr">
        <is>
          <t>:</t>
        </is>
      </c>
      <c r="E793" s="0" t="inlineStr">
        <is>
          <t>75.00K</t>
        </is>
      </c>
      <c r="F793" s="0" t="inlineStr">
        <is>
          <t>(3,</t>
        </is>
      </c>
      <c r="G793" s="0" t="inlineStr">
        <is>
          <t>16)</t>
        </is>
      </c>
      <c r="K793" s="0">
        <f>IF(H792="1)",1,IF(H792="2)",2,IF(H792="3)",3,IF(H792="4)",4,IF(H792="5)",5,IF(H792="6)",6,IF(H792="7)",7,IF(H792="8)",8,0))))))))</f>
        <v/>
      </c>
      <c r="L793" s="0">
        <f>IF(H792="1)",J792,IF(H792="2)",J792,IF(H792="3)",J792,IF(H792="4)",J792,IF(H792="5)",J792,IF(H792="6)",J792,IF(H792="7)",J792,IF(H792="8)",J792,0))))))))</f>
        <v/>
      </c>
    </row>
    <row r="794">
      <c r="A794" s="0" t="inlineStr">
        <is>
          <t>New</t>
        </is>
      </c>
      <c r="B794" s="0" t="inlineStr">
        <is>
          <t>Item</t>
        </is>
      </c>
      <c r="C794" s="0" t="inlineStr">
        <is>
          <t>Acquired</t>
        </is>
      </c>
      <c r="D794" s="0" t="inlineStr">
        <is>
          <t>:</t>
        </is>
      </c>
      <c r="E794" s="0" t="inlineStr">
        <is>
          <t>157.50K</t>
        </is>
      </c>
      <c r="F794" s="0" t="inlineStr">
        <is>
          <t>(5,</t>
        </is>
      </c>
      <c r="G794" s="0" t="inlineStr">
        <is>
          <t>15)</t>
        </is>
      </c>
      <c r="K794" s="0">
        <f>IF(H793="1)",1,IF(H793="2)",2,IF(H793="3)",3,IF(H793="4)",4,IF(H793="5)",5,IF(H793="6)",6,IF(H793="7)",7,IF(H793="8)",8,0))))))))</f>
        <v/>
      </c>
      <c r="L794" s="0">
        <f>IF(H793="1)",J793,IF(H793="2)",J793,IF(H793="3)",J793,IF(H793="4)",J793,IF(H793="5)",J793,IF(H793="6)",J793,IF(H793="7)",J793,IF(H793="8)",J793,0))))))))</f>
        <v/>
      </c>
    </row>
    <row r="795">
      <c r="A795" s="0" t="inlineStr">
        <is>
          <t>New</t>
        </is>
      </c>
      <c r="B795" s="0" t="inlineStr">
        <is>
          <t>Item</t>
        </is>
      </c>
      <c r="C795" s="0" t="inlineStr">
        <is>
          <t>Acquired</t>
        </is>
      </c>
      <c r="D795" s="0" t="inlineStr">
        <is>
          <t>:</t>
        </is>
      </c>
      <c r="E795" s="0" t="inlineStr">
        <is>
          <t>62.50K</t>
        </is>
      </c>
      <c r="F795" s="0" t="inlineStr">
        <is>
          <t>(2,</t>
        </is>
      </c>
      <c r="G795" s="0" t="inlineStr">
        <is>
          <t>10)</t>
        </is>
      </c>
      <c r="K795" s="0">
        <f>IF(H794="1)",1,IF(H794="2)",2,IF(H794="3)",3,IF(H794="4)",4,IF(H794="5)",5,IF(H794="6)",6,IF(H794="7)",7,IF(H794="8)",8,0))))))))</f>
        <v/>
      </c>
      <c r="L795" s="0">
        <f>IF(H794="1)",J794,IF(H794="2)",J794,IF(H794="3)",J794,IF(H794="4)",J794,IF(H794="5)",J794,IF(H794="6)",J794,IF(H794="7)",J794,IF(H794="8)",J794,0))))))))</f>
        <v/>
      </c>
    </row>
    <row r="796">
      <c r="A796" s="0" t="inlineStr">
        <is>
          <t>New</t>
        </is>
      </c>
      <c r="B796" s="0" t="inlineStr">
        <is>
          <t>Item</t>
        </is>
      </c>
      <c r="C796" s="0" t="inlineStr">
        <is>
          <t>Acquired</t>
        </is>
      </c>
      <c r="D796" s="0" t="inlineStr">
        <is>
          <t>:</t>
        </is>
      </c>
      <c r="E796" s="0" t="inlineStr">
        <is>
          <t>75.00K</t>
        </is>
      </c>
      <c r="F796" s="0" t="inlineStr">
        <is>
          <t>(6,</t>
        </is>
      </c>
      <c r="G796" s="0" t="inlineStr">
        <is>
          <t>7)</t>
        </is>
      </c>
      <c r="K796" s="0">
        <f>IF(H795="1)",1,IF(H795="2)",2,IF(H795="3)",3,IF(H795="4)",4,IF(H795="5)",5,IF(H795="6)",6,IF(H795="7)",7,IF(H795="8)",8,0))))))))</f>
        <v/>
      </c>
      <c r="L796" s="0">
        <f>IF(H795="1)",J795,IF(H795="2)",J795,IF(H795="3)",J795,IF(H795="4)",J795,IF(H795="5)",J795,IF(H795="6)",J795,IF(H795="7)",J795,IF(H795="8)",J795,0))))))))</f>
        <v/>
      </c>
    </row>
    <row r="797">
      <c r="A797" s="0" t="inlineStr">
        <is>
          <t>New</t>
        </is>
      </c>
      <c r="B797" s="0" t="inlineStr">
        <is>
          <t>Item</t>
        </is>
      </c>
      <c r="C797" s="0" t="inlineStr">
        <is>
          <t>Acquired</t>
        </is>
      </c>
      <c r="D797" s="0" t="inlineStr">
        <is>
          <t>:</t>
        </is>
      </c>
      <c r="E797" s="0" t="inlineStr">
        <is>
          <t>90.00K</t>
        </is>
      </c>
      <c r="F797" s="0" t="inlineStr">
        <is>
          <t>(7,</t>
        </is>
      </c>
      <c r="G797" s="0" t="inlineStr">
        <is>
          <t>15)</t>
        </is>
      </c>
      <c r="K797" s="0">
        <f>IF(H796="1)",1,IF(H796="2)",2,IF(H796="3)",3,IF(H796="4)",4,IF(H796="5)",5,IF(H796="6)",6,IF(H796="7)",7,IF(H796="8)",8,0))))))))</f>
        <v/>
      </c>
      <c r="L797" s="0">
        <f>IF(H796="1)",J796,IF(H796="2)",J796,IF(H796="3)",J796,IF(H796="4)",J796,IF(H796="5)",J796,IF(H796="6)",J796,IF(H796="7)",J796,IF(H796="8)",J796,0))))))))</f>
        <v/>
      </c>
    </row>
    <row r="798">
      <c r="A798" s="0" t="inlineStr">
        <is>
          <t>New</t>
        </is>
      </c>
      <c r="B798" s="0" t="inlineStr">
        <is>
          <t>Item</t>
        </is>
      </c>
      <c r="C798" s="0" t="inlineStr">
        <is>
          <t>Acquired</t>
        </is>
      </c>
      <c r="D798" s="0" t="inlineStr">
        <is>
          <t>:</t>
        </is>
      </c>
      <c r="E798" s="0" t="inlineStr">
        <is>
          <t>37.50K</t>
        </is>
      </c>
      <c r="F798" s="0" t="inlineStr">
        <is>
          <t>(2,</t>
        </is>
      </c>
      <c r="G798" s="0" t="inlineStr">
        <is>
          <t>24)</t>
        </is>
      </c>
      <c r="K798" s="0">
        <f>IF(H797="1)",1,IF(H797="2)",2,IF(H797="3)",3,IF(H797="4)",4,IF(H797="5)",5,IF(H797="6)",6,IF(H797="7)",7,IF(H797="8)",8,0))))))))</f>
        <v/>
      </c>
      <c r="L798" s="0">
        <f>IF(H797="1)",J797,IF(H797="2)",J797,IF(H797="3)",J797,IF(H797="4)",J797,IF(H797="5)",J797,IF(H797="6)",J797,IF(H797="7)",J797,IF(H797="8)",J797,0))))))))</f>
        <v/>
      </c>
    </row>
    <row r="799">
      <c r="A799" s="0" t="inlineStr">
        <is>
          <t>New</t>
        </is>
      </c>
      <c r="B799" s="0" t="inlineStr">
        <is>
          <t>Item</t>
        </is>
      </c>
      <c r="C799" s="0" t="inlineStr">
        <is>
          <t>Acquired</t>
        </is>
      </c>
      <c r="D799" s="0" t="inlineStr">
        <is>
          <t>:</t>
        </is>
      </c>
      <c r="E799" s="0" t="inlineStr">
        <is>
          <t>62.50K</t>
        </is>
      </c>
      <c r="F799" s="0" t="inlineStr">
        <is>
          <t>(2,</t>
        </is>
      </c>
      <c r="G799" s="0" t="inlineStr">
        <is>
          <t>4)</t>
        </is>
      </c>
      <c r="K799" s="0">
        <f>IF(H798="1)",1,IF(H798="2)",2,IF(H798="3)",3,IF(H798="4)",4,IF(H798="5)",5,IF(H798="6)",6,IF(H798="7)",7,IF(H798="8)",8,0))))))))</f>
        <v/>
      </c>
      <c r="L799" s="0">
        <f>IF(H798="1)",J798,IF(H798="2)",J798,IF(H798="3)",J798,IF(H798="4)",J798,IF(H798="5)",J798,IF(H798="6)",J798,IF(H798="7)",J798,IF(H798="8)",J798,0))))))))</f>
        <v/>
      </c>
    </row>
    <row r="800">
      <c r="A800" s="0" t="inlineStr">
        <is>
          <t>New</t>
        </is>
      </c>
      <c r="B800" s="0" t="inlineStr">
        <is>
          <t>Item</t>
        </is>
      </c>
      <c r="C800" s="0" t="inlineStr">
        <is>
          <t>Acquired</t>
        </is>
      </c>
      <c r="D800" s="0" t="inlineStr">
        <is>
          <t>:</t>
        </is>
      </c>
      <c r="E800" s="0" t="inlineStr">
        <is>
          <t>30.00K</t>
        </is>
      </c>
      <c r="F800" s="0" t="inlineStr">
        <is>
          <t>(1,</t>
        </is>
      </c>
      <c r="G800" s="0" t="inlineStr">
        <is>
          <t>11)</t>
        </is>
      </c>
      <c r="K800" s="0">
        <f>IF(H799="1)",1,IF(H799="2)",2,IF(H799="3)",3,IF(H799="4)",4,IF(H799="5)",5,IF(H799="6)",6,IF(H799="7)",7,IF(H799="8)",8,0))))))))</f>
        <v/>
      </c>
      <c r="L800" s="0">
        <f>IF(H799="1)",J799,IF(H799="2)",J799,IF(H799="3)",J799,IF(H799="4)",J799,IF(H799="5)",J799,IF(H799="6)",J799,IF(H799="7)",J799,IF(H799="8)",J799,0))))))))</f>
        <v/>
      </c>
    </row>
    <row r="801">
      <c r="A801" s="0" t="inlineStr">
        <is>
          <t>New</t>
        </is>
      </c>
      <c r="B801" s="0" t="inlineStr">
        <is>
          <t>Item</t>
        </is>
      </c>
      <c r="C801" s="0" t="inlineStr">
        <is>
          <t>Acquired</t>
        </is>
      </c>
      <c r="D801" s="0" t="inlineStr">
        <is>
          <t>:</t>
        </is>
      </c>
      <c r="E801" s="0" t="inlineStr">
        <is>
          <t>45.00K</t>
        </is>
      </c>
      <c r="F801" s="0" t="inlineStr">
        <is>
          <t>(3,</t>
        </is>
      </c>
      <c r="G801" s="0" t="inlineStr">
        <is>
          <t>14)</t>
        </is>
      </c>
      <c r="K801" s="0">
        <f>IF(H800="1)",1,IF(H800="2)",2,IF(H800="3)",3,IF(H800="4)",4,IF(H800="5)",5,IF(H800="6)",6,IF(H800="7)",7,IF(H800="8)",8,0))))))))</f>
        <v/>
      </c>
      <c r="L801" s="0">
        <f>IF(H800="1)",J800,IF(H800="2)",J800,IF(H800="3)",J800,IF(H800="4)",J800,IF(H800="5)",J800,IF(H800="6)",J800,IF(H800="7)",J800,IF(H800="8)",J800,0))))))))</f>
        <v/>
      </c>
    </row>
    <row r="802">
      <c r="A802" s="0" t="inlineStr">
        <is>
          <t>New</t>
        </is>
      </c>
      <c r="B802" s="0" t="inlineStr">
        <is>
          <t>Item</t>
        </is>
      </c>
      <c r="C802" s="0" t="inlineStr">
        <is>
          <t>Acquired</t>
        </is>
      </c>
      <c r="D802" s="0" t="inlineStr">
        <is>
          <t>:</t>
        </is>
      </c>
      <c r="E802" s="0" t="inlineStr">
        <is>
          <t>30.00K</t>
        </is>
      </c>
      <c r="F802" s="0" t="inlineStr">
        <is>
          <t>(1,</t>
        </is>
      </c>
      <c r="G802" s="0" t="inlineStr">
        <is>
          <t>23)</t>
        </is>
      </c>
      <c r="K802" s="0">
        <f>IF(H801="1)",1,IF(H801="2)",2,IF(H801="3)",3,IF(H801="4)",4,IF(H801="5)",5,IF(H801="6)",6,IF(H801="7)",7,IF(H801="8)",8,0))))))))</f>
        <v/>
      </c>
      <c r="L802" s="0">
        <f>IF(H801="1)",J801,IF(H801="2)",J801,IF(H801="3)",J801,IF(H801="4)",J801,IF(H801="5)",J801,IF(H801="6)",J801,IF(H801="7)",J801,IF(H801="8)",J801,0))))))))</f>
        <v/>
      </c>
    </row>
    <row r="803">
      <c r="A803" s="0" t="inlineStr">
        <is>
          <t>New</t>
        </is>
      </c>
      <c r="B803" s="0" t="inlineStr">
        <is>
          <t>Item</t>
        </is>
      </c>
      <c r="C803" s="0" t="inlineStr">
        <is>
          <t>Acquired</t>
        </is>
      </c>
      <c r="D803" s="0" t="inlineStr">
        <is>
          <t>:</t>
        </is>
      </c>
      <c r="E803" s="0" t="inlineStr">
        <is>
          <t>150.00K</t>
        </is>
      </c>
      <c r="F803" s="0" t="inlineStr">
        <is>
          <t>(7,</t>
        </is>
      </c>
      <c r="G803" s="0" t="inlineStr">
        <is>
          <t>1)</t>
        </is>
      </c>
      <c r="K803" s="0">
        <f>IF(H802="1)",1,IF(H802="2)",2,IF(H802="3)",3,IF(H802="4)",4,IF(H802="5)",5,IF(H802="6)",6,IF(H802="7)",7,IF(H802="8)",8,0))))))))</f>
        <v/>
      </c>
      <c r="L803" s="0">
        <f>IF(H802="1)",J802,IF(H802="2)",J802,IF(H802="3)",J802,IF(H802="4)",J802,IF(H802="5)",J802,IF(H802="6)",J802,IF(H802="7)",J802,IF(H802="8)",J802,0))))))))</f>
        <v/>
      </c>
    </row>
    <row r="804">
      <c r="A804" s="0" t="inlineStr">
        <is>
          <t>New</t>
        </is>
      </c>
      <c r="B804" s="0" t="inlineStr">
        <is>
          <t>Item</t>
        </is>
      </c>
      <c r="C804" s="0" t="inlineStr">
        <is>
          <t>Acquired</t>
        </is>
      </c>
      <c r="D804" s="0" t="inlineStr">
        <is>
          <t>:</t>
        </is>
      </c>
      <c r="E804" s="0" t="inlineStr">
        <is>
          <t>75.00K</t>
        </is>
      </c>
      <c r="F804" s="0" t="inlineStr">
        <is>
          <t>(3,</t>
        </is>
      </c>
      <c r="G804" s="0" t="inlineStr">
        <is>
          <t>7)</t>
        </is>
      </c>
      <c r="K804" s="0">
        <f>IF(H803="1)",1,IF(H803="2)",2,IF(H803="3)",3,IF(H803="4)",4,IF(H803="5)",5,IF(H803="6)",6,IF(H803="7)",7,IF(H803="8)",8,0))))))))</f>
        <v/>
      </c>
      <c r="L804" s="0">
        <f>IF(H803="1)",J803,IF(H803="2)",J803,IF(H803="3)",J803,IF(H803="4)",J803,IF(H803="5)",J803,IF(H803="6)",J803,IF(H803="7)",J803,IF(H803="8)",J803,0))))))))</f>
        <v/>
      </c>
    </row>
    <row r="805">
      <c r="A805" s="0" t="inlineStr">
        <is>
          <t>New</t>
        </is>
      </c>
      <c r="B805" s="0" t="inlineStr">
        <is>
          <t>Item</t>
        </is>
      </c>
      <c r="C805" s="0" t="inlineStr">
        <is>
          <t>Acquired</t>
        </is>
      </c>
      <c r="D805" s="0" t="inlineStr">
        <is>
          <t>:</t>
        </is>
      </c>
      <c r="E805" s="0" t="inlineStr">
        <is>
          <t>37.50K</t>
        </is>
      </c>
      <c r="F805" s="0" t="inlineStr">
        <is>
          <t>(2,</t>
        </is>
      </c>
      <c r="G805" s="0" t="inlineStr">
        <is>
          <t>9)</t>
        </is>
      </c>
      <c r="K805" s="0">
        <f>IF(H804="1)",1,IF(H804="2)",2,IF(H804="3)",3,IF(H804="4)",4,IF(H804="5)",5,IF(H804="6)",6,IF(H804="7)",7,IF(H804="8)",8,0))))))))</f>
        <v/>
      </c>
      <c r="L805" s="0">
        <f>IF(H804="1)",J804,IF(H804="2)",J804,IF(H804="3)",J804,IF(H804="4)",J804,IF(H804="5)",J804,IF(H804="6)",J804,IF(H804="7)",J804,IF(H804="8)",J804,0))))))))</f>
        <v/>
      </c>
    </row>
    <row r="806">
      <c r="A806" s="0" t="inlineStr">
        <is>
          <t>Line</t>
        </is>
      </c>
      <c r="B806" s="0" t="inlineStr">
        <is>
          <t>Prize</t>
        </is>
      </c>
      <c r="C806" s="0" t="inlineStr">
        <is>
          <t>Acquired</t>
        </is>
      </c>
      <c r="D806" s="0" t="inlineStr">
        <is>
          <t>:</t>
        </is>
      </c>
      <c r="E806" s="0" t="inlineStr">
        <is>
          <t>237.50K</t>
        </is>
      </c>
      <c r="F806" s="0" t="inlineStr">
        <is>
          <t>(Stage</t>
        </is>
      </c>
      <c r="G806" s="0" t="inlineStr">
        <is>
          <t>:</t>
        </is>
      </c>
      <c r="H806" s="0" t="inlineStr">
        <is>
          <t>2)</t>
        </is>
      </c>
      <c r="I806" s="0" t="inlineStr">
        <is>
          <t>-</t>
        </is>
      </c>
      <c r="J806" s="0" t="n">
        <v>237500</v>
      </c>
      <c r="K806" s="0">
        <f>IF(H805="1)",1,IF(H805="2)",2,IF(H805="3)",3,IF(H805="4)",4,IF(H805="5)",5,IF(H805="6)",6,IF(H805="7)",7,IF(H805="8)",8,0))))))))</f>
        <v/>
      </c>
      <c r="L806" s="0">
        <f>IF(H805="1)",J805,IF(H805="2)",J805,IF(H805="3)",J805,IF(H805="4)",J805,IF(H805="5)",J805,IF(H805="6)",J805,IF(H805="7)",J805,IF(H805="8)",J805,0))))))))</f>
        <v/>
      </c>
    </row>
    <row r="807">
      <c r="A807" s="0" t="inlineStr">
        <is>
          <t>Clear</t>
        </is>
      </c>
      <c r="B807" s="0" t="inlineStr">
        <is>
          <t>Gem</t>
        </is>
      </c>
      <c r="C807" s="0" t="inlineStr">
        <is>
          <t>Acquired</t>
        </is>
      </c>
      <c r="D807" s="0" t="inlineStr">
        <is>
          <t>:</t>
        </is>
      </c>
      <c r="E807" s="0" t="n">
        <v>4600</v>
      </c>
      <c r="F807" s="0" t="inlineStr">
        <is>
          <t>-&gt;</t>
        </is>
      </c>
      <c r="G807" s="0" t="n">
        <v>4700</v>
      </c>
      <c r="H807" s="0" t="inlineStr">
        <is>
          <t>(Stage</t>
        </is>
      </c>
      <c r="I807" s="0" t="inlineStr">
        <is>
          <t>:</t>
        </is>
      </c>
      <c r="J807" s="0" t="inlineStr">
        <is>
          <t>2)</t>
        </is>
      </c>
      <c r="K807" s="0">
        <f>IF(H806="1)",1,IF(H806="2)",2,IF(H806="3)",3,IF(H806="4)",4,IF(H806="5)",5,IF(H806="6)",6,IF(H806="7)",7,IF(H806="8)",8,0))))))))</f>
        <v/>
      </c>
      <c r="L807" s="0">
        <f>IF(H806="1)",J806,IF(H806="2)",J806,IF(H806="3)",J806,IF(H806="4)",J806,IF(H806="5)",J806,IF(H806="6)",J806,IF(H806="7)",J806,IF(H806="8)",J806,0))))))))</f>
        <v/>
      </c>
    </row>
    <row r="808">
      <c r="A808" s="0" t="inlineStr">
        <is>
          <t>New</t>
        </is>
      </c>
      <c r="B808" s="0" t="inlineStr">
        <is>
          <t>Item</t>
        </is>
      </c>
      <c r="C808" s="0" t="inlineStr">
        <is>
          <t>Acquired</t>
        </is>
      </c>
      <c r="D808" s="0" t="inlineStr">
        <is>
          <t>:</t>
        </is>
      </c>
      <c r="E808" s="0" t="inlineStr">
        <is>
          <t>210.00K</t>
        </is>
      </c>
      <c r="F808" s="0" t="inlineStr">
        <is>
          <t>(7,</t>
        </is>
      </c>
      <c r="G808" s="0" t="inlineStr">
        <is>
          <t>10)</t>
        </is>
      </c>
      <c r="K808" s="0">
        <f>IF(H807="1)",1,IF(H807="2)",2,IF(H807="3)",3,IF(H807="4)",4,IF(H807="5)",5,IF(H807="6)",6,IF(H807="7)",7,IF(H807="8)",8,0))))))))</f>
        <v/>
      </c>
      <c r="L808" s="0">
        <f>IF(H807="1)",J807,IF(H807="2)",J807,IF(H807="3)",J807,IF(H807="4)",J807,IF(H807="5)",J807,IF(H807="6)",J807,IF(H807="7)",J807,IF(H807="8)",J807,0))))))))</f>
        <v/>
      </c>
    </row>
    <row r="809">
      <c r="A809" s="0" t="inlineStr">
        <is>
          <t>New</t>
        </is>
      </c>
      <c r="B809" s="0" t="inlineStr">
        <is>
          <t>Item</t>
        </is>
      </c>
      <c r="C809" s="0" t="inlineStr">
        <is>
          <t>Acquired</t>
        </is>
      </c>
      <c r="D809" s="0" t="inlineStr">
        <is>
          <t>:</t>
        </is>
      </c>
      <c r="E809" s="0" t="inlineStr">
        <is>
          <t>Mini</t>
        </is>
      </c>
      <c r="F809" s="0" t="inlineStr">
        <is>
          <t>(7,</t>
        </is>
      </c>
      <c r="G809" s="0" t="inlineStr">
        <is>
          <t>2)</t>
        </is>
      </c>
      <c r="K809" s="0">
        <f>IF(H808="1)",1,IF(H808="2)",2,IF(H808="3)",3,IF(H808="4)",4,IF(H808="5)",5,IF(H808="6)",6,IF(H808="7)",7,IF(H808="8)",8,0))))))))</f>
        <v/>
      </c>
      <c r="L809" s="0">
        <f>IF(H808="1)",J808,IF(H808="2)",J808,IF(H808="3)",J808,IF(H808="4)",J808,IF(H808="5)",J808,IF(H808="6)",J808,IF(H808="7)",J808,IF(H808="8)",J808,0))))))))</f>
        <v/>
      </c>
    </row>
    <row r="810">
      <c r="A810" s="0" t="inlineStr">
        <is>
          <t>New</t>
        </is>
      </c>
      <c r="B810" s="0" t="inlineStr">
        <is>
          <t>Item</t>
        </is>
      </c>
      <c r="C810" s="0" t="inlineStr">
        <is>
          <t>Acquired</t>
        </is>
      </c>
      <c r="D810" s="0" t="inlineStr">
        <is>
          <t>:</t>
        </is>
      </c>
      <c r="E810" s="0" t="inlineStr">
        <is>
          <t>200.00K</t>
        </is>
      </c>
      <c r="F810" s="0" t="inlineStr">
        <is>
          <t>(8,</t>
        </is>
      </c>
      <c r="G810" s="0" t="inlineStr">
        <is>
          <t>16)</t>
        </is>
      </c>
      <c r="K810" s="0">
        <f>IF(H809="1)",1,IF(H809="2)",2,IF(H809="3)",3,IF(H809="4)",4,IF(H809="5)",5,IF(H809="6)",6,IF(H809="7)",7,IF(H809="8)",8,0))))))))</f>
        <v/>
      </c>
      <c r="L810" s="0">
        <f>IF(H809="1)",J809,IF(H809="2)",J809,IF(H809="3)",J809,IF(H809="4)",J809,IF(H809="5)",J809,IF(H809="6)",J809,IF(H809="7)",J809,IF(H809="8)",J809,0))))))))</f>
        <v/>
      </c>
    </row>
    <row r="811">
      <c r="A811" s="0" t="inlineStr">
        <is>
          <t>New</t>
        </is>
      </c>
      <c r="B811" s="0" t="inlineStr">
        <is>
          <t>Item</t>
        </is>
      </c>
      <c r="C811" s="0" t="inlineStr">
        <is>
          <t>Acquired</t>
        </is>
      </c>
      <c r="D811" s="0" t="inlineStr">
        <is>
          <t>:</t>
        </is>
      </c>
      <c r="E811" s="0" t="inlineStr">
        <is>
          <t>Minor</t>
        </is>
      </c>
      <c r="F811" s="0" t="inlineStr">
        <is>
          <t>(2,</t>
        </is>
      </c>
      <c r="G811" s="0" t="inlineStr">
        <is>
          <t>2)</t>
        </is>
      </c>
      <c r="K811" s="0">
        <f>IF(H810="1)",1,IF(H810="2)",2,IF(H810="3)",3,IF(H810="4)",4,IF(H810="5)",5,IF(H810="6)",6,IF(H810="7)",7,IF(H810="8)",8,0))))))))</f>
        <v/>
      </c>
      <c r="L811" s="0">
        <f>IF(H810="1)",J810,IF(H810="2)",J810,IF(H810="3)",J810,IF(H810="4)",J810,IF(H810="5)",J810,IF(H810="6)",J810,IF(H810="7)",J810,IF(H810="8)",J810,0))))))))</f>
        <v/>
      </c>
    </row>
    <row r="812">
      <c r="A812" s="0" t="inlineStr">
        <is>
          <t>New</t>
        </is>
      </c>
      <c r="B812" s="0" t="inlineStr">
        <is>
          <t>Item</t>
        </is>
      </c>
      <c r="C812" s="0" t="inlineStr">
        <is>
          <t>Acquired</t>
        </is>
      </c>
      <c r="D812" s="0" t="inlineStr">
        <is>
          <t>:</t>
        </is>
      </c>
      <c r="E812" s="0" t="inlineStr">
        <is>
          <t>45.00K</t>
        </is>
      </c>
      <c r="F812" s="0" t="inlineStr">
        <is>
          <t>(3,</t>
        </is>
      </c>
      <c r="G812" s="0" t="inlineStr">
        <is>
          <t>11)</t>
        </is>
      </c>
      <c r="K812" s="0">
        <f>IF(H811="1)",1,IF(H811="2)",2,IF(H811="3)",3,IF(H811="4)",4,IF(H811="5)",5,IF(H811="6)",6,IF(H811="7)",7,IF(H811="8)",8,0))))))))</f>
        <v/>
      </c>
      <c r="L812" s="0">
        <f>IF(H811="1)",J811,IF(H811="2)",J811,IF(H811="3)",J811,IF(H811="4)",J811,IF(H811="5)",J811,IF(H811="6)",J811,IF(H811="7)",J811,IF(H811="8)",J811,0))))))))</f>
        <v/>
      </c>
    </row>
    <row r="813">
      <c r="A813" s="0" t="inlineStr">
        <is>
          <t>New</t>
        </is>
      </c>
      <c r="B813" s="0" t="inlineStr">
        <is>
          <t>Item</t>
        </is>
      </c>
      <c r="C813" s="0" t="inlineStr">
        <is>
          <t>Acquired</t>
        </is>
      </c>
      <c r="D813" s="0" t="inlineStr">
        <is>
          <t>:</t>
        </is>
      </c>
      <c r="E813" s="0" t="inlineStr">
        <is>
          <t>Minor</t>
        </is>
      </c>
      <c r="F813" s="0" t="inlineStr">
        <is>
          <t>(7,</t>
        </is>
      </c>
      <c r="G813" s="0" t="inlineStr">
        <is>
          <t>16)</t>
        </is>
      </c>
      <c r="K813" s="0">
        <f>IF(H812="1)",1,IF(H812="2)",2,IF(H812="3)",3,IF(H812="4)",4,IF(H812="5)",5,IF(H812="6)",6,IF(H812="7)",7,IF(H812="8)",8,0))))))))</f>
        <v/>
      </c>
      <c r="L813" s="0">
        <f>IF(H812="1)",J812,IF(H812="2)",J812,IF(H812="3)",J812,IF(H812="4)",J812,IF(H812="5)",J812,IF(H812="6)",J812,IF(H812="7)",J812,IF(H812="8)",J812,0))))))))</f>
        <v/>
      </c>
    </row>
    <row r="814">
      <c r="A814" s="0" t="inlineStr">
        <is>
          <t>New</t>
        </is>
      </c>
      <c r="B814" s="0" t="inlineStr">
        <is>
          <t>Item</t>
        </is>
      </c>
      <c r="C814" s="0" t="inlineStr">
        <is>
          <t>Acquired</t>
        </is>
      </c>
      <c r="D814" s="0" t="inlineStr">
        <is>
          <t>:</t>
        </is>
      </c>
      <c r="E814" s="0" t="inlineStr">
        <is>
          <t>Mini</t>
        </is>
      </c>
      <c r="F814" s="0" t="inlineStr">
        <is>
          <t>(2,</t>
        </is>
      </c>
      <c r="G814" s="0" t="inlineStr">
        <is>
          <t>24)</t>
        </is>
      </c>
      <c r="K814" s="0">
        <f>IF(H813="1)",1,IF(H813="2)",2,IF(H813="3)",3,IF(H813="4)",4,IF(H813="5)",5,IF(H813="6)",6,IF(H813="7)",7,IF(H813="8)",8,0))))))))</f>
        <v/>
      </c>
      <c r="L814" s="0">
        <f>IF(H813="1)",J813,IF(H813="2)",J813,IF(H813="3)",J813,IF(H813="4)",J813,IF(H813="5)",J813,IF(H813="6)",J813,IF(H813="7)",J813,IF(H813="8)",J813,0))))))))</f>
        <v/>
      </c>
    </row>
    <row r="815">
      <c r="A815" s="0" t="inlineStr">
        <is>
          <t>New</t>
        </is>
      </c>
      <c r="B815" s="0" t="inlineStr">
        <is>
          <t>Item</t>
        </is>
      </c>
      <c r="C815" s="0" t="inlineStr">
        <is>
          <t>Acquired</t>
        </is>
      </c>
      <c r="D815" s="0" t="inlineStr">
        <is>
          <t>:</t>
        </is>
      </c>
      <c r="E815" s="0" t="inlineStr">
        <is>
          <t>200.00K</t>
        </is>
      </c>
      <c r="F815" s="0" t="inlineStr">
        <is>
          <t>(8,</t>
        </is>
      </c>
      <c r="G815" s="0" t="inlineStr">
        <is>
          <t>11)</t>
        </is>
      </c>
      <c r="K815" s="0">
        <f>IF(H814="1)",1,IF(H814="2)",2,IF(H814="3)",3,IF(H814="4)",4,IF(H814="5)",5,IF(H814="6)",6,IF(H814="7)",7,IF(H814="8)",8,0))))))))</f>
        <v/>
      </c>
      <c r="L815" s="0">
        <f>IF(H814="1)",J814,IF(H814="2)",J814,IF(H814="3)",J814,IF(H814="4)",J814,IF(H814="5)",J814,IF(H814="6)",J814,IF(H814="7)",J814,IF(H814="8)",J814,0))))))))</f>
        <v/>
      </c>
    </row>
    <row r="816">
      <c r="A816" s="0" t="inlineStr">
        <is>
          <t>New</t>
        </is>
      </c>
      <c r="B816" s="0" t="inlineStr">
        <is>
          <t>Item</t>
        </is>
      </c>
      <c r="C816" s="0" t="inlineStr">
        <is>
          <t>Acquired</t>
        </is>
      </c>
      <c r="D816" s="0" t="inlineStr">
        <is>
          <t>:</t>
        </is>
      </c>
      <c r="E816" s="0" t="inlineStr">
        <is>
          <t>37.50K</t>
        </is>
      </c>
      <c r="F816" s="0" t="inlineStr">
        <is>
          <t>(2,</t>
        </is>
      </c>
      <c r="G816" s="0" t="inlineStr">
        <is>
          <t>14)</t>
        </is>
      </c>
      <c r="K816" s="0">
        <f>IF(H815="1)",1,IF(H815="2)",2,IF(H815="3)",3,IF(H815="4)",4,IF(H815="5)",5,IF(H815="6)",6,IF(H815="7)",7,IF(H815="8)",8,0))))))))</f>
        <v/>
      </c>
      <c r="L816" s="0">
        <f>IF(H815="1)",J815,IF(H815="2)",J815,IF(H815="3)",J815,IF(H815="4)",J815,IF(H815="5)",J815,IF(H815="6)",J815,IF(H815="7)",J815,IF(H815="8)",J815,0))))))))</f>
        <v/>
      </c>
    </row>
    <row r="817">
      <c r="A817" s="0" t="inlineStr">
        <is>
          <t>New</t>
        </is>
      </c>
      <c r="B817" s="0" t="inlineStr">
        <is>
          <t>Item</t>
        </is>
      </c>
      <c r="C817" s="0" t="inlineStr">
        <is>
          <t>Acquired</t>
        </is>
      </c>
      <c r="D817" s="0" t="inlineStr">
        <is>
          <t>:</t>
        </is>
      </c>
      <c r="E817" s="0" t="inlineStr">
        <is>
          <t>150.00K</t>
        </is>
      </c>
      <c r="F817" s="0" t="inlineStr">
        <is>
          <t>(7,</t>
        </is>
      </c>
      <c r="G817" s="0" t="inlineStr">
        <is>
          <t>4)</t>
        </is>
      </c>
      <c r="K817" s="0">
        <f>IF(H816="1)",1,IF(H816="2)",2,IF(H816="3)",3,IF(H816="4)",4,IF(H816="5)",5,IF(H816="6)",6,IF(H816="7)",7,IF(H816="8)",8,0))))))))</f>
        <v/>
      </c>
      <c r="L817" s="0">
        <f>IF(H816="1)",J816,IF(H816="2)",J816,IF(H816="3)",J816,IF(H816="4)",J816,IF(H816="5)",J816,IF(H816="6)",J816,IF(H816="7)",J816,IF(H816="8)",J816,0))))))))</f>
        <v/>
      </c>
    </row>
    <row r="818">
      <c r="A818" s="0" t="inlineStr">
        <is>
          <t>Line</t>
        </is>
      </c>
      <c r="B818" s="0" t="inlineStr">
        <is>
          <t>Prize</t>
        </is>
      </c>
      <c r="C818" s="0" t="inlineStr">
        <is>
          <t>Acquired</t>
        </is>
      </c>
      <c r="D818" s="0" t="inlineStr">
        <is>
          <t>:</t>
        </is>
      </c>
      <c r="E818" s="0" t="inlineStr">
        <is>
          <t>1.08M</t>
        </is>
      </c>
      <c r="F818" s="0" t="inlineStr">
        <is>
          <t>(Stage</t>
        </is>
      </c>
      <c r="G818" s="0" t="inlineStr">
        <is>
          <t>:</t>
        </is>
      </c>
      <c r="H818" s="0" t="inlineStr">
        <is>
          <t>7)</t>
        </is>
      </c>
      <c r="I818" s="0" t="inlineStr">
        <is>
          <t>-</t>
        </is>
      </c>
      <c r="J818" s="0" t="n">
        <v>1080000</v>
      </c>
      <c r="K818" s="0">
        <f>IF(H817="1)",1,IF(H817="2)",2,IF(H817="3)",3,IF(H817="4)",4,IF(H817="5)",5,IF(H817="6)",6,IF(H817="7)",7,IF(H817="8)",8,0))))))))</f>
        <v/>
      </c>
      <c r="L818" s="0">
        <f>IF(H817="1)",J817,IF(H817="2)",J817,IF(H817="3)",J817,IF(H817="4)",J817,IF(H817="5)",J817,IF(H817="6)",J817,IF(H817="7)",J817,IF(H817="8)",J817,0))))))))</f>
        <v/>
      </c>
    </row>
    <row r="819">
      <c r="A819" s="0" t="inlineStr">
        <is>
          <t>Clear</t>
        </is>
      </c>
      <c r="B819" s="0" t="inlineStr">
        <is>
          <t>Gem</t>
        </is>
      </c>
      <c r="C819" s="0" t="inlineStr">
        <is>
          <t>Acquired</t>
        </is>
      </c>
      <c r="D819" s="0" t="inlineStr">
        <is>
          <t>:</t>
        </is>
      </c>
      <c r="E819" s="0" t="n">
        <v>4700</v>
      </c>
      <c r="F819" s="0" t="inlineStr">
        <is>
          <t>-&gt;</t>
        </is>
      </c>
      <c r="G819" s="0" t="n">
        <v>4800</v>
      </c>
      <c r="H819" s="0" t="inlineStr">
        <is>
          <t>(Stage</t>
        </is>
      </c>
      <c r="I819" s="0" t="inlineStr">
        <is>
          <t>:</t>
        </is>
      </c>
      <c r="J819" s="0" t="inlineStr">
        <is>
          <t>7)</t>
        </is>
      </c>
      <c r="K819" s="0">
        <f>IF(H818="1)",1,IF(H818="2)",2,IF(H818="3)",3,IF(H818="4)",4,IF(H818="5)",5,IF(H818="6)",6,IF(H818="7)",7,IF(H818="8)",8,0))))))))</f>
        <v/>
      </c>
      <c r="L819" s="0">
        <f>IF(H818="1)",J818,IF(H818="2)",J818,IF(H818="3)",J818,IF(H818="4)",J818,IF(H818="5)",J818,IF(H818="6)",J818,IF(H818="7)",J818,IF(H818="8)",J818,0))))))))</f>
        <v/>
      </c>
    </row>
    <row r="820">
      <c r="A820" s="0" t="inlineStr">
        <is>
          <t>New</t>
        </is>
      </c>
      <c r="B820" s="0" t="inlineStr">
        <is>
          <t>Item</t>
        </is>
      </c>
      <c r="C820" s="0" t="inlineStr">
        <is>
          <t>Acquired</t>
        </is>
      </c>
      <c r="D820" s="0" t="inlineStr">
        <is>
          <t>:</t>
        </is>
      </c>
      <c r="E820" s="0" t="inlineStr">
        <is>
          <t>Minor</t>
        </is>
      </c>
      <c r="F820" s="0" t="inlineStr">
        <is>
          <t>(7,</t>
        </is>
      </c>
      <c r="G820" s="0" t="inlineStr">
        <is>
          <t>4)</t>
        </is>
      </c>
      <c r="K820" s="0">
        <f>IF(H819="1)",1,IF(H819="2)",2,IF(H819="3)",3,IF(H819="4)",4,IF(H819="5)",5,IF(H819="6)",6,IF(H819="7)",7,IF(H819="8)",8,0))))))))</f>
        <v/>
      </c>
      <c r="L820" s="0">
        <f>IF(H819="1)",J819,IF(H819="2)",J819,IF(H819="3)",J819,IF(H819="4)",J819,IF(H819="5)",J819,IF(H819="6)",J819,IF(H819="7)",J819,IF(H819="8)",J819,0))))))))</f>
        <v/>
      </c>
    </row>
    <row r="821">
      <c r="A821" s="0" t="inlineStr">
        <is>
          <t>New</t>
        </is>
      </c>
      <c r="B821" s="0" t="inlineStr">
        <is>
          <t>Item</t>
        </is>
      </c>
      <c r="C821" s="0" t="inlineStr">
        <is>
          <t>Acquired</t>
        </is>
      </c>
      <c r="D821" s="0" t="inlineStr">
        <is>
          <t>:</t>
        </is>
      </c>
      <c r="E821" s="0" t="inlineStr">
        <is>
          <t>67.50K</t>
        </is>
      </c>
      <c r="F821" s="0" t="inlineStr">
        <is>
          <t>(5,</t>
        </is>
      </c>
      <c r="G821" s="0" t="inlineStr">
        <is>
          <t>1)</t>
        </is>
      </c>
      <c r="K821" s="0">
        <f>IF(H820="1)",1,IF(H820="2)",2,IF(H820="3)",3,IF(H820="4)",4,IF(H820="5)",5,IF(H820="6)",6,IF(H820="7)",7,IF(H820="8)",8,0))))))))</f>
        <v/>
      </c>
      <c r="L821" s="0">
        <f>IF(H820="1)",J820,IF(H820="2)",J820,IF(H820="3)",J820,IF(H820="4)",J820,IF(H820="5)",J820,IF(H820="6)",J820,IF(H820="7)",J820,IF(H820="8)",J820,0))))))))</f>
        <v/>
      </c>
    </row>
    <row r="822">
      <c r="A822" s="0" t="inlineStr">
        <is>
          <t>Line</t>
        </is>
      </c>
      <c r="B822" s="0" t="inlineStr">
        <is>
          <t>Prize</t>
        </is>
      </c>
      <c r="C822" s="0" t="inlineStr">
        <is>
          <t>Acquired</t>
        </is>
      </c>
      <c r="D822" s="0" t="inlineStr">
        <is>
          <t>:</t>
        </is>
      </c>
      <c r="E822" s="0" t="inlineStr">
        <is>
          <t>517.50K</t>
        </is>
      </c>
      <c r="F822" s="0" t="inlineStr">
        <is>
          <t>(Stage</t>
        </is>
      </c>
      <c r="G822" s="0" t="inlineStr">
        <is>
          <t>:</t>
        </is>
      </c>
      <c r="H822" s="0" t="inlineStr">
        <is>
          <t>5)</t>
        </is>
      </c>
      <c r="I822" s="0" t="inlineStr">
        <is>
          <t>-</t>
        </is>
      </c>
      <c r="J822" s="0" t="n">
        <v>517500</v>
      </c>
      <c r="K822" s="0">
        <f>IF(H821="1)",1,IF(H821="2)",2,IF(H821="3)",3,IF(H821="4)",4,IF(H821="5)",5,IF(H821="6)",6,IF(H821="7)",7,IF(H821="8)",8,0))))))))</f>
        <v/>
      </c>
      <c r="L822" s="0">
        <f>IF(H821="1)",J821,IF(H821="2)",J821,IF(H821="3)",J821,IF(H821="4)",J821,IF(H821="5)",J821,IF(H821="6)",J821,IF(H821="7)",J821,IF(H821="8)",J821,0))))))))</f>
        <v/>
      </c>
    </row>
    <row r="823">
      <c r="A823" s="0" t="inlineStr">
        <is>
          <t>Clear</t>
        </is>
      </c>
      <c r="B823" s="0" t="inlineStr">
        <is>
          <t>Gem</t>
        </is>
      </c>
      <c r="C823" s="0" t="inlineStr">
        <is>
          <t>Acquired</t>
        </is>
      </c>
      <c r="D823" s="0" t="inlineStr">
        <is>
          <t>:</t>
        </is>
      </c>
      <c r="E823" s="0" t="n">
        <v>4800</v>
      </c>
      <c r="F823" s="0" t="inlineStr">
        <is>
          <t>-&gt;</t>
        </is>
      </c>
      <c r="G823" s="0" t="n">
        <v>4900</v>
      </c>
      <c r="H823" s="0" t="inlineStr">
        <is>
          <t>(Stage</t>
        </is>
      </c>
      <c r="I823" s="0" t="inlineStr">
        <is>
          <t>:</t>
        </is>
      </c>
      <c r="J823" s="0" t="inlineStr">
        <is>
          <t>5)</t>
        </is>
      </c>
      <c r="K823" s="0">
        <f>IF(H822="1)",1,IF(H822="2)",2,IF(H822="3)",3,IF(H822="4)",4,IF(H822="5)",5,IF(H822="6)",6,IF(H822="7)",7,IF(H822="8)",8,0))))))))</f>
        <v/>
      </c>
      <c r="L823" s="0">
        <f>IF(H822="1)",J822,IF(H822="2)",J822,IF(H822="3)",J822,IF(H822="4)",J822,IF(H822="5)",J822,IF(H822="6)",J822,IF(H822="7)",J822,IF(H822="8)",J822,0))))))))</f>
        <v/>
      </c>
    </row>
    <row r="824">
      <c r="A824" s="0" t="inlineStr">
        <is>
          <t>New</t>
        </is>
      </c>
      <c r="B824" s="0" t="inlineStr">
        <is>
          <t>Item</t>
        </is>
      </c>
      <c r="C824" s="0" t="inlineStr">
        <is>
          <t>Acquired</t>
        </is>
      </c>
      <c r="D824" s="0" t="inlineStr">
        <is>
          <t>:</t>
        </is>
      </c>
      <c r="E824" s="0" t="inlineStr">
        <is>
          <t>280.00K</t>
        </is>
      </c>
      <c r="F824" s="0" t="inlineStr">
        <is>
          <t>(8,</t>
        </is>
      </c>
      <c r="G824" s="0" t="inlineStr">
        <is>
          <t>2)</t>
        </is>
      </c>
      <c r="K824" s="0">
        <f>IF(H823="1)",1,IF(H823="2)",2,IF(H823="3)",3,IF(H823="4)",4,IF(H823="5)",5,IF(H823="6)",6,IF(H823="7)",7,IF(H823="8)",8,0))))))))</f>
        <v/>
      </c>
      <c r="L824" s="0">
        <f>IF(H823="1)",J823,IF(H823="2)",J823,IF(H823="3)",J823,IF(H823="4)",J823,IF(H823="5)",J823,IF(H823="6)",J823,IF(H823="7)",J823,IF(H823="8)",J823,0))))))))</f>
        <v/>
      </c>
    </row>
    <row r="825">
      <c r="A825" s="0" t="inlineStr">
        <is>
          <t>New</t>
        </is>
      </c>
      <c r="B825" s="0" t="inlineStr">
        <is>
          <t>Item</t>
        </is>
      </c>
      <c r="C825" s="0" t="inlineStr">
        <is>
          <t>Acquired</t>
        </is>
      </c>
      <c r="D825" s="0" t="inlineStr">
        <is>
          <t>:</t>
        </is>
      </c>
      <c r="E825" s="0" t="inlineStr">
        <is>
          <t>70.00K</t>
        </is>
      </c>
      <c r="F825" s="0" t="inlineStr">
        <is>
          <t>(1,</t>
        </is>
      </c>
      <c r="G825" s="0" t="inlineStr">
        <is>
          <t>9)</t>
        </is>
      </c>
      <c r="K825" s="0">
        <f>IF(H824="1)",1,IF(H824="2)",2,IF(H824="3)",3,IF(H824="4)",4,IF(H824="5)",5,IF(H824="6)",6,IF(H824="7)",7,IF(H824="8)",8,0))))))))</f>
        <v/>
      </c>
      <c r="L825" s="0">
        <f>IF(H824="1)",J824,IF(H824="2)",J824,IF(H824="3)",J824,IF(H824="4)",J824,IF(H824="5)",J824,IF(H824="6)",J824,IF(H824="7)",J824,IF(H824="8)",J824,0))))))))</f>
        <v/>
      </c>
    </row>
    <row r="826">
      <c r="A826" s="0" t="inlineStr">
        <is>
          <t>New</t>
        </is>
      </c>
      <c r="B826" s="0" t="inlineStr">
        <is>
          <t>Item</t>
        </is>
      </c>
      <c r="C826" s="0" t="inlineStr">
        <is>
          <t>Acquired</t>
        </is>
      </c>
      <c r="D826" s="0" t="inlineStr">
        <is>
          <t>:</t>
        </is>
      </c>
      <c r="E826" s="0" t="inlineStr">
        <is>
          <t>75.00K</t>
        </is>
      </c>
      <c r="F826" s="0" t="inlineStr">
        <is>
          <t>(6,</t>
        </is>
      </c>
      <c r="G826" s="0" t="inlineStr">
        <is>
          <t>16)</t>
        </is>
      </c>
      <c r="K826" s="0">
        <f>IF(H825="1)",1,IF(H825="2)",2,IF(H825="3)",3,IF(H825="4)",4,IF(H825="5)",5,IF(H825="6)",6,IF(H825="7)",7,IF(H825="8)",8,0))))))))</f>
        <v/>
      </c>
      <c r="L826" s="0">
        <f>IF(H825="1)",J825,IF(H825="2)",J825,IF(H825="3)",J825,IF(H825="4)",J825,IF(H825="5)",J825,IF(H825="6)",J825,IF(H825="7)",J825,IF(H825="8)",J825,0))))))))</f>
        <v/>
      </c>
    </row>
    <row r="827">
      <c r="A827" s="0" t="inlineStr">
        <is>
          <t>New</t>
        </is>
      </c>
      <c r="B827" s="0" t="inlineStr">
        <is>
          <t>Item</t>
        </is>
      </c>
      <c r="C827" s="0" t="inlineStr">
        <is>
          <t>Acquired</t>
        </is>
      </c>
      <c r="D827" s="0" t="inlineStr">
        <is>
          <t>:</t>
        </is>
      </c>
      <c r="E827" s="0" t="inlineStr">
        <is>
          <t>30.00K</t>
        </is>
      </c>
      <c r="F827" s="0" t="inlineStr">
        <is>
          <t>(1,</t>
        </is>
      </c>
      <c r="G827" s="0" t="inlineStr">
        <is>
          <t>16)</t>
        </is>
      </c>
      <c r="K827" s="0">
        <f>IF(H826="1)",1,IF(H826="2)",2,IF(H826="3)",3,IF(H826="4)",4,IF(H826="5)",5,IF(H826="6)",6,IF(H826="7)",7,IF(H826="8)",8,0))))))))</f>
        <v/>
      </c>
      <c r="L827" s="0">
        <f>IF(H826="1)",J826,IF(H826="2)",J826,IF(H826="3)",J826,IF(H826="4)",J826,IF(H826="5)",J826,IF(H826="6)",J826,IF(H826="7)",J826,IF(H826="8)",J826,0))))))))</f>
        <v/>
      </c>
    </row>
    <row r="828">
      <c r="A828" s="0" t="inlineStr">
        <is>
          <t>New</t>
        </is>
      </c>
      <c r="B828" s="0" t="inlineStr">
        <is>
          <t>Item</t>
        </is>
      </c>
      <c r="C828" s="0" t="inlineStr">
        <is>
          <t>Acquired</t>
        </is>
      </c>
      <c r="D828" s="0" t="inlineStr">
        <is>
          <t>:</t>
        </is>
      </c>
      <c r="E828" s="0" t="inlineStr">
        <is>
          <t>45.00K</t>
        </is>
      </c>
      <c r="F828" s="0" t="inlineStr">
        <is>
          <t>(3,</t>
        </is>
      </c>
      <c r="G828" s="0" t="inlineStr">
        <is>
          <t>20)</t>
        </is>
      </c>
      <c r="K828" s="0">
        <f>IF(H827="1)",1,IF(H827="2)",2,IF(H827="3)",3,IF(H827="4)",4,IF(H827="5)",5,IF(H827="6)",6,IF(H827="7)",7,IF(H827="8)",8,0))))))))</f>
        <v/>
      </c>
      <c r="L828" s="0">
        <f>IF(H827="1)",J827,IF(H827="2)",J827,IF(H827="3)",J827,IF(H827="4)",J827,IF(H827="5)",J827,IF(H827="6)",J827,IF(H827="7)",J827,IF(H827="8)",J827,0))))))))</f>
        <v/>
      </c>
    </row>
    <row r="829">
      <c r="A829" s="0" t="inlineStr">
        <is>
          <t>New</t>
        </is>
      </c>
      <c r="B829" s="0" t="inlineStr">
        <is>
          <t>Item</t>
        </is>
      </c>
      <c r="C829" s="0" t="inlineStr">
        <is>
          <t>Acquired</t>
        </is>
      </c>
      <c r="D829" s="0" t="inlineStr">
        <is>
          <t>:</t>
        </is>
      </c>
      <c r="E829" s="0" t="inlineStr">
        <is>
          <t>75.00K</t>
        </is>
      </c>
      <c r="F829" s="0" t="inlineStr">
        <is>
          <t>(3,</t>
        </is>
      </c>
      <c r="G829" s="0" t="inlineStr">
        <is>
          <t>19)</t>
        </is>
      </c>
      <c r="K829" s="0">
        <f>IF(H828="1)",1,IF(H828="2)",2,IF(H828="3)",3,IF(H828="4)",4,IF(H828="5)",5,IF(H828="6)",6,IF(H828="7)",7,IF(H828="8)",8,0))))))))</f>
        <v/>
      </c>
      <c r="L829" s="0">
        <f>IF(H828="1)",J828,IF(H828="2)",J828,IF(H828="3)",J828,IF(H828="4)",J828,IF(H828="5)",J828,IF(H828="6)",J828,IF(H828="7)",J828,IF(H828="8)",J828,0))))))))</f>
        <v/>
      </c>
    </row>
    <row r="830">
      <c r="A830" s="0" t="inlineStr">
        <is>
          <t>New</t>
        </is>
      </c>
      <c r="B830" s="0" t="inlineStr">
        <is>
          <t>Item</t>
        </is>
      </c>
      <c r="C830" s="0" t="inlineStr">
        <is>
          <t>Acquired</t>
        </is>
      </c>
      <c r="D830" s="0" t="inlineStr">
        <is>
          <t>:</t>
        </is>
      </c>
      <c r="E830" s="0" t="inlineStr">
        <is>
          <t>62.50K</t>
        </is>
      </c>
      <c r="F830" s="0" t="inlineStr">
        <is>
          <t>(2,</t>
        </is>
      </c>
      <c r="G830" s="0" t="inlineStr">
        <is>
          <t>25)</t>
        </is>
      </c>
      <c r="K830" s="0">
        <f>IF(H829="1)",1,IF(H829="2)",2,IF(H829="3)",3,IF(H829="4)",4,IF(H829="5)",5,IF(H829="6)",6,IF(H829="7)",7,IF(H829="8)",8,0))))))))</f>
        <v/>
      </c>
      <c r="L830" s="0">
        <f>IF(H829="1)",J829,IF(H829="2)",J829,IF(H829="3)",J829,IF(H829="4)",J829,IF(H829="5)",J829,IF(H829="6)",J829,IF(H829="7)",J829,IF(H829="8)",J829,0))))))))</f>
        <v/>
      </c>
    </row>
    <row r="831">
      <c r="A831" s="0" t="inlineStr">
        <is>
          <t>New</t>
        </is>
      </c>
      <c r="B831" s="0" t="inlineStr">
        <is>
          <t>Item</t>
        </is>
      </c>
      <c r="C831" s="0" t="inlineStr">
        <is>
          <t>Acquired</t>
        </is>
      </c>
      <c r="D831" s="0" t="inlineStr">
        <is>
          <t>:</t>
        </is>
      </c>
      <c r="E831" s="0" t="inlineStr">
        <is>
          <t>67.50K</t>
        </is>
      </c>
      <c r="F831" s="0" t="inlineStr">
        <is>
          <t>(5,</t>
        </is>
      </c>
      <c r="G831" s="0" t="inlineStr">
        <is>
          <t>20)</t>
        </is>
      </c>
      <c r="K831" s="0">
        <f>IF(H830="1)",1,IF(H830="2)",2,IF(H830="3)",3,IF(H830="4)",4,IF(H830="5)",5,IF(H830="6)",6,IF(H830="7)",7,IF(H830="8)",8,0))))))))</f>
        <v/>
      </c>
      <c r="L831" s="0">
        <f>IF(H830="1)",J830,IF(H830="2)",J830,IF(H830="3)",J830,IF(H830="4)",J830,IF(H830="5)",J830,IF(H830="6)",J830,IF(H830="7)",J830,IF(H830="8)",J830,0))))))))</f>
        <v/>
      </c>
    </row>
    <row r="832">
      <c r="A832" s="0" t="inlineStr">
        <is>
          <t>Item</t>
        </is>
      </c>
      <c r="B832" s="0" t="inlineStr">
        <is>
          <t>ReSelect</t>
        </is>
      </c>
      <c r="C832" s="0" t="inlineStr">
        <is>
          <t>Failed</t>
        </is>
      </c>
      <c r="D832" s="0" t="inlineStr">
        <is>
          <t>:</t>
        </is>
      </c>
      <c r="E832" s="0" t="inlineStr">
        <is>
          <t>Attempt</t>
        </is>
      </c>
      <c r="F832" s="0" t="inlineStr">
        <is>
          <t>Count</t>
        </is>
      </c>
      <c r="G832" s="0" t="inlineStr">
        <is>
          <t>-</t>
        </is>
      </c>
      <c r="H832" s="0" t="n">
        <v>3</v>
      </c>
      <c r="K832" s="0">
        <f>IF(H831="1)",1,IF(H831="2)",2,IF(H831="3)",3,IF(H831="4)",4,IF(H831="5)",5,IF(H831="6)",6,IF(H831="7)",7,IF(H831="8)",8,0))))))))</f>
        <v/>
      </c>
      <c r="L832" s="0">
        <f>IF(H831="1)",J831,IF(H831="2)",J831,IF(H831="3)",J831,IF(H831="4)",J831,IF(H831="5)",J831,IF(H831="6)",J831,IF(H831="7)",J831,IF(H831="8)",J831,0))))))))</f>
        <v/>
      </c>
    </row>
    <row r="833">
      <c r="A833" s="0" t="inlineStr">
        <is>
          <t>New</t>
        </is>
      </c>
      <c r="B833" s="0" t="inlineStr">
        <is>
          <t>Item</t>
        </is>
      </c>
      <c r="C833" s="0" t="inlineStr">
        <is>
          <t>Acquired</t>
        </is>
      </c>
      <c r="D833" s="0" t="inlineStr">
        <is>
          <t>:</t>
        </is>
      </c>
      <c r="E833" s="0" t="inlineStr">
        <is>
          <t>Minor</t>
        </is>
      </c>
      <c r="F833" s="0" t="inlineStr">
        <is>
          <t>(8,</t>
        </is>
      </c>
      <c r="G833" s="0" t="inlineStr">
        <is>
          <t>18)</t>
        </is>
      </c>
      <c r="K833" s="0">
        <f>IF(H832="1)",1,IF(H832="2)",2,IF(H832="3)",3,IF(H832="4)",4,IF(H832="5)",5,IF(H832="6)",6,IF(H832="7)",7,IF(H832="8)",8,0))))))))</f>
        <v/>
      </c>
      <c r="L833" s="0">
        <f>IF(H832="1)",J832,IF(H832="2)",J832,IF(H832="3)",J832,IF(H832="4)",J832,IF(H832="5)",J832,IF(H832="6)",J832,IF(H832="7)",J832,IF(H832="8)",J832,0))))))))</f>
        <v/>
      </c>
    </row>
    <row r="834">
      <c r="A834" s="0" t="inlineStr">
        <is>
          <t>New</t>
        </is>
      </c>
      <c r="B834" s="0" t="inlineStr">
        <is>
          <t>Item</t>
        </is>
      </c>
      <c r="C834" s="0" t="inlineStr">
        <is>
          <t>Acquired</t>
        </is>
      </c>
      <c r="D834" s="0" t="inlineStr">
        <is>
          <t>:</t>
        </is>
      </c>
      <c r="E834" s="0" t="inlineStr">
        <is>
          <t>280.00K</t>
        </is>
      </c>
      <c r="F834" s="0" t="inlineStr">
        <is>
          <t>(8,</t>
        </is>
      </c>
      <c r="G834" s="0" t="inlineStr">
        <is>
          <t>23)</t>
        </is>
      </c>
      <c r="K834" s="0">
        <f>IF(H833="1)",1,IF(H833="2)",2,IF(H833="3)",3,IF(H833="4)",4,IF(H833="5)",5,IF(H833="6)",6,IF(H833="7)",7,IF(H833="8)",8,0))))))))</f>
        <v/>
      </c>
      <c r="L834" s="0">
        <f>IF(H833="1)",J833,IF(H833="2)",J833,IF(H833="3)",J833,IF(H833="4)",J833,IF(H833="5)",J833,IF(H833="6)",J833,IF(H833="7)",J833,IF(H833="8)",J833,0))))))))</f>
        <v/>
      </c>
    </row>
    <row r="835">
      <c r="A835" s="0" t="inlineStr">
        <is>
          <t>New</t>
        </is>
      </c>
      <c r="B835" s="0" t="inlineStr">
        <is>
          <t>Item</t>
        </is>
      </c>
      <c r="C835" s="0" t="inlineStr">
        <is>
          <t>Acquired</t>
        </is>
      </c>
      <c r="D835" s="0" t="inlineStr">
        <is>
          <t>:</t>
        </is>
      </c>
      <c r="E835" s="0" t="inlineStr">
        <is>
          <t>75.00K</t>
        </is>
      </c>
      <c r="F835" s="0" t="inlineStr">
        <is>
          <t>(3,</t>
        </is>
      </c>
      <c r="G835" s="0" t="inlineStr">
        <is>
          <t>8)</t>
        </is>
      </c>
      <c r="K835" s="0">
        <f>IF(H834="1)",1,IF(H834="2)",2,IF(H834="3)",3,IF(H834="4)",4,IF(H834="5)",5,IF(H834="6)",6,IF(H834="7)",7,IF(H834="8)",8,0))))))))</f>
        <v/>
      </c>
      <c r="L835" s="0">
        <f>IF(H834="1)",J834,IF(H834="2)",J834,IF(H834="3)",J834,IF(H834="4)",J834,IF(H834="5)",J834,IF(H834="6)",J834,IF(H834="7)",J834,IF(H834="8)",J834,0))))))))</f>
        <v/>
      </c>
    </row>
    <row r="836">
      <c r="A836" s="0" t="inlineStr">
        <is>
          <t>New</t>
        </is>
      </c>
      <c r="B836" s="0" t="inlineStr">
        <is>
          <t>Item</t>
        </is>
      </c>
      <c r="C836" s="0" t="inlineStr">
        <is>
          <t>Acquired</t>
        </is>
      </c>
      <c r="D836" s="0" t="inlineStr">
        <is>
          <t>:</t>
        </is>
      </c>
      <c r="E836" s="0" t="inlineStr">
        <is>
          <t>280.00K</t>
        </is>
      </c>
      <c r="F836" s="0" t="inlineStr">
        <is>
          <t>(8,</t>
        </is>
      </c>
      <c r="G836" s="0" t="inlineStr">
        <is>
          <t>24)</t>
        </is>
      </c>
      <c r="K836" s="0">
        <f>IF(H835="1)",1,IF(H835="2)",2,IF(H835="3)",3,IF(H835="4)",4,IF(H835="5)",5,IF(H835="6)",6,IF(H835="7)",7,IF(H835="8)",8,0))))))))</f>
        <v/>
      </c>
      <c r="L836" s="0">
        <f>IF(H835="1)",J835,IF(H835="2)",J835,IF(H835="3)",J835,IF(H835="4)",J835,IF(H835="5)",J835,IF(H835="6)",J835,IF(H835="7)",J835,IF(H835="8)",J835,0))))))))</f>
        <v/>
      </c>
    </row>
    <row r="837">
      <c r="A837" s="0" t="inlineStr">
        <is>
          <t>New</t>
        </is>
      </c>
      <c r="B837" s="0" t="inlineStr">
        <is>
          <t>Item</t>
        </is>
      </c>
      <c r="C837" s="0" t="inlineStr">
        <is>
          <t>Acquired</t>
        </is>
      </c>
      <c r="D837" s="0" t="inlineStr">
        <is>
          <t>:</t>
        </is>
      </c>
      <c r="E837" s="0" t="inlineStr">
        <is>
          <t>Minor</t>
        </is>
      </c>
      <c r="F837" s="0" t="inlineStr">
        <is>
          <t>(6,</t>
        </is>
      </c>
      <c r="G837" s="0" t="inlineStr">
        <is>
          <t>2)</t>
        </is>
      </c>
      <c r="K837" s="0">
        <f>IF(H836="1)",1,IF(H836="2)",2,IF(H836="3)",3,IF(H836="4)",4,IF(H836="5)",5,IF(H836="6)",6,IF(H836="7)",7,IF(H836="8)",8,0))))))))</f>
        <v/>
      </c>
      <c r="L837" s="0">
        <f>IF(H836="1)",J836,IF(H836="2)",J836,IF(H836="3)",J836,IF(H836="4)",J836,IF(H836="5)",J836,IF(H836="6)",J836,IF(H836="7)",J836,IF(H836="8)",J836,0))))))))</f>
        <v/>
      </c>
    </row>
    <row r="838">
      <c r="A838" s="0" t="inlineStr">
        <is>
          <t>New</t>
        </is>
      </c>
      <c r="B838" s="0" t="inlineStr">
        <is>
          <t>Item</t>
        </is>
      </c>
      <c r="C838" s="0" t="inlineStr">
        <is>
          <t>Acquired</t>
        </is>
      </c>
      <c r="D838" s="0" t="inlineStr">
        <is>
          <t>:</t>
        </is>
      </c>
      <c r="E838" s="0" t="inlineStr">
        <is>
          <t>30.00K</t>
        </is>
      </c>
      <c r="F838" s="0" t="inlineStr">
        <is>
          <t>(1,</t>
        </is>
      </c>
      <c r="G838" s="0" t="inlineStr">
        <is>
          <t>21)</t>
        </is>
      </c>
      <c r="K838" s="0">
        <f>IF(H837="1)",1,IF(H837="2)",2,IF(H837="3)",3,IF(H837="4)",4,IF(H837="5)",5,IF(H837="6)",6,IF(H837="7)",7,IF(H837="8)",8,0))))))))</f>
        <v/>
      </c>
      <c r="L838" s="0">
        <f>IF(H837="1)",J837,IF(H837="2)",J837,IF(H837="3)",J837,IF(H837="4)",J837,IF(H837="5)",J837,IF(H837="6)",J837,IF(H837="7)",J837,IF(H837="8)",J837,0))))))))</f>
        <v/>
      </c>
    </row>
    <row r="839">
      <c r="A839" s="0" t="inlineStr">
        <is>
          <t>Line</t>
        </is>
      </c>
      <c r="B839" s="0" t="inlineStr">
        <is>
          <t>Prize</t>
        </is>
      </c>
      <c r="C839" s="0" t="inlineStr">
        <is>
          <t>Acquired</t>
        </is>
      </c>
      <c r="D839" s="0" t="inlineStr">
        <is>
          <t>:</t>
        </is>
      </c>
      <c r="E839" s="0" t="inlineStr">
        <is>
          <t>170.00K</t>
        </is>
      </c>
      <c r="F839" s="0" t="inlineStr">
        <is>
          <t>(Stage</t>
        </is>
      </c>
      <c r="G839" s="0" t="inlineStr">
        <is>
          <t>:</t>
        </is>
      </c>
      <c r="H839" s="0" t="inlineStr">
        <is>
          <t>1)</t>
        </is>
      </c>
      <c r="I839" s="0" t="inlineStr">
        <is>
          <t>-</t>
        </is>
      </c>
      <c r="J839" s="0" t="n">
        <v>170000</v>
      </c>
      <c r="K839" s="0">
        <f>IF(H838="1)",1,IF(H838="2)",2,IF(H838="3)",3,IF(H838="4)",4,IF(H838="5)",5,IF(H838="6)",6,IF(H838="7)",7,IF(H838="8)",8,0))))))))</f>
        <v/>
      </c>
      <c r="L839" s="0">
        <f>IF(H838="1)",J838,IF(H838="2)",J838,IF(H838="3)",J838,IF(H838="4)",J838,IF(H838="5)",J838,IF(H838="6)",J838,IF(H838="7)",J838,IF(H838="8)",J838,0))))))))</f>
        <v/>
      </c>
    </row>
    <row r="840">
      <c r="A840" s="0" t="inlineStr">
        <is>
          <t>Clear</t>
        </is>
      </c>
      <c r="B840" s="0" t="inlineStr">
        <is>
          <t>Gem</t>
        </is>
      </c>
      <c r="C840" s="0" t="inlineStr">
        <is>
          <t>Acquired</t>
        </is>
      </c>
      <c r="D840" s="0" t="inlineStr">
        <is>
          <t>:</t>
        </is>
      </c>
      <c r="E840" s="0" t="n">
        <v>4900</v>
      </c>
      <c r="F840" s="0" t="inlineStr">
        <is>
          <t>-&gt;</t>
        </is>
      </c>
      <c r="G840" s="0" t="n">
        <v>5000</v>
      </c>
      <c r="H840" s="0" t="inlineStr">
        <is>
          <t>(Stage</t>
        </is>
      </c>
      <c r="I840" s="0" t="inlineStr">
        <is>
          <t>:</t>
        </is>
      </c>
      <c r="J840" s="0" t="inlineStr">
        <is>
          <t>1)</t>
        </is>
      </c>
      <c r="K840" s="0">
        <f>IF(H839="1)",1,IF(H839="2)",2,IF(H839="3)",3,IF(H839="4)",4,IF(H839="5)",5,IF(H839="6)",6,IF(H839="7)",7,IF(H839="8)",8,0))))))))</f>
        <v/>
      </c>
      <c r="L840" s="0">
        <f>IF(H839="1)",J839,IF(H839="2)",J839,IF(H839="3)",J839,IF(H839="4)",J839,IF(H839="5)",J839,IF(H839="6)",J839,IF(H839="7)",J839,IF(H839="8)",J839,0))))))))</f>
        <v/>
      </c>
    </row>
    <row r="841">
      <c r="A841" s="0" t="inlineStr">
        <is>
          <t>New</t>
        </is>
      </c>
      <c r="B841" s="0" t="inlineStr">
        <is>
          <t>Item</t>
        </is>
      </c>
      <c r="C841" s="0" t="inlineStr">
        <is>
          <t>Acquired</t>
        </is>
      </c>
      <c r="D841" s="0" t="inlineStr">
        <is>
          <t>:</t>
        </is>
      </c>
      <c r="E841" s="0" t="inlineStr">
        <is>
          <t>105.00K</t>
        </is>
      </c>
      <c r="F841" s="0" t="inlineStr">
        <is>
          <t>(3,</t>
        </is>
      </c>
      <c r="G841" s="0" t="inlineStr">
        <is>
          <t>23)</t>
        </is>
      </c>
      <c r="K841" s="0">
        <f>IF(H840="1)",1,IF(H840="2)",2,IF(H840="3)",3,IF(H840="4)",4,IF(H840="5)",5,IF(H840="6)",6,IF(H840="7)",7,IF(H840="8)",8,0))))))))</f>
        <v/>
      </c>
      <c r="L841" s="0">
        <f>IF(H840="1)",J840,IF(H840="2)",J840,IF(H840="3)",J840,IF(H840="4)",J840,IF(H840="5)",J840,IF(H840="6)",J840,IF(H840="7)",J840,IF(H840="8)",J840,0))))))))</f>
        <v/>
      </c>
    </row>
    <row r="842">
      <c r="A842" s="0" t="inlineStr">
        <is>
          <t>New</t>
        </is>
      </c>
      <c r="B842" s="0" t="inlineStr">
        <is>
          <t>Item</t>
        </is>
      </c>
      <c r="C842" s="0" t="inlineStr">
        <is>
          <t>Acquired</t>
        </is>
      </c>
      <c r="D842" s="0" t="inlineStr">
        <is>
          <t>:</t>
        </is>
      </c>
      <c r="E842" s="0" t="inlineStr">
        <is>
          <t>125.00K</t>
        </is>
      </c>
      <c r="F842" s="0" t="inlineStr">
        <is>
          <t>(6,</t>
        </is>
      </c>
      <c r="G842" s="0" t="inlineStr">
        <is>
          <t>3)</t>
        </is>
      </c>
      <c r="K842" s="0">
        <f>IF(H841="1)",1,IF(H841="2)",2,IF(H841="3)",3,IF(H841="4)",4,IF(H841="5)",5,IF(H841="6)",6,IF(H841="7)",7,IF(H841="8)",8,0))))))))</f>
        <v/>
      </c>
      <c r="L842" s="0">
        <f>IF(H841="1)",J841,IF(H841="2)",J841,IF(H841="3)",J841,IF(H841="4)",J841,IF(H841="5)",J841,IF(H841="6)",J841,IF(H841="7)",J841,IF(H841="8)",J841,0))))))))</f>
        <v/>
      </c>
    </row>
    <row r="843">
      <c r="A843" s="0" t="inlineStr">
        <is>
          <t>Line</t>
        </is>
      </c>
      <c r="B843" s="0" t="inlineStr">
        <is>
          <t>Prize</t>
        </is>
      </c>
      <c r="C843" s="0" t="inlineStr">
        <is>
          <t>Acquired</t>
        </is>
      </c>
      <c r="D843" s="0" t="inlineStr">
        <is>
          <t>:</t>
        </is>
      </c>
      <c r="E843" s="0" t="inlineStr">
        <is>
          <t>1.15M</t>
        </is>
      </c>
      <c r="F843" s="0" t="inlineStr">
        <is>
          <t>(Stage</t>
        </is>
      </c>
      <c r="G843" s="0" t="inlineStr">
        <is>
          <t>:</t>
        </is>
      </c>
      <c r="H843" s="0" t="inlineStr">
        <is>
          <t>6)</t>
        </is>
      </c>
      <c r="I843" s="0" t="inlineStr">
        <is>
          <t>-</t>
        </is>
      </c>
      <c r="J843" s="0" t="n">
        <v>1150000</v>
      </c>
      <c r="K843" s="0">
        <f>IF(H842="1)",1,IF(H842="2)",2,IF(H842="3)",3,IF(H842="4)",4,IF(H842="5)",5,IF(H842="6)",6,IF(H842="7)",7,IF(H842="8)",8,0))))))))</f>
        <v/>
      </c>
      <c r="L843" s="0">
        <f>IF(H842="1)",J842,IF(H842="2)",J842,IF(H842="3)",J842,IF(H842="4)",J842,IF(H842="5)",J842,IF(H842="6)",J842,IF(H842="7)",J842,IF(H842="8)",J842,0))))))))</f>
        <v/>
      </c>
    </row>
    <row r="844">
      <c r="A844" s="0" t="inlineStr">
        <is>
          <t>Clear</t>
        </is>
      </c>
      <c r="B844" s="0" t="inlineStr">
        <is>
          <t>Gem</t>
        </is>
      </c>
      <c r="C844" s="0" t="inlineStr">
        <is>
          <t>Acquired</t>
        </is>
      </c>
      <c r="D844" s="0" t="inlineStr">
        <is>
          <t>:</t>
        </is>
      </c>
      <c r="E844" s="0" t="n">
        <v>5000</v>
      </c>
      <c r="F844" s="0" t="inlineStr">
        <is>
          <t>-&gt;</t>
        </is>
      </c>
      <c r="G844" s="0" t="n">
        <v>5100</v>
      </c>
      <c r="H844" s="0" t="inlineStr">
        <is>
          <t>(Stage</t>
        </is>
      </c>
      <c r="I844" s="0" t="inlineStr">
        <is>
          <t>:</t>
        </is>
      </c>
      <c r="J844" s="0" t="inlineStr">
        <is>
          <t>6)</t>
        </is>
      </c>
      <c r="K844" s="0">
        <f>IF(H843="1)",1,IF(H843="2)",2,IF(H843="3)",3,IF(H843="4)",4,IF(H843="5)",5,IF(H843="6)",6,IF(H843="7)",7,IF(H843="8)",8,0))))))))</f>
        <v/>
      </c>
      <c r="L844" s="0">
        <f>IF(H843="1)",J843,IF(H843="2)",J843,IF(H843="3)",J843,IF(H843="4)",J843,IF(H843="5)",J843,IF(H843="6)",J843,IF(H843="7)",J843,IF(H843="8)",J843,0))))))))</f>
        <v/>
      </c>
    </row>
    <row r="845">
      <c r="A845" s="0" t="inlineStr">
        <is>
          <t>New</t>
        </is>
      </c>
      <c r="B845" s="0" t="inlineStr">
        <is>
          <t>Item</t>
        </is>
      </c>
      <c r="C845" s="0" t="inlineStr">
        <is>
          <t>Acquired</t>
        </is>
      </c>
      <c r="D845" s="0" t="inlineStr">
        <is>
          <t>:</t>
        </is>
      </c>
      <c r="E845" s="0" t="inlineStr">
        <is>
          <t>90.00K</t>
        </is>
      </c>
      <c r="F845" s="0" t="inlineStr">
        <is>
          <t>(7,</t>
        </is>
      </c>
      <c r="G845" s="0" t="inlineStr">
        <is>
          <t>14)</t>
        </is>
      </c>
      <c r="K845" s="0">
        <f>IF(H844="1)",1,IF(H844="2)",2,IF(H844="3)",3,IF(H844="4)",4,IF(H844="5)",5,IF(H844="6)",6,IF(H844="7)",7,IF(H844="8)",8,0))))))))</f>
        <v/>
      </c>
      <c r="L845" s="0">
        <f>IF(H844="1)",J844,IF(H844="2)",J844,IF(H844="3)",J844,IF(H844="4)",J844,IF(H844="5)",J844,IF(H844="6)",J844,IF(H844="7)",J844,IF(H844="8)",J844,0))))))))</f>
        <v/>
      </c>
    </row>
    <row r="846">
      <c r="A846" s="0" t="inlineStr">
        <is>
          <t>New</t>
        </is>
      </c>
      <c r="B846" s="0" t="inlineStr">
        <is>
          <t>Item</t>
        </is>
      </c>
      <c r="C846" s="0" t="inlineStr">
        <is>
          <t>Acquired</t>
        </is>
      </c>
      <c r="D846" s="0" t="inlineStr">
        <is>
          <t>:</t>
        </is>
      </c>
      <c r="E846" s="0" t="inlineStr">
        <is>
          <t>125.00K</t>
        </is>
      </c>
      <c r="F846" s="0" t="inlineStr">
        <is>
          <t>(6,</t>
        </is>
      </c>
      <c r="G846" s="0" t="inlineStr">
        <is>
          <t>8)</t>
        </is>
      </c>
      <c r="K846" s="0">
        <f>IF(H845="1)",1,IF(H845="2)",2,IF(H845="3)",3,IF(H845="4)",4,IF(H845="5)",5,IF(H845="6)",6,IF(H845="7)",7,IF(H845="8)",8,0))))))))</f>
        <v/>
      </c>
      <c r="L846" s="0">
        <f>IF(H845="1)",J845,IF(H845="2)",J845,IF(H845="3)",J845,IF(H845="4)",J845,IF(H845="5)",J845,IF(H845="6)",J845,IF(H845="7)",J845,IF(H845="8)",J845,0))))))))</f>
        <v/>
      </c>
    </row>
    <row r="847">
      <c r="A847" s="0" t="inlineStr">
        <is>
          <t>New</t>
        </is>
      </c>
      <c r="B847" s="0" t="inlineStr">
        <is>
          <t>Item</t>
        </is>
      </c>
      <c r="C847" s="0" t="inlineStr">
        <is>
          <t>Acquired</t>
        </is>
      </c>
      <c r="D847" s="0" t="inlineStr">
        <is>
          <t>:</t>
        </is>
      </c>
      <c r="E847" s="0" t="inlineStr">
        <is>
          <t>75.00K</t>
        </is>
      </c>
      <c r="F847" s="0" t="inlineStr">
        <is>
          <t>(4,</t>
        </is>
      </c>
      <c r="G847" s="0" t="inlineStr">
        <is>
          <t>24)</t>
        </is>
      </c>
      <c r="K847" s="0">
        <f>IF(H846="1)",1,IF(H846="2)",2,IF(H846="3)",3,IF(H846="4)",4,IF(H846="5)",5,IF(H846="6)",6,IF(H846="7)",7,IF(H846="8)",8,0))))))))</f>
        <v/>
      </c>
      <c r="L847" s="0">
        <f>IF(H846="1)",J846,IF(H846="2)",J846,IF(H846="3)",J846,IF(H846="4)",J846,IF(H846="5)",J846,IF(H846="6)",J846,IF(H846="7)",J846,IF(H846="8)",J846,0))))))))</f>
        <v/>
      </c>
    </row>
    <row r="848">
      <c r="A848" s="0" t="inlineStr">
        <is>
          <t>Line</t>
        </is>
      </c>
      <c r="B848" s="0" t="inlineStr">
        <is>
          <t>Prize</t>
        </is>
      </c>
      <c r="C848" s="0" t="inlineStr">
        <is>
          <t>Acquired</t>
        </is>
      </c>
      <c r="D848" s="0" t="inlineStr">
        <is>
          <t>:</t>
        </is>
      </c>
      <c r="E848" s="0" t="inlineStr">
        <is>
          <t>360.00K</t>
        </is>
      </c>
      <c r="F848" s="0" t="inlineStr">
        <is>
          <t>(Stage</t>
        </is>
      </c>
      <c r="G848" s="0" t="inlineStr">
        <is>
          <t>:</t>
        </is>
      </c>
      <c r="H848" s="0" t="inlineStr">
        <is>
          <t>4)</t>
        </is>
      </c>
      <c r="I848" s="0" t="inlineStr">
        <is>
          <t>-</t>
        </is>
      </c>
      <c r="J848" s="0" t="n">
        <v>360000</v>
      </c>
      <c r="K848" s="0">
        <f>IF(H847="1)",1,IF(H847="2)",2,IF(H847="3)",3,IF(H847="4)",4,IF(H847="5)",5,IF(H847="6)",6,IF(H847="7)",7,IF(H847="8)",8,0))))))))</f>
        <v/>
      </c>
      <c r="L848" s="0">
        <f>IF(H847="1)",J847,IF(H847="2)",J847,IF(H847="3)",J847,IF(H847="4)",J847,IF(H847="5)",J847,IF(H847="6)",J847,IF(H847="7)",J847,IF(H847="8)",J847,0))))))))</f>
        <v/>
      </c>
    </row>
    <row r="849">
      <c r="A849" s="0" t="inlineStr">
        <is>
          <t>Clear</t>
        </is>
      </c>
      <c r="B849" s="0" t="inlineStr">
        <is>
          <t>Gem</t>
        </is>
      </c>
      <c r="C849" s="0" t="inlineStr">
        <is>
          <t>Acquired</t>
        </is>
      </c>
      <c r="D849" s="0" t="inlineStr">
        <is>
          <t>:</t>
        </is>
      </c>
      <c r="E849" s="0" t="n">
        <v>5100</v>
      </c>
      <c r="F849" s="0" t="inlineStr">
        <is>
          <t>-&gt;</t>
        </is>
      </c>
      <c r="G849" s="0" t="n">
        <v>5200</v>
      </c>
      <c r="H849" s="0" t="inlineStr">
        <is>
          <t>(Stage</t>
        </is>
      </c>
      <c r="I849" s="0" t="inlineStr">
        <is>
          <t>:</t>
        </is>
      </c>
      <c r="J849" s="0" t="inlineStr">
        <is>
          <t>4)</t>
        </is>
      </c>
      <c r="K849" s="0">
        <f>IF(H848="1)",1,IF(H848="2)",2,IF(H848="3)",3,IF(H848="4)",4,IF(H848="5)",5,IF(H848="6)",6,IF(H848="7)",7,IF(H848="8)",8,0))))))))</f>
        <v/>
      </c>
      <c r="L849" s="0">
        <f>IF(H848="1)",J848,IF(H848="2)",J848,IF(H848="3)",J848,IF(H848="4)",J848,IF(H848="5)",J848,IF(H848="6)",J848,IF(H848="7)",J848,IF(H848="8)",J848,0))))))))</f>
        <v/>
      </c>
    </row>
    <row r="850">
      <c r="A850" s="0" t="inlineStr">
        <is>
          <t>New</t>
        </is>
      </c>
      <c r="B850" s="0" t="inlineStr">
        <is>
          <t>Item</t>
        </is>
      </c>
      <c r="C850" s="0" t="inlineStr">
        <is>
          <t>Acquired</t>
        </is>
      </c>
      <c r="D850" s="0" t="inlineStr">
        <is>
          <t>:</t>
        </is>
      </c>
      <c r="E850" s="0" t="inlineStr">
        <is>
          <t>75.00K</t>
        </is>
      </c>
      <c r="F850" s="0" t="inlineStr">
        <is>
          <t>(3,</t>
        </is>
      </c>
      <c r="G850" s="0" t="inlineStr">
        <is>
          <t>18)</t>
        </is>
      </c>
      <c r="K850" s="0">
        <f>IF(H849="1)",1,IF(H849="2)",2,IF(H849="3)",3,IF(H849="4)",4,IF(H849="5)",5,IF(H849="6)",6,IF(H849="7)",7,IF(H849="8)",8,0))))))))</f>
        <v/>
      </c>
      <c r="L850" s="0">
        <f>IF(H849="1)",J849,IF(H849="2)",J849,IF(H849="3)",J849,IF(H849="4)",J849,IF(H849="5)",J849,IF(H849="6)",J849,IF(H849="7)",J849,IF(H849="8)",J849,0))))))))</f>
        <v/>
      </c>
    </row>
    <row r="851">
      <c r="A851" s="0" t="inlineStr">
        <is>
          <t>New</t>
        </is>
      </c>
      <c r="B851" s="0" t="inlineStr">
        <is>
          <t>Item</t>
        </is>
      </c>
      <c r="C851" s="0" t="inlineStr">
        <is>
          <t>Acquired</t>
        </is>
      </c>
      <c r="D851" s="0" t="inlineStr">
        <is>
          <t>:</t>
        </is>
      </c>
      <c r="E851" s="0" t="inlineStr">
        <is>
          <t>67.50K</t>
        </is>
      </c>
      <c r="F851" s="0" t="inlineStr">
        <is>
          <t>(5,</t>
        </is>
      </c>
      <c r="G851" s="0" t="inlineStr">
        <is>
          <t>12)</t>
        </is>
      </c>
      <c r="K851" s="0">
        <f>IF(H850="1)",1,IF(H850="2)",2,IF(H850="3)",3,IF(H850="4)",4,IF(H850="5)",5,IF(H850="6)",6,IF(H850="7)",7,IF(H850="8)",8,0))))))))</f>
        <v/>
      </c>
      <c r="L851" s="0">
        <f>IF(H850="1)",J850,IF(H850="2)",J850,IF(H850="3)",J850,IF(H850="4)",J850,IF(H850="5)",J850,IF(H850="6)",J850,IF(H850="7)",J850,IF(H850="8)",J850,0))))))))</f>
        <v/>
      </c>
    </row>
    <row r="852">
      <c r="A852" s="0" t="inlineStr">
        <is>
          <t>New</t>
        </is>
      </c>
      <c r="B852" s="0" t="inlineStr">
        <is>
          <t>Item</t>
        </is>
      </c>
      <c r="C852" s="0" t="inlineStr">
        <is>
          <t>Acquired</t>
        </is>
      </c>
      <c r="D852" s="0" t="inlineStr">
        <is>
          <t>:</t>
        </is>
      </c>
      <c r="E852" s="0" t="inlineStr">
        <is>
          <t>62.50K</t>
        </is>
      </c>
      <c r="F852" s="0" t="inlineStr">
        <is>
          <t>(2,</t>
        </is>
      </c>
      <c r="G852" s="0" t="inlineStr">
        <is>
          <t>1)</t>
        </is>
      </c>
      <c r="K852" s="0">
        <f>IF(H851="1)",1,IF(H851="2)",2,IF(H851="3)",3,IF(H851="4)",4,IF(H851="5)",5,IF(H851="6)",6,IF(H851="7)",7,IF(H851="8)",8,0))))))))</f>
        <v/>
      </c>
      <c r="L852" s="0">
        <f>IF(H851="1)",J851,IF(H851="2)",J851,IF(H851="3)",J851,IF(H851="4)",J851,IF(H851="5)",J851,IF(H851="6)",J851,IF(H851="7)",J851,IF(H851="8)",J851,0))))))))</f>
        <v/>
      </c>
    </row>
    <row r="853">
      <c r="A853" s="0" t="inlineStr">
        <is>
          <t>New</t>
        </is>
      </c>
      <c r="B853" s="0" t="inlineStr">
        <is>
          <t>Item</t>
        </is>
      </c>
      <c r="C853" s="0" t="inlineStr">
        <is>
          <t>Acquired</t>
        </is>
      </c>
      <c r="D853" s="0" t="inlineStr">
        <is>
          <t>:</t>
        </is>
      </c>
      <c r="E853" s="0" t="inlineStr">
        <is>
          <t>50.00K</t>
        </is>
      </c>
      <c r="F853" s="0" t="inlineStr">
        <is>
          <t>(1,</t>
        </is>
      </c>
      <c r="G853" s="0" t="inlineStr">
        <is>
          <t>16)</t>
        </is>
      </c>
      <c r="K853" s="0">
        <f>IF(H852="1)",1,IF(H852="2)",2,IF(H852="3)",3,IF(H852="4)",4,IF(H852="5)",5,IF(H852="6)",6,IF(H852="7)",7,IF(H852="8)",8,0))))))))</f>
        <v/>
      </c>
      <c r="L853" s="0">
        <f>IF(H852="1)",J852,IF(H852="2)",J852,IF(H852="3)",J852,IF(H852="4)",J852,IF(H852="5)",J852,IF(H852="6)",J852,IF(H852="7)",J852,IF(H852="8)",J852,0))))))))</f>
        <v/>
      </c>
    </row>
    <row r="854">
      <c r="A854" s="0" t="inlineStr">
        <is>
          <t>New</t>
        </is>
      </c>
      <c r="B854" s="0" t="inlineStr">
        <is>
          <t>Item</t>
        </is>
      </c>
      <c r="C854" s="0" t="inlineStr">
        <is>
          <t>Acquired</t>
        </is>
      </c>
      <c r="D854" s="0" t="inlineStr">
        <is>
          <t>:</t>
        </is>
      </c>
      <c r="E854" s="0" t="inlineStr">
        <is>
          <t>Mini</t>
        </is>
      </c>
      <c r="F854" s="0" t="inlineStr">
        <is>
          <t>(6,</t>
        </is>
      </c>
      <c r="G854" s="0" t="inlineStr">
        <is>
          <t>10)</t>
        </is>
      </c>
      <c r="K854" s="0">
        <f>IF(H853="1)",1,IF(H853="2)",2,IF(H853="3)",3,IF(H853="4)",4,IF(H853="5)",5,IF(H853="6)",6,IF(H853="7)",7,IF(H853="8)",8,0))))))))</f>
        <v/>
      </c>
      <c r="L854" s="0">
        <f>IF(H853="1)",J853,IF(H853="2)",J853,IF(H853="3)",J853,IF(H853="4)",J853,IF(H853="5)",J853,IF(H853="6)",J853,IF(H853="7)",J853,IF(H853="8)",J853,0))))))))</f>
        <v/>
      </c>
    </row>
    <row r="855">
      <c r="A855" s="0" t="inlineStr">
        <is>
          <t>New</t>
        </is>
      </c>
      <c r="B855" s="0" t="inlineStr">
        <is>
          <t>Item</t>
        </is>
      </c>
      <c r="C855" s="0" t="inlineStr">
        <is>
          <t>Acquired</t>
        </is>
      </c>
      <c r="D855" s="0" t="inlineStr">
        <is>
          <t>:</t>
        </is>
      </c>
      <c r="E855" s="0" t="inlineStr">
        <is>
          <t>157.50K</t>
        </is>
      </c>
      <c r="F855" s="0" t="inlineStr">
        <is>
          <t>(5,</t>
        </is>
      </c>
      <c r="G855" s="0" t="inlineStr">
        <is>
          <t>3)</t>
        </is>
      </c>
      <c r="K855" s="0">
        <f>IF(H854="1)",1,IF(H854="2)",2,IF(H854="3)",3,IF(H854="4)",4,IF(H854="5)",5,IF(H854="6)",6,IF(H854="7)",7,IF(H854="8)",8,0))))))))</f>
        <v/>
      </c>
      <c r="L855" s="0">
        <f>IF(H854="1)",J854,IF(H854="2)",J854,IF(H854="3)",J854,IF(H854="4)",J854,IF(H854="5)",J854,IF(H854="6)",J854,IF(H854="7)",J854,IF(H854="8)",J854,0))))))))</f>
        <v/>
      </c>
    </row>
    <row r="856">
      <c r="A856" s="0" t="inlineStr">
        <is>
          <t>New</t>
        </is>
      </c>
      <c r="B856" s="0" t="inlineStr">
        <is>
          <t>Item</t>
        </is>
      </c>
      <c r="C856" s="0" t="inlineStr">
        <is>
          <t>Acquired</t>
        </is>
      </c>
      <c r="D856" s="0" t="inlineStr">
        <is>
          <t>:</t>
        </is>
      </c>
      <c r="E856" s="0" t="inlineStr">
        <is>
          <t>30.00K</t>
        </is>
      </c>
      <c r="F856" s="0" t="inlineStr">
        <is>
          <t>(1,</t>
        </is>
      </c>
      <c r="G856" s="0" t="inlineStr">
        <is>
          <t>4)</t>
        </is>
      </c>
      <c r="K856" s="0">
        <f>IF(H855="1)",1,IF(H855="2)",2,IF(H855="3)",3,IF(H855="4)",4,IF(H855="5)",5,IF(H855="6)",6,IF(H855="7)",7,IF(H855="8)",8,0))))))))</f>
        <v/>
      </c>
      <c r="L856" s="0">
        <f>IF(H855="1)",J855,IF(H855="2)",J855,IF(H855="3)",J855,IF(H855="4)",J855,IF(H855="5)",J855,IF(H855="6)",J855,IF(H855="7)",J855,IF(H855="8)",J855,0))))))))</f>
        <v/>
      </c>
    </row>
    <row r="857">
      <c r="A857" s="0" t="inlineStr">
        <is>
          <t>New</t>
        </is>
      </c>
      <c r="B857" s="0" t="inlineStr">
        <is>
          <t>Item</t>
        </is>
      </c>
      <c r="C857" s="0" t="inlineStr">
        <is>
          <t>Acquired</t>
        </is>
      </c>
      <c r="D857" s="0" t="inlineStr">
        <is>
          <t>:</t>
        </is>
      </c>
      <c r="E857" s="0" t="inlineStr">
        <is>
          <t>60.00K</t>
        </is>
      </c>
      <c r="F857" s="0" t="inlineStr">
        <is>
          <t>(4,</t>
        </is>
      </c>
      <c r="G857" s="0" t="inlineStr">
        <is>
          <t>24)</t>
        </is>
      </c>
      <c r="K857" s="0">
        <f>IF(H856="1)",1,IF(H856="2)",2,IF(H856="3)",3,IF(H856="4)",4,IF(H856="5)",5,IF(H856="6)",6,IF(H856="7)",7,IF(H856="8)",8,0))))))))</f>
        <v/>
      </c>
      <c r="L857" s="0">
        <f>IF(H856="1)",J856,IF(H856="2)",J856,IF(H856="3)",J856,IF(H856="4)",J856,IF(H856="5)",J856,IF(H856="6)",J856,IF(H856="7)",J856,IF(H856="8)",J856,0))))))))</f>
        <v/>
      </c>
    </row>
    <row r="858">
      <c r="A858" s="0" t="inlineStr">
        <is>
          <t>New</t>
        </is>
      </c>
      <c r="B858" s="0" t="inlineStr">
        <is>
          <t>Item</t>
        </is>
      </c>
      <c r="C858" s="0" t="inlineStr">
        <is>
          <t>Acquired</t>
        </is>
      </c>
      <c r="D858" s="0" t="inlineStr">
        <is>
          <t>:</t>
        </is>
      </c>
      <c r="E858" s="0" t="inlineStr">
        <is>
          <t>75.00K</t>
        </is>
      </c>
      <c r="F858" s="0" t="inlineStr">
        <is>
          <t>(4,</t>
        </is>
      </c>
      <c r="G858" s="0" t="inlineStr">
        <is>
          <t>23)</t>
        </is>
      </c>
      <c r="K858" s="0">
        <f>IF(H857="1)",1,IF(H857="2)",2,IF(H857="3)",3,IF(H857="4)",4,IF(H857="5)",5,IF(H857="6)",6,IF(H857="7)",7,IF(H857="8)",8,0))))))))</f>
        <v/>
      </c>
      <c r="L858" s="0">
        <f>IF(H857="1)",J857,IF(H857="2)",J857,IF(H857="3)",J857,IF(H857="4)",J857,IF(H857="5)",J857,IF(H857="6)",J857,IF(H857="7)",J857,IF(H857="8)",J857,0))))))))</f>
        <v/>
      </c>
    </row>
    <row r="859">
      <c r="A859" s="0" t="inlineStr">
        <is>
          <t>New</t>
        </is>
      </c>
      <c r="B859" s="0" t="inlineStr">
        <is>
          <t>Item</t>
        </is>
      </c>
      <c r="C859" s="0" t="inlineStr">
        <is>
          <t>Acquired</t>
        </is>
      </c>
      <c r="D859" s="0" t="inlineStr">
        <is>
          <t>:</t>
        </is>
      </c>
      <c r="E859" s="0" t="inlineStr">
        <is>
          <t>62.50K</t>
        </is>
      </c>
      <c r="F859" s="0" t="inlineStr">
        <is>
          <t>(2,</t>
        </is>
      </c>
      <c r="G859" s="0" t="inlineStr">
        <is>
          <t>9)</t>
        </is>
      </c>
      <c r="K859" s="0">
        <f>IF(H858="1)",1,IF(H858="2)",2,IF(H858="3)",3,IF(H858="4)",4,IF(H858="5)",5,IF(H858="6)",6,IF(H858="7)",7,IF(H858="8)",8,0))))))))</f>
        <v/>
      </c>
      <c r="L859" s="0">
        <f>IF(H858="1)",J858,IF(H858="2)",J858,IF(H858="3)",J858,IF(H858="4)",J858,IF(H858="5)",J858,IF(H858="6)",J858,IF(H858="7)",J858,IF(H858="8)",J858,0))))))))</f>
        <v/>
      </c>
    </row>
    <row r="860">
      <c r="A860" s="0" t="inlineStr">
        <is>
          <t>New</t>
        </is>
      </c>
      <c r="B860" s="0" t="inlineStr">
        <is>
          <t>Item</t>
        </is>
      </c>
      <c r="C860" s="0" t="inlineStr">
        <is>
          <t>Acquired</t>
        </is>
      </c>
      <c r="D860" s="0" t="inlineStr">
        <is>
          <t>:</t>
        </is>
      </c>
      <c r="E860" s="0" t="inlineStr">
        <is>
          <t>90.00K</t>
        </is>
      </c>
      <c r="F860" s="0" t="inlineStr">
        <is>
          <t>(7,</t>
        </is>
      </c>
      <c r="G860" s="0" t="inlineStr">
        <is>
          <t>19)</t>
        </is>
      </c>
      <c r="K860" s="0">
        <f>IF(H859="1)",1,IF(H859="2)",2,IF(H859="3)",3,IF(H859="4)",4,IF(H859="5)",5,IF(H859="6)",6,IF(H859="7)",7,IF(H859="8)",8,0))))))))</f>
        <v/>
      </c>
      <c r="L860" s="0">
        <f>IF(H859="1)",J859,IF(H859="2)",J859,IF(H859="3)",J859,IF(H859="4)",J859,IF(H859="5)",J859,IF(H859="6)",J859,IF(H859="7)",J859,IF(H859="8)",J859,0))))))))</f>
        <v/>
      </c>
    </row>
    <row r="861">
      <c r="A861" s="0" t="inlineStr">
        <is>
          <t>New</t>
        </is>
      </c>
      <c r="B861" s="0" t="inlineStr">
        <is>
          <t>Item</t>
        </is>
      </c>
      <c r="C861" s="0" t="inlineStr">
        <is>
          <t>Acquired</t>
        </is>
      </c>
      <c r="D861" s="0" t="inlineStr">
        <is>
          <t>:</t>
        </is>
      </c>
      <c r="E861" s="0" t="inlineStr">
        <is>
          <t>87.50K</t>
        </is>
      </c>
      <c r="F861" s="0" t="inlineStr">
        <is>
          <t>(2,</t>
        </is>
      </c>
      <c r="G861" s="0" t="inlineStr">
        <is>
          <t>15)</t>
        </is>
      </c>
      <c r="K861" s="0">
        <f>IF(H860="1)",1,IF(H860="2)",2,IF(H860="3)",3,IF(H860="4)",4,IF(H860="5)",5,IF(H860="6)",6,IF(H860="7)",7,IF(H860="8)",8,0))))))))</f>
        <v/>
      </c>
      <c r="L861" s="0">
        <f>IF(H860="1)",J860,IF(H860="2)",J860,IF(H860="3)",J860,IF(H860="4)",J860,IF(H860="5)",J860,IF(H860="6)",J860,IF(H860="7)",J860,IF(H860="8)",J860,0))))))))</f>
        <v/>
      </c>
    </row>
    <row r="862">
      <c r="A862" s="0" t="inlineStr">
        <is>
          <t>New</t>
        </is>
      </c>
      <c r="B862" s="0" t="inlineStr">
        <is>
          <t>Item</t>
        </is>
      </c>
      <c r="C862" s="0" t="inlineStr">
        <is>
          <t>Acquired</t>
        </is>
      </c>
      <c r="D862" s="0" t="inlineStr">
        <is>
          <t>:</t>
        </is>
      </c>
      <c r="E862" s="0" t="inlineStr">
        <is>
          <t>67.50K</t>
        </is>
      </c>
      <c r="F862" s="0" t="inlineStr">
        <is>
          <t>(5,</t>
        </is>
      </c>
      <c r="G862" s="0" t="inlineStr">
        <is>
          <t>19)</t>
        </is>
      </c>
      <c r="K862" s="0">
        <f>IF(H861="1)",1,IF(H861="2)",2,IF(H861="3)",3,IF(H861="4)",4,IF(H861="5)",5,IF(H861="6)",6,IF(H861="7)",7,IF(H861="8)",8,0))))))))</f>
        <v/>
      </c>
      <c r="L862" s="0">
        <f>IF(H861="1)",J861,IF(H861="2)",J861,IF(H861="3)",J861,IF(H861="4)",J861,IF(H861="5)",J861,IF(H861="6)",J861,IF(H861="7)",J861,IF(H861="8)",J861,0))))))))</f>
        <v/>
      </c>
    </row>
    <row r="863">
      <c r="A863" s="0" t="inlineStr">
        <is>
          <t>New</t>
        </is>
      </c>
      <c r="B863" s="0" t="inlineStr">
        <is>
          <t>Item</t>
        </is>
      </c>
      <c r="C863" s="0" t="inlineStr">
        <is>
          <t>Acquired</t>
        </is>
      </c>
      <c r="D863" s="0" t="inlineStr">
        <is>
          <t>:</t>
        </is>
      </c>
      <c r="E863" s="0" t="inlineStr">
        <is>
          <t>157.50K</t>
        </is>
      </c>
      <c r="F863" s="0" t="inlineStr">
        <is>
          <t>(5,</t>
        </is>
      </c>
      <c r="G863" s="0" t="inlineStr">
        <is>
          <t>17)</t>
        </is>
      </c>
      <c r="K863" s="0">
        <f>IF(H862="1)",1,IF(H862="2)",2,IF(H862="3)",3,IF(H862="4)",4,IF(H862="5)",5,IF(H862="6)",6,IF(H862="7)",7,IF(H862="8)",8,0))))))))</f>
        <v/>
      </c>
      <c r="L863" s="0">
        <f>IF(H862="1)",J862,IF(H862="2)",J862,IF(H862="3)",J862,IF(H862="4)",J862,IF(H862="5)",J862,IF(H862="6)",J862,IF(H862="7)",J862,IF(H862="8)",J862,0))))))))</f>
        <v/>
      </c>
    </row>
    <row r="864">
      <c r="A864" s="0" t="inlineStr">
        <is>
          <t>New</t>
        </is>
      </c>
      <c r="B864" s="0" t="inlineStr">
        <is>
          <t>Item</t>
        </is>
      </c>
      <c r="C864" s="0" t="inlineStr">
        <is>
          <t>Acquired</t>
        </is>
      </c>
      <c r="D864" s="0" t="inlineStr">
        <is>
          <t>:</t>
        </is>
      </c>
      <c r="E864" s="0" t="inlineStr">
        <is>
          <t>37.50K</t>
        </is>
      </c>
      <c r="F864" s="0" t="inlineStr">
        <is>
          <t>(2,</t>
        </is>
      </c>
      <c r="G864" s="0" t="inlineStr">
        <is>
          <t>7)</t>
        </is>
      </c>
      <c r="K864" s="0">
        <f>IF(H863="1)",1,IF(H863="2)",2,IF(H863="3)",3,IF(H863="4)",4,IF(H863="5)",5,IF(H863="6)",6,IF(H863="7)",7,IF(H863="8)",8,0))))))))</f>
        <v/>
      </c>
      <c r="L864" s="0">
        <f>IF(H863="1)",J863,IF(H863="2)",J863,IF(H863="3)",J863,IF(H863="4)",J863,IF(H863="5)",J863,IF(H863="6)",J863,IF(H863="7)",J863,IF(H863="8)",J863,0))))))))</f>
        <v/>
      </c>
    </row>
    <row r="865">
      <c r="A865" s="0" t="inlineStr">
        <is>
          <t>New</t>
        </is>
      </c>
      <c r="B865" s="0" t="inlineStr">
        <is>
          <t>Item</t>
        </is>
      </c>
      <c r="C865" s="0" t="inlineStr">
        <is>
          <t>Acquired</t>
        </is>
      </c>
      <c r="D865" s="0" t="inlineStr">
        <is>
          <t>:</t>
        </is>
      </c>
      <c r="E865" s="0" t="inlineStr">
        <is>
          <t>Mini</t>
        </is>
      </c>
      <c r="F865" s="0" t="inlineStr">
        <is>
          <t>(7,</t>
        </is>
      </c>
      <c r="G865" s="0" t="inlineStr">
        <is>
          <t>8)</t>
        </is>
      </c>
      <c r="K865" s="0">
        <f>IF(H864="1)",1,IF(H864="2)",2,IF(H864="3)",3,IF(H864="4)",4,IF(H864="5)",5,IF(H864="6)",6,IF(H864="7)",7,IF(H864="8)",8,0))))))))</f>
        <v/>
      </c>
      <c r="L865" s="0">
        <f>IF(H864="1)",J864,IF(H864="2)",J864,IF(H864="3)",J864,IF(H864="4)",J864,IF(H864="5)",J864,IF(H864="6)",J864,IF(H864="7)",J864,IF(H864="8)",J864,0))))))))</f>
        <v/>
      </c>
    </row>
    <row r="866">
      <c r="A866" s="0" t="inlineStr">
        <is>
          <t>New</t>
        </is>
      </c>
      <c r="B866" s="0" t="inlineStr">
        <is>
          <t>Item</t>
        </is>
      </c>
      <c r="C866" s="0" t="inlineStr">
        <is>
          <t>Acquired</t>
        </is>
      </c>
      <c r="D866" s="0" t="inlineStr">
        <is>
          <t>:</t>
        </is>
      </c>
      <c r="E866" s="0" t="inlineStr">
        <is>
          <t>60.00K</t>
        </is>
      </c>
      <c r="F866" s="0" t="inlineStr">
        <is>
          <t>(4,</t>
        </is>
      </c>
      <c r="G866" s="0" t="inlineStr">
        <is>
          <t>2)</t>
        </is>
      </c>
      <c r="K866" s="0">
        <f>IF(H865="1)",1,IF(H865="2)",2,IF(H865="3)",3,IF(H865="4)",4,IF(H865="5)",5,IF(H865="6)",6,IF(H865="7)",7,IF(H865="8)",8,0))))))))</f>
        <v/>
      </c>
      <c r="L866" s="0">
        <f>IF(H865="1)",J865,IF(H865="2)",J865,IF(H865="3)",J865,IF(H865="4)",J865,IF(H865="5)",J865,IF(H865="6)",J865,IF(H865="7)",J865,IF(H865="8)",J865,0))))))))</f>
        <v/>
      </c>
    </row>
    <row r="867">
      <c r="A867" s="0" t="inlineStr">
        <is>
          <t>New</t>
        </is>
      </c>
      <c r="B867" s="0" t="inlineStr">
        <is>
          <t>Item</t>
        </is>
      </c>
      <c r="C867" s="0" t="inlineStr">
        <is>
          <t>Acquired</t>
        </is>
      </c>
      <c r="D867" s="0" t="inlineStr">
        <is>
          <t>:</t>
        </is>
      </c>
      <c r="E867" s="0" t="inlineStr">
        <is>
          <t>70.00K</t>
        </is>
      </c>
      <c r="F867" s="0" t="inlineStr">
        <is>
          <t>(1,</t>
        </is>
      </c>
      <c r="G867" s="0" t="inlineStr">
        <is>
          <t>14)</t>
        </is>
      </c>
      <c r="K867" s="0">
        <f>IF(H866="1)",1,IF(H866="2)",2,IF(H866="3)",3,IF(H866="4)",4,IF(H866="5)",5,IF(H866="6)",6,IF(H866="7)",7,IF(H866="8)",8,0))))))))</f>
        <v/>
      </c>
      <c r="L867" s="0">
        <f>IF(H866="1)",J866,IF(H866="2)",J866,IF(H866="3)",J866,IF(H866="4)",J866,IF(H866="5)",J866,IF(H866="6)",J866,IF(H866="7)",J866,IF(H866="8)",J866,0))))))))</f>
        <v/>
      </c>
    </row>
    <row r="868">
      <c r="A868" s="0" t="inlineStr">
        <is>
          <t>New</t>
        </is>
      </c>
      <c r="B868" s="0" t="inlineStr">
        <is>
          <t>Item</t>
        </is>
      </c>
      <c r="C868" s="0" t="inlineStr">
        <is>
          <t>Acquired</t>
        </is>
      </c>
      <c r="D868" s="0" t="inlineStr">
        <is>
          <t>:</t>
        </is>
      </c>
      <c r="E868" s="0" t="inlineStr">
        <is>
          <t>67.50K</t>
        </is>
      </c>
      <c r="F868" s="0" t="inlineStr">
        <is>
          <t>(5,</t>
        </is>
      </c>
      <c r="G868" s="0" t="inlineStr">
        <is>
          <t>5)</t>
        </is>
      </c>
      <c r="K868" s="0">
        <f>IF(H867="1)",1,IF(H867="2)",2,IF(H867="3)",3,IF(H867="4)",4,IF(H867="5)",5,IF(H867="6)",6,IF(H867="7)",7,IF(H867="8)",8,0))))))))</f>
        <v/>
      </c>
      <c r="L868" s="0">
        <f>IF(H867="1)",J867,IF(H867="2)",J867,IF(H867="3)",J867,IF(H867="4)",J867,IF(H867="5)",J867,IF(H867="6)",J867,IF(H867="7)",J867,IF(H867="8)",J867,0))))))))</f>
        <v/>
      </c>
    </row>
    <row r="869">
      <c r="A869" s="0" t="inlineStr">
        <is>
          <t>New</t>
        </is>
      </c>
      <c r="B869" s="0" t="inlineStr">
        <is>
          <t>Item</t>
        </is>
      </c>
      <c r="C869" s="0" t="inlineStr">
        <is>
          <t>Acquired</t>
        </is>
      </c>
      <c r="D869" s="0" t="inlineStr">
        <is>
          <t>:</t>
        </is>
      </c>
      <c r="E869" s="0" t="inlineStr">
        <is>
          <t>Mini</t>
        </is>
      </c>
      <c r="F869" s="0" t="inlineStr">
        <is>
          <t>(8,</t>
        </is>
      </c>
      <c r="G869" s="0" t="inlineStr">
        <is>
          <t>8)</t>
        </is>
      </c>
      <c r="K869" s="0">
        <f>IF(H868="1)",1,IF(H868="2)",2,IF(H868="3)",3,IF(H868="4)",4,IF(H868="5)",5,IF(H868="6)",6,IF(H868="7)",7,IF(H868="8)",8,0))))))))</f>
        <v/>
      </c>
      <c r="L869" s="0">
        <f>IF(H868="1)",J868,IF(H868="2)",J868,IF(H868="3)",J868,IF(H868="4)",J868,IF(H868="5)",J868,IF(H868="6)",J868,IF(H868="7)",J868,IF(H868="8)",J868,0))))))))</f>
        <v/>
      </c>
    </row>
    <row r="870">
      <c r="A870" s="0" t="inlineStr">
        <is>
          <t>New</t>
        </is>
      </c>
      <c r="B870" s="0" t="inlineStr">
        <is>
          <t>Item</t>
        </is>
      </c>
      <c r="C870" s="0" t="inlineStr">
        <is>
          <t>Acquired</t>
        </is>
      </c>
      <c r="D870" s="0" t="inlineStr">
        <is>
          <t>:</t>
        </is>
      </c>
      <c r="E870" s="0" t="inlineStr">
        <is>
          <t>105.00K</t>
        </is>
      </c>
      <c r="F870" s="0" t="inlineStr">
        <is>
          <t>(4,</t>
        </is>
      </c>
      <c r="G870" s="0" t="inlineStr">
        <is>
          <t>15)</t>
        </is>
      </c>
      <c r="K870" s="0">
        <f>IF(H869="1)",1,IF(H869="2)",2,IF(H869="3)",3,IF(H869="4)",4,IF(H869="5)",5,IF(H869="6)",6,IF(H869="7)",7,IF(H869="8)",8,0))))))))</f>
        <v/>
      </c>
      <c r="L870" s="0">
        <f>IF(H869="1)",J869,IF(H869="2)",J869,IF(H869="3)",J869,IF(H869="4)",J869,IF(H869="5)",J869,IF(H869="6)",J869,IF(H869="7)",J869,IF(H869="8)",J869,0))))))))</f>
        <v/>
      </c>
    </row>
    <row r="871">
      <c r="A871" s="0" t="inlineStr">
        <is>
          <t>New</t>
        </is>
      </c>
      <c r="B871" s="0" t="inlineStr">
        <is>
          <t>Item</t>
        </is>
      </c>
      <c r="C871" s="0" t="inlineStr">
        <is>
          <t>Acquired</t>
        </is>
      </c>
      <c r="D871" s="0" t="inlineStr">
        <is>
          <t>:</t>
        </is>
      </c>
      <c r="E871" s="0" t="inlineStr">
        <is>
          <t>67.50K</t>
        </is>
      </c>
      <c r="F871" s="0" t="inlineStr">
        <is>
          <t>(5,</t>
        </is>
      </c>
      <c r="G871" s="0" t="inlineStr">
        <is>
          <t>7)</t>
        </is>
      </c>
      <c r="K871" s="0">
        <f>IF(H870="1)",1,IF(H870="2)",2,IF(H870="3)",3,IF(H870="4)",4,IF(H870="5)",5,IF(H870="6)",6,IF(H870="7)",7,IF(H870="8)",8,0))))))))</f>
        <v/>
      </c>
      <c r="L871" s="0">
        <f>IF(H870="1)",J870,IF(H870="2)",J870,IF(H870="3)",J870,IF(H870="4)",J870,IF(H870="5)",J870,IF(H870="6)",J870,IF(H870="7)",J870,IF(H870="8)",J870,0))))))))</f>
        <v/>
      </c>
    </row>
    <row r="872">
      <c r="A872" s="0" t="inlineStr">
        <is>
          <t>New</t>
        </is>
      </c>
      <c r="B872" s="0" t="inlineStr">
        <is>
          <t>Item</t>
        </is>
      </c>
      <c r="C872" s="0" t="inlineStr">
        <is>
          <t>Acquired</t>
        </is>
      </c>
      <c r="D872" s="0" t="inlineStr">
        <is>
          <t>:</t>
        </is>
      </c>
      <c r="E872" s="0" t="inlineStr">
        <is>
          <t>67.50K</t>
        </is>
      </c>
      <c r="F872" s="0" t="inlineStr">
        <is>
          <t>(5,</t>
        </is>
      </c>
      <c r="G872" s="0" t="inlineStr">
        <is>
          <t>2)</t>
        </is>
      </c>
      <c r="K872" s="0">
        <f>IF(H871="1)",1,IF(H871="2)",2,IF(H871="3)",3,IF(H871="4)",4,IF(H871="5)",5,IF(H871="6)",6,IF(H871="7)",7,IF(H871="8)",8,0))))))))</f>
        <v/>
      </c>
      <c r="L872" s="0">
        <f>IF(H871="1)",J871,IF(H871="2)",J871,IF(H871="3)",J871,IF(H871="4)",J871,IF(H871="5)",J871,IF(H871="6)",J871,IF(H871="7)",J871,IF(H871="8)",J871,0))))))))</f>
        <v/>
      </c>
    </row>
    <row r="873">
      <c r="A873" s="0" t="inlineStr">
        <is>
          <t>New</t>
        </is>
      </c>
      <c r="B873" s="0" t="inlineStr">
        <is>
          <t>Item</t>
        </is>
      </c>
      <c r="C873" s="0" t="inlineStr">
        <is>
          <t>Acquired</t>
        </is>
      </c>
      <c r="D873" s="0" t="inlineStr">
        <is>
          <t>:</t>
        </is>
      </c>
      <c r="E873" s="0" t="inlineStr">
        <is>
          <t>30.00K</t>
        </is>
      </c>
      <c r="F873" s="0" t="inlineStr">
        <is>
          <t>(1,</t>
        </is>
      </c>
      <c r="G873" s="0" t="inlineStr">
        <is>
          <t>21)</t>
        </is>
      </c>
      <c r="K873" s="0">
        <f>IF(H872="1)",1,IF(H872="2)",2,IF(H872="3)",3,IF(H872="4)",4,IF(H872="5)",5,IF(H872="6)",6,IF(H872="7)",7,IF(H872="8)",8,0))))))))</f>
        <v/>
      </c>
      <c r="L873" s="0">
        <f>IF(H872="1)",J872,IF(H872="2)",J872,IF(H872="3)",J872,IF(H872="4)",J872,IF(H872="5)",J872,IF(H872="6)",J872,IF(H872="7)",J872,IF(H872="8)",J872,0))))))))</f>
        <v/>
      </c>
    </row>
    <row r="874">
      <c r="A874" s="0" t="inlineStr">
        <is>
          <t>New</t>
        </is>
      </c>
      <c r="B874" s="0" t="inlineStr">
        <is>
          <t>Item</t>
        </is>
      </c>
      <c r="C874" s="0" t="inlineStr">
        <is>
          <t>Acquired</t>
        </is>
      </c>
      <c r="D874" s="0" t="inlineStr">
        <is>
          <t>:</t>
        </is>
      </c>
      <c r="E874" s="0" t="inlineStr">
        <is>
          <t>90.00K</t>
        </is>
      </c>
      <c r="F874" s="0" t="inlineStr">
        <is>
          <t>(7,</t>
        </is>
      </c>
      <c r="G874" s="0" t="inlineStr">
        <is>
          <t>23)</t>
        </is>
      </c>
      <c r="K874" s="0">
        <f>IF(H873="1)",1,IF(H873="2)",2,IF(H873="3)",3,IF(H873="4)",4,IF(H873="5)",5,IF(H873="6)",6,IF(H873="7)",7,IF(H873="8)",8,0))))))))</f>
        <v/>
      </c>
      <c r="L874" s="0">
        <f>IF(H873="1)",J873,IF(H873="2)",J873,IF(H873="3)",J873,IF(H873="4)",J873,IF(H873="5)",J873,IF(H873="6)",J873,IF(H873="7)",J873,IF(H873="8)",J873,0))))))))</f>
        <v/>
      </c>
    </row>
    <row r="875">
      <c r="A875" s="0" t="inlineStr">
        <is>
          <t>New</t>
        </is>
      </c>
      <c r="B875" s="0" t="inlineStr">
        <is>
          <t>Item</t>
        </is>
      </c>
      <c r="C875" s="0" t="inlineStr">
        <is>
          <t>Acquired</t>
        </is>
      </c>
      <c r="D875" s="0" t="inlineStr">
        <is>
          <t>:</t>
        </is>
      </c>
      <c r="E875" s="0" t="inlineStr">
        <is>
          <t>45.00K</t>
        </is>
      </c>
      <c r="F875" s="0" t="inlineStr">
        <is>
          <t>(3,</t>
        </is>
      </c>
      <c r="G875" s="0" t="inlineStr">
        <is>
          <t>24)</t>
        </is>
      </c>
      <c r="K875" s="0">
        <f>IF(H874="1)",1,IF(H874="2)",2,IF(H874="3)",3,IF(H874="4)",4,IF(H874="5)",5,IF(H874="6)",6,IF(H874="7)",7,IF(H874="8)",8,0))))))))</f>
        <v/>
      </c>
      <c r="L875" s="0">
        <f>IF(H874="1)",J874,IF(H874="2)",J874,IF(H874="3)",J874,IF(H874="4)",J874,IF(H874="5)",J874,IF(H874="6)",J874,IF(H874="7)",J874,IF(H874="8)",J874,0))))))))</f>
        <v/>
      </c>
    </row>
    <row r="876">
      <c r="A876" s="0" t="inlineStr">
        <is>
          <t>New</t>
        </is>
      </c>
      <c r="B876" s="0" t="inlineStr">
        <is>
          <t>Item</t>
        </is>
      </c>
      <c r="C876" s="0" t="inlineStr">
        <is>
          <t>Acquired</t>
        </is>
      </c>
      <c r="D876" s="0" t="inlineStr">
        <is>
          <t>:</t>
        </is>
      </c>
      <c r="E876" s="0" t="inlineStr">
        <is>
          <t>Minor</t>
        </is>
      </c>
      <c r="F876" s="0" t="inlineStr">
        <is>
          <t>(8,</t>
        </is>
      </c>
      <c r="G876" s="0" t="inlineStr">
        <is>
          <t>22)</t>
        </is>
      </c>
      <c r="K876" s="0">
        <f>IF(H875="1)",1,IF(H875="2)",2,IF(H875="3)",3,IF(H875="4)",4,IF(H875="5)",5,IF(H875="6)",6,IF(H875="7)",7,IF(H875="8)",8,0))))))))</f>
        <v/>
      </c>
      <c r="L876" s="0">
        <f>IF(H875="1)",J875,IF(H875="2)",J875,IF(H875="3)",J875,IF(H875="4)",J875,IF(H875="5)",J875,IF(H875="6)",J875,IF(H875="7)",J875,IF(H875="8)",J875,0))))))))</f>
        <v/>
      </c>
    </row>
    <row r="877">
      <c r="A877" s="0" t="inlineStr">
        <is>
          <t>New</t>
        </is>
      </c>
      <c r="B877" s="0" t="inlineStr">
        <is>
          <t>Item</t>
        </is>
      </c>
      <c r="C877" s="0" t="inlineStr">
        <is>
          <t>Acquired</t>
        </is>
      </c>
      <c r="D877" s="0" t="inlineStr">
        <is>
          <t>:</t>
        </is>
      </c>
      <c r="E877" s="0" t="inlineStr">
        <is>
          <t>200.00K</t>
        </is>
      </c>
      <c r="F877" s="0" t="inlineStr">
        <is>
          <t>(8,</t>
        </is>
      </c>
      <c r="G877" s="0" t="inlineStr">
        <is>
          <t>15)</t>
        </is>
      </c>
      <c r="K877" s="0">
        <f>IF(H876="1)",1,IF(H876="2)",2,IF(H876="3)",3,IF(H876="4)",4,IF(H876="5)",5,IF(H876="6)",6,IF(H876="7)",7,IF(H876="8)",8,0))))))))</f>
        <v/>
      </c>
      <c r="L877" s="0">
        <f>IF(H876="1)",J876,IF(H876="2)",J876,IF(H876="3)",J876,IF(H876="4)",J876,IF(H876="5)",J876,IF(H876="6)",J876,IF(H876="7)",J876,IF(H876="8)",J876,0))))))))</f>
        <v/>
      </c>
    </row>
    <row r="878">
      <c r="A878" s="0" t="inlineStr">
        <is>
          <t>New</t>
        </is>
      </c>
      <c r="B878" s="0" t="inlineStr">
        <is>
          <t>Item</t>
        </is>
      </c>
      <c r="C878" s="0" t="inlineStr">
        <is>
          <t>Acquired</t>
        </is>
      </c>
      <c r="D878" s="0" t="inlineStr">
        <is>
          <t>:</t>
        </is>
      </c>
      <c r="E878" s="0" t="inlineStr">
        <is>
          <t>112.50K</t>
        </is>
      </c>
      <c r="F878" s="0" t="inlineStr">
        <is>
          <t>(5,</t>
        </is>
      </c>
      <c r="G878" s="0" t="inlineStr">
        <is>
          <t>1)</t>
        </is>
      </c>
      <c r="K878" s="0">
        <f>IF(H877="1)",1,IF(H877="2)",2,IF(H877="3)",3,IF(H877="4)",4,IF(H877="5)",5,IF(H877="6)",6,IF(H877="7)",7,IF(H877="8)",8,0))))))))</f>
        <v/>
      </c>
      <c r="L878" s="0">
        <f>IF(H877="1)",J877,IF(H877="2)",J877,IF(H877="3)",J877,IF(H877="4)",J877,IF(H877="5)",J877,IF(H877="6)",J877,IF(H877="7)",J877,IF(H877="8)",J877,0))))))))</f>
        <v/>
      </c>
    </row>
    <row r="879">
      <c r="A879" s="0" t="inlineStr">
        <is>
          <t>New</t>
        </is>
      </c>
      <c r="B879" s="0" t="inlineStr">
        <is>
          <t>Item</t>
        </is>
      </c>
      <c r="C879" s="0" t="inlineStr">
        <is>
          <t>Acquired</t>
        </is>
      </c>
      <c r="D879" s="0" t="inlineStr">
        <is>
          <t>:</t>
        </is>
      </c>
      <c r="E879" s="0" t="inlineStr">
        <is>
          <t>60.00K</t>
        </is>
      </c>
      <c r="F879" s="0" t="inlineStr">
        <is>
          <t>(4,</t>
        </is>
      </c>
      <c r="G879" s="0" t="inlineStr">
        <is>
          <t>11)</t>
        </is>
      </c>
      <c r="K879" s="0">
        <f>IF(H878="1)",1,IF(H878="2)",2,IF(H878="3)",3,IF(H878="4)",4,IF(H878="5)",5,IF(H878="6)",6,IF(H878="7)",7,IF(H878="8)",8,0))))))))</f>
        <v/>
      </c>
      <c r="L879" s="0">
        <f>IF(H878="1)",J878,IF(H878="2)",J878,IF(H878="3)",J878,IF(H878="4)",J878,IF(H878="5)",J878,IF(H878="6)",J878,IF(H878="7)",J878,IF(H878="8)",J878,0))))))))</f>
        <v/>
      </c>
    </row>
    <row r="880">
      <c r="A880" s="0" t="inlineStr">
        <is>
          <t>New</t>
        </is>
      </c>
      <c r="B880" s="0" t="inlineStr">
        <is>
          <t>Item</t>
        </is>
      </c>
      <c r="C880" s="0" t="inlineStr">
        <is>
          <t>Acquired</t>
        </is>
      </c>
      <c r="D880" s="0" t="inlineStr">
        <is>
          <t>:</t>
        </is>
      </c>
      <c r="E880" s="0" t="inlineStr">
        <is>
          <t>37.50K</t>
        </is>
      </c>
      <c r="F880" s="0" t="inlineStr">
        <is>
          <t>(2,</t>
        </is>
      </c>
      <c r="G880" s="0" t="inlineStr">
        <is>
          <t>3)</t>
        </is>
      </c>
      <c r="K880" s="0">
        <f>IF(H879="1)",1,IF(H879="2)",2,IF(H879="3)",3,IF(H879="4)",4,IF(H879="5)",5,IF(H879="6)",6,IF(H879="7)",7,IF(H879="8)",8,0))))))))</f>
        <v/>
      </c>
      <c r="L880" s="0">
        <f>IF(H879="1)",J879,IF(H879="2)",J879,IF(H879="3)",J879,IF(H879="4)",J879,IF(H879="5)",J879,IF(H879="6)",J879,IF(H879="7)",J879,IF(H879="8)",J879,0))))))))</f>
        <v/>
      </c>
    </row>
    <row r="881">
      <c r="A881" s="0" t="inlineStr">
        <is>
          <t>New</t>
        </is>
      </c>
      <c r="B881" s="0" t="inlineStr">
        <is>
          <t>Item</t>
        </is>
      </c>
      <c r="C881" s="0" t="inlineStr">
        <is>
          <t>Acquired</t>
        </is>
      </c>
      <c r="D881" s="0" t="inlineStr">
        <is>
          <t>:</t>
        </is>
      </c>
      <c r="E881" s="0" t="inlineStr">
        <is>
          <t>125.00K</t>
        </is>
      </c>
      <c r="F881" s="0" t="inlineStr">
        <is>
          <t>(6,</t>
        </is>
      </c>
      <c r="G881" s="0" t="inlineStr">
        <is>
          <t>11)</t>
        </is>
      </c>
      <c r="K881" s="0">
        <f>IF(H880="1)",1,IF(H880="2)",2,IF(H880="3)",3,IF(H880="4)",4,IF(H880="5)",5,IF(H880="6)",6,IF(H880="7)",7,IF(H880="8)",8,0))))))))</f>
        <v/>
      </c>
      <c r="L881" s="0">
        <f>IF(H880="1)",J880,IF(H880="2)",J880,IF(H880="3)",J880,IF(H880="4)",J880,IF(H880="5)",J880,IF(H880="6)",J880,IF(H880="7)",J880,IF(H880="8)",J880,0))))))))</f>
        <v/>
      </c>
    </row>
    <row r="882">
      <c r="A882" s="0" t="inlineStr">
        <is>
          <t>New</t>
        </is>
      </c>
      <c r="B882" s="0" t="inlineStr">
        <is>
          <t>Item</t>
        </is>
      </c>
      <c r="C882" s="0" t="inlineStr">
        <is>
          <t>Acquired</t>
        </is>
      </c>
      <c r="D882" s="0" t="inlineStr">
        <is>
          <t>:</t>
        </is>
      </c>
      <c r="E882" s="0" t="inlineStr">
        <is>
          <t>45.00K</t>
        </is>
      </c>
      <c r="F882" s="0" t="inlineStr">
        <is>
          <t>(3,</t>
        </is>
      </c>
      <c r="G882" s="0" t="inlineStr">
        <is>
          <t>4)</t>
        </is>
      </c>
      <c r="K882" s="0">
        <f>IF(H881="1)",1,IF(H881="2)",2,IF(H881="3)",3,IF(H881="4)",4,IF(H881="5)",5,IF(H881="6)",6,IF(H881="7)",7,IF(H881="8)",8,0))))))))</f>
        <v/>
      </c>
      <c r="L882" s="0">
        <f>IF(H881="1)",J881,IF(H881="2)",J881,IF(H881="3)",J881,IF(H881="4)",J881,IF(H881="5)",J881,IF(H881="6)",J881,IF(H881="7)",J881,IF(H881="8)",J881,0))))))))</f>
        <v/>
      </c>
    </row>
    <row r="883">
      <c r="A883" s="0" t="inlineStr">
        <is>
          <t>New</t>
        </is>
      </c>
      <c r="B883" s="0" t="inlineStr">
        <is>
          <t>Item</t>
        </is>
      </c>
      <c r="C883" s="0" t="inlineStr">
        <is>
          <t>Acquired</t>
        </is>
      </c>
      <c r="D883" s="0" t="inlineStr">
        <is>
          <t>:</t>
        </is>
      </c>
      <c r="E883" s="0" t="inlineStr">
        <is>
          <t>75.00K</t>
        </is>
      </c>
      <c r="F883" s="0" t="inlineStr">
        <is>
          <t>(4,</t>
        </is>
      </c>
      <c r="G883" s="0" t="inlineStr">
        <is>
          <t>22)</t>
        </is>
      </c>
      <c r="K883" s="0">
        <f>IF(H882="1)",1,IF(H882="2)",2,IF(H882="3)",3,IF(H882="4)",4,IF(H882="5)",5,IF(H882="6)",6,IF(H882="7)",7,IF(H882="8)",8,0))))))))</f>
        <v/>
      </c>
      <c r="L883" s="0">
        <f>IF(H882="1)",J882,IF(H882="2)",J882,IF(H882="3)",J882,IF(H882="4)",J882,IF(H882="5)",J882,IF(H882="6)",J882,IF(H882="7)",J882,IF(H882="8)",J882,0))))))))</f>
        <v/>
      </c>
    </row>
    <row r="884">
      <c r="A884" s="0" t="inlineStr">
        <is>
          <t>New</t>
        </is>
      </c>
      <c r="B884" s="0" t="inlineStr">
        <is>
          <t>Item</t>
        </is>
      </c>
      <c r="C884" s="0" t="inlineStr">
        <is>
          <t>Acquired</t>
        </is>
      </c>
      <c r="D884" s="0" t="inlineStr">
        <is>
          <t>:</t>
        </is>
      </c>
      <c r="E884" s="0" t="inlineStr">
        <is>
          <t>105.00K</t>
        </is>
      </c>
      <c r="F884" s="0" t="inlineStr">
        <is>
          <t>(4,</t>
        </is>
      </c>
      <c r="G884" s="0" t="inlineStr">
        <is>
          <t>19)</t>
        </is>
      </c>
      <c r="K884" s="0">
        <f>IF(H883="1)",1,IF(H883="2)",2,IF(H883="3)",3,IF(H883="4)",4,IF(H883="5)",5,IF(H883="6)",6,IF(H883="7)",7,IF(H883="8)",8,0))))))))</f>
        <v/>
      </c>
      <c r="L884" s="0">
        <f>IF(H883="1)",J883,IF(H883="2)",J883,IF(H883="3)",J883,IF(H883="4)",J883,IF(H883="5)",J883,IF(H883="6)",J883,IF(H883="7)",J883,IF(H883="8)",J883,0))))))))</f>
        <v/>
      </c>
    </row>
    <row r="885">
      <c r="A885" s="0" t="inlineStr">
        <is>
          <t>New</t>
        </is>
      </c>
      <c r="B885" s="0" t="inlineStr">
        <is>
          <t>Item</t>
        </is>
      </c>
      <c r="C885" s="0" t="inlineStr">
        <is>
          <t>Acquired</t>
        </is>
      </c>
      <c r="D885" s="0" t="inlineStr">
        <is>
          <t>:</t>
        </is>
      </c>
      <c r="E885" s="0" t="inlineStr">
        <is>
          <t>120.00K</t>
        </is>
      </c>
      <c r="F885" s="0" t="inlineStr">
        <is>
          <t>(8,</t>
        </is>
      </c>
      <c r="G885" s="0" t="inlineStr">
        <is>
          <t>14)</t>
        </is>
      </c>
      <c r="K885" s="0">
        <f>IF(H884="1)",1,IF(H884="2)",2,IF(H884="3)",3,IF(H884="4)",4,IF(H884="5)",5,IF(H884="6)",6,IF(H884="7)",7,IF(H884="8)",8,0))))))))</f>
        <v/>
      </c>
      <c r="L885" s="0">
        <f>IF(H884="1)",J884,IF(H884="2)",J884,IF(H884="3)",J884,IF(H884="4)",J884,IF(H884="5)",J884,IF(H884="6)",J884,IF(H884="7)",J884,IF(H884="8)",J884,0))))))))</f>
        <v/>
      </c>
    </row>
    <row r="886">
      <c r="A886" s="0" t="inlineStr">
        <is>
          <t>Line</t>
        </is>
      </c>
      <c r="B886" s="0" t="inlineStr">
        <is>
          <t>Prize</t>
        </is>
      </c>
      <c r="C886" s="0" t="inlineStr">
        <is>
          <t>Acquired</t>
        </is>
      </c>
      <c r="D886" s="0" t="inlineStr">
        <is>
          <t>:</t>
        </is>
      </c>
      <c r="E886" s="0" t="inlineStr">
        <is>
          <t>1.44M</t>
        </is>
      </c>
      <c r="F886" s="0" t="inlineStr">
        <is>
          <t>(Stage</t>
        </is>
      </c>
      <c r="G886" s="0" t="inlineStr">
        <is>
          <t>:</t>
        </is>
      </c>
      <c r="H886" s="0" t="inlineStr">
        <is>
          <t>8)</t>
        </is>
      </c>
      <c r="I886" s="0" t="inlineStr">
        <is>
          <t>-</t>
        </is>
      </c>
      <c r="J886" s="0" t="n">
        <v>1440000</v>
      </c>
      <c r="K886" s="0">
        <f>IF(H885="1)",1,IF(H885="2)",2,IF(H885="3)",3,IF(H885="4)",4,IF(H885="5)",5,IF(H885="6)",6,IF(H885="7)",7,IF(H885="8)",8,0))))))))</f>
        <v/>
      </c>
      <c r="L886" s="0">
        <f>IF(H885="1)",J885,IF(H885="2)",J885,IF(H885="3)",J885,IF(H885="4)",J885,IF(H885="5)",J885,IF(H885="6)",J885,IF(H885="7)",J885,IF(H885="8)",J885,0))))))))</f>
        <v/>
      </c>
    </row>
    <row r="887">
      <c r="A887" s="0" t="inlineStr">
        <is>
          <t>Clear</t>
        </is>
      </c>
      <c r="B887" s="0" t="inlineStr">
        <is>
          <t>Gem</t>
        </is>
      </c>
      <c r="C887" s="0" t="inlineStr">
        <is>
          <t>Acquired</t>
        </is>
      </c>
      <c r="D887" s="0" t="inlineStr">
        <is>
          <t>:</t>
        </is>
      </c>
      <c r="E887" s="0" t="n">
        <v>5200</v>
      </c>
      <c r="F887" s="0" t="inlineStr">
        <is>
          <t>-&gt;</t>
        </is>
      </c>
      <c r="G887" s="0" t="n">
        <v>5300</v>
      </c>
      <c r="H887" s="0" t="inlineStr">
        <is>
          <t>(Stage</t>
        </is>
      </c>
      <c r="I887" s="0" t="inlineStr">
        <is>
          <t>:</t>
        </is>
      </c>
      <c r="J887" s="0" t="inlineStr">
        <is>
          <t>8)</t>
        </is>
      </c>
      <c r="K887" s="0">
        <f>IF(H886="1)",1,IF(H886="2)",2,IF(H886="3)",3,IF(H886="4)",4,IF(H886="5)",5,IF(H886="6)",6,IF(H886="7)",7,IF(H886="8)",8,0))))))))</f>
        <v/>
      </c>
      <c r="L887" s="0">
        <f>IF(H886="1)",J886,IF(H886="2)",J886,IF(H886="3)",J886,IF(H886="4)",J886,IF(H886="5)",J886,IF(H886="6)",J886,IF(H886="7)",J886,IF(H886="8)",J886,0))))))))</f>
        <v/>
      </c>
    </row>
    <row r="888">
      <c r="A888" s="0" t="inlineStr">
        <is>
          <t>New</t>
        </is>
      </c>
      <c r="B888" s="0" t="inlineStr">
        <is>
          <t>Item</t>
        </is>
      </c>
      <c r="C888" s="0" t="inlineStr">
        <is>
          <t>Acquired</t>
        </is>
      </c>
      <c r="D888" s="0" t="inlineStr">
        <is>
          <t>:</t>
        </is>
      </c>
      <c r="E888" s="0" t="inlineStr">
        <is>
          <t>175.00K</t>
        </is>
      </c>
      <c r="F888" s="0" t="inlineStr">
        <is>
          <t>(6,</t>
        </is>
      </c>
      <c r="G888" s="0" t="inlineStr">
        <is>
          <t>15)</t>
        </is>
      </c>
      <c r="K888" s="0">
        <f>IF(H887="1)",1,IF(H887="2)",2,IF(H887="3)",3,IF(H887="4)",4,IF(H887="5)",5,IF(H887="6)",6,IF(H887="7)",7,IF(H887="8)",8,0))))))))</f>
        <v/>
      </c>
      <c r="L888" s="0">
        <f>IF(H887="1)",J887,IF(H887="2)",J887,IF(H887="3)",J887,IF(H887="4)",J887,IF(H887="5)",J887,IF(H887="6)",J887,IF(H887="7)",J887,IF(H887="8)",J887,0))))))))</f>
        <v/>
      </c>
    </row>
    <row r="889">
      <c r="A889" s="0" t="inlineStr">
        <is>
          <t>New</t>
        </is>
      </c>
      <c r="B889" s="0" t="inlineStr">
        <is>
          <t>Item</t>
        </is>
      </c>
      <c r="C889" s="0" t="inlineStr">
        <is>
          <t>Acquired</t>
        </is>
      </c>
      <c r="D889" s="0" t="inlineStr">
        <is>
          <t>:</t>
        </is>
      </c>
      <c r="E889" s="0" t="inlineStr">
        <is>
          <t>120.00K</t>
        </is>
      </c>
      <c r="F889" s="0" t="inlineStr">
        <is>
          <t>(8,</t>
        </is>
      </c>
      <c r="G889" s="0" t="inlineStr">
        <is>
          <t>19)</t>
        </is>
      </c>
      <c r="K889" s="0">
        <f>IF(H888="1)",1,IF(H888="2)",2,IF(H888="3)",3,IF(H888="4)",4,IF(H888="5)",5,IF(H888="6)",6,IF(H888="7)",7,IF(H888="8)",8,0))))))))</f>
        <v/>
      </c>
      <c r="L889" s="0">
        <f>IF(H888="1)",J888,IF(H888="2)",J888,IF(H888="3)",J888,IF(H888="4)",J888,IF(H888="5)",J888,IF(H888="6)",J888,IF(H888="7)",J888,IF(H888="8)",J888,0))))))))</f>
        <v/>
      </c>
    </row>
    <row r="890">
      <c r="A890" s="0" t="inlineStr">
        <is>
          <t>New</t>
        </is>
      </c>
      <c r="B890" s="0" t="inlineStr">
        <is>
          <t>Item</t>
        </is>
      </c>
      <c r="C890" s="0" t="inlineStr">
        <is>
          <t>Acquired</t>
        </is>
      </c>
      <c r="D890" s="0" t="inlineStr">
        <is>
          <t>:</t>
        </is>
      </c>
      <c r="E890" s="0" t="inlineStr">
        <is>
          <t>37.50K</t>
        </is>
      </c>
      <c r="F890" s="0" t="inlineStr">
        <is>
          <t>(2,</t>
        </is>
      </c>
      <c r="G890" s="0" t="inlineStr">
        <is>
          <t>10)</t>
        </is>
      </c>
      <c r="K890" s="0">
        <f>IF(H889="1)",1,IF(H889="2)",2,IF(H889="3)",3,IF(H889="4)",4,IF(H889="5)",5,IF(H889="6)",6,IF(H889="7)",7,IF(H889="8)",8,0))))))))</f>
        <v/>
      </c>
      <c r="L890" s="0">
        <f>IF(H889="1)",J889,IF(H889="2)",J889,IF(H889="3)",J889,IF(H889="4)",J889,IF(H889="5)",J889,IF(H889="6)",J889,IF(H889="7)",J889,IF(H889="8)",J889,0))))))))</f>
        <v/>
      </c>
    </row>
    <row r="891">
      <c r="A891" s="0" t="inlineStr">
        <is>
          <t>New</t>
        </is>
      </c>
      <c r="B891" s="0" t="inlineStr">
        <is>
          <t>Item</t>
        </is>
      </c>
      <c r="C891" s="0" t="inlineStr">
        <is>
          <t>Acquired</t>
        </is>
      </c>
      <c r="D891" s="0" t="inlineStr">
        <is>
          <t>:</t>
        </is>
      </c>
      <c r="E891" s="0" t="inlineStr">
        <is>
          <t>Minor</t>
        </is>
      </c>
      <c r="F891" s="0" t="inlineStr">
        <is>
          <t>(2,</t>
        </is>
      </c>
      <c r="G891" s="0" t="inlineStr">
        <is>
          <t>11)</t>
        </is>
      </c>
      <c r="K891" s="0">
        <f>IF(H890="1)",1,IF(H890="2)",2,IF(H890="3)",3,IF(H890="4)",4,IF(H890="5)",5,IF(H890="6)",6,IF(H890="7)",7,IF(H890="8)",8,0))))))))</f>
        <v/>
      </c>
      <c r="L891" s="0">
        <f>IF(H890="1)",J890,IF(H890="2)",J890,IF(H890="3)",J890,IF(H890="4)",J890,IF(H890="5)",J890,IF(H890="6)",J890,IF(H890="7)",J890,IF(H890="8)",J890,0))))))))</f>
        <v/>
      </c>
    </row>
    <row r="892">
      <c r="A892" s="0" t="inlineStr">
        <is>
          <t>New</t>
        </is>
      </c>
      <c r="B892" s="0" t="inlineStr">
        <is>
          <t>Item</t>
        </is>
      </c>
      <c r="C892" s="0" t="inlineStr">
        <is>
          <t>Acquired</t>
        </is>
      </c>
      <c r="D892" s="0" t="inlineStr">
        <is>
          <t>:</t>
        </is>
      </c>
      <c r="E892" s="0" t="inlineStr">
        <is>
          <t>Mini</t>
        </is>
      </c>
      <c r="F892" s="0" t="inlineStr">
        <is>
          <t>(2,</t>
        </is>
      </c>
      <c r="G892" s="0" t="inlineStr">
        <is>
          <t>12)</t>
        </is>
      </c>
      <c r="K892" s="0">
        <f>IF(H891="1)",1,IF(H891="2)",2,IF(H891="3)",3,IF(H891="4)",4,IF(H891="5)",5,IF(H891="6)",6,IF(H891="7)",7,IF(H891="8)",8,0))))))))</f>
        <v/>
      </c>
      <c r="L892" s="0">
        <f>IF(H891="1)",J891,IF(H891="2)",J891,IF(H891="3)",J891,IF(H891="4)",J891,IF(H891="5)",J891,IF(H891="6)",J891,IF(H891="7)",J891,IF(H891="8)",J891,0))))))))</f>
        <v/>
      </c>
    </row>
    <row r="893">
      <c r="A893" s="0" t="inlineStr">
        <is>
          <t>Line</t>
        </is>
      </c>
      <c r="B893" s="0" t="inlineStr">
        <is>
          <t>Prize</t>
        </is>
      </c>
      <c r="C893" s="0" t="inlineStr">
        <is>
          <t>Acquired</t>
        </is>
      </c>
      <c r="D893" s="0" t="inlineStr">
        <is>
          <t>:</t>
        </is>
      </c>
      <c r="E893" s="0" t="inlineStr">
        <is>
          <t>1.15M</t>
        </is>
      </c>
      <c r="F893" s="0" t="inlineStr">
        <is>
          <t>(Stage</t>
        </is>
      </c>
      <c r="G893" s="0" t="inlineStr">
        <is>
          <t>:</t>
        </is>
      </c>
      <c r="H893" s="0" t="inlineStr">
        <is>
          <t>2)</t>
        </is>
      </c>
      <c r="I893" s="0" t="inlineStr">
        <is>
          <t>-</t>
        </is>
      </c>
      <c r="J893" s="0" t="n">
        <v>1150000</v>
      </c>
      <c r="K893" s="0">
        <f>IF(H892="1)",1,IF(H892="2)",2,IF(H892="3)",3,IF(H892="4)",4,IF(H892="5)",5,IF(H892="6)",6,IF(H892="7)",7,IF(H892="8)",8,0))))))))</f>
        <v/>
      </c>
      <c r="L893" s="0">
        <f>IF(H892="1)",J892,IF(H892="2)",J892,IF(H892="3)",J892,IF(H892="4)",J892,IF(H892="5)",J892,IF(H892="6)",J892,IF(H892="7)",J892,IF(H892="8)",J892,0))))))))</f>
        <v/>
      </c>
    </row>
    <row r="894">
      <c r="A894" s="0" t="inlineStr">
        <is>
          <t>Clear</t>
        </is>
      </c>
      <c r="B894" s="0" t="inlineStr">
        <is>
          <t>Gem</t>
        </is>
      </c>
      <c r="C894" s="0" t="inlineStr">
        <is>
          <t>Acquired</t>
        </is>
      </c>
      <c r="D894" s="0" t="inlineStr">
        <is>
          <t>:</t>
        </is>
      </c>
      <c r="E894" s="0" t="n">
        <v>5300</v>
      </c>
      <c r="F894" s="0" t="inlineStr">
        <is>
          <t>-&gt;</t>
        </is>
      </c>
      <c r="G894" s="0" t="n">
        <v>5400</v>
      </c>
      <c r="H894" s="0" t="inlineStr">
        <is>
          <t>(Stage</t>
        </is>
      </c>
      <c r="I894" s="0" t="inlineStr">
        <is>
          <t>:</t>
        </is>
      </c>
      <c r="J894" s="0" t="inlineStr">
        <is>
          <t>2)</t>
        </is>
      </c>
      <c r="K894" s="0">
        <f>IF(H893="1)",1,IF(H893="2)",2,IF(H893="3)",3,IF(H893="4)",4,IF(H893="5)",5,IF(H893="6)",6,IF(H893="7)",7,IF(H893="8)",8,0))))))))</f>
        <v/>
      </c>
      <c r="L894" s="0">
        <f>IF(H893="1)",J893,IF(H893="2)",J893,IF(H893="3)",J893,IF(H893="4)",J893,IF(H893="5)",J893,IF(H893="6)",J893,IF(H893="7)",J893,IF(H893="8)",J893,0))))))))</f>
        <v/>
      </c>
    </row>
    <row r="895">
      <c r="A895" s="0" t="inlineStr">
        <is>
          <t>New</t>
        </is>
      </c>
      <c r="B895" s="0" t="inlineStr">
        <is>
          <t>Item</t>
        </is>
      </c>
      <c r="C895" s="0" t="inlineStr">
        <is>
          <t>Acquired</t>
        </is>
      </c>
      <c r="D895" s="0" t="inlineStr">
        <is>
          <t>:</t>
        </is>
      </c>
      <c r="E895" s="0" t="inlineStr">
        <is>
          <t>62.50K</t>
        </is>
      </c>
      <c r="F895" s="0" t="inlineStr">
        <is>
          <t>(2,</t>
        </is>
      </c>
      <c r="G895" s="0" t="inlineStr">
        <is>
          <t>23)</t>
        </is>
      </c>
      <c r="K895" s="0">
        <f>IF(H894="1)",1,IF(H894="2)",2,IF(H894="3)",3,IF(H894="4)",4,IF(H894="5)",5,IF(H894="6)",6,IF(H894="7)",7,IF(H894="8)",8,0))))))))</f>
        <v/>
      </c>
      <c r="L895" s="0">
        <f>IF(H894="1)",J894,IF(H894="2)",J894,IF(H894="3)",J894,IF(H894="4)",J894,IF(H894="5)",J894,IF(H894="6)",J894,IF(H894="7)",J894,IF(H894="8)",J894,0))))))))</f>
        <v/>
      </c>
    </row>
    <row r="896">
      <c r="A896" s="0" t="inlineStr">
        <is>
          <t>New</t>
        </is>
      </c>
      <c r="B896" s="0" t="inlineStr">
        <is>
          <t>Item</t>
        </is>
      </c>
      <c r="C896" s="0" t="inlineStr">
        <is>
          <t>Acquired</t>
        </is>
      </c>
      <c r="D896" s="0" t="inlineStr">
        <is>
          <t>:</t>
        </is>
      </c>
      <c r="E896" s="0" t="inlineStr">
        <is>
          <t>Minor</t>
        </is>
      </c>
      <c r="F896" s="0" t="inlineStr">
        <is>
          <t>(6,</t>
        </is>
      </c>
      <c r="G896" s="0" t="inlineStr">
        <is>
          <t>17)</t>
        </is>
      </c>
      <c r="K896" s="0">
        <f>IF(H895="1)",1,IF(H895="2)",2,IF(H895="3)",3,IF(H895="4)",4,IF(H895="5)",5,IF(H895="6)",6,IF(H895="7)",7,IF(H895="8)",8,0))))))))</f>
        <v/>
      </c>
      <c r="L896" s="0">
        <f>IF(H895="1)",J895,IF(H895="2)",J895,IF(H895="3)",J895,IF(H895="4)",J895,IF(H895="5)",J895,IF(H895="6)",J895,IF(H895="7)",J895,IF(H895="8)",J895,0))))))))</f>
        <v/>
      </c>
    </row>
    <row r="897">
      <c r="A897" s="0" t="inlineStr">
        <is>
          <t>New</t>
        </is>
      </c>
      <c r="B897" s="0" t="inlineStr">
        <is>
          <t>Item</t>
        </is>
      </c>
      <c r="C897" s="0" t="inlineStr">
        <is>
          <t>Acquired</t>
        </is>
      </c>
      <c r="D897" s="0" t="inlineStr">
        <is>
          <t>:</t>
        </is>
      </c>
      <c r="E897" s="0" t="inlineStr">
        <is>
          <t>Mini</t>
        </is>
      </c>
      <c r="F897" s="0" t="inlineStr">
        <is>
          <t>(4,</t>
        </is>
      </c>
      <c r="G897" s="0" t="inlineStr">
        <is>
          <t>8)</t>
        </is>
      </c>
      <c r="K897" s="0">
        <f>IF(H896="1)",1,IF(H896="2)",2,IF(H896="3)",3,IF(H896="4)",4,IF(H896="5)",5,IF(H896="6)",6,IF(H896="7)",7,IF(H896="8)",8,0))))))))</f>
        <v/>
      </c>
      <c r="L897" s="0">
        <f>IF(H896="1)",J896,IF(H896="2)",J896,IF(H896="3)",J896,IF(H896="4)",J896,IF(H896="5)",J896,IF(H896="6)",J896,IF(H896="7)",J896,IF(H896="8)",J896,0))))))))</f>
        <v/>
      </c>
    </row>
    <row r="898">
      <c r="A898" s="0" t="inlineStr">
        <is>
          <t>New</t>
        </is>
      </c>
      <c r="B898" s="0" t="inlineStr">
        <is>
          <t>Item</t>
        </is>
      </c>
      <c r="C898" s="0" t="inlineStr">
        <is>
          <t>Acquired</t>
        </is>
      </c>
      <c r="D898" s="0" t="inlineStr">
        <is>
          <t>:</t>
        </is>
      </c>
      <c r="E898" s="0" t="inlineStr">
        <is>
          <t>62.50K</t>
        </is>
      </c>
      <c r="F898" s="0" t="inlineStr">
        <is>
          <t>(2,</t>
        </is>
      </c>
      <c r="G898" s="0" t="inlineStr">
        <is>
          <t>11)</t>
        </is>
      </c>
      <c r="K898" s="0">
        <f>IF(H897="1)",1,IF(H897="2)",2,IF(H897="3)",3,IF(H897="4)",4,IF(H897="5)",5,IF(H897="6)",6,IF(H897="7)",7,IF(H897="8)",8,0))))))))</f>
        <v/>
      </c>
      <c r="L898" s="0">
        <f>IF(H897="1)",J897,IF(H897="2)",J897,IF(H897="3)",J897,IF(H897="4)",J897,IF(H897="5)",J897,IF(H897="6)",J897,IF(H897="7)",J897,IF(H897="8)",J897,0))))))))</f>
        <v/>
      </c>
    </row>
    <row r="899">
      <c r="A899" s="0" t="inlineStr">
        <is>
          <t>Item</t>
        </is>
      </c>
      <c r="B899" s="0" t="inlineStr">
        <is>
          <t>ReSelect</t>
        </is>
      </c>
      <c r="C899" s="0" t="inlineStr">
        <is>
          <t>Failed</t>
        </is>
      </c>
      <c r="D899" s="0" t="inlineStr">
        <is>
          <t>:</t>
        </is>
      </c>
      <c r="E899" s="0" t="inlineStr">
        <is>
          <t>Attempt</t>
        </is>
      </c>
      <c r="F899" s="0" t="inlineStr">
        <is>
          <t>Count</t>
        </is>
      </c>
      <c r="G899" s="0" t="inlineStr">
        <is>
          <t>-</t>
        </is>
      </c>
      <c r="H899" s="0" t="n">
        <v>3</v>
      </c>
      <c r="K899" s="0">
        <f>IF(H898="1)",1,IF(H898="2)",2,IF(H898="3)",3,IF(H898="4)",4,IF(H898="5)",5,IF(H898="6)",6,IF(H898="7)",7,IF(H898="8)",8,0))))))))</f>
        <v/>
      </c>
      <c r="L899" s="0">
        <f>IF(H898="1)",J898,IF(H898="2)",J898,IF(H898="3)",J898,IF(H898="4)",J898,IF(H898="5)",J898,IF(H898="6)",J898,IF(H898="7)",J898,IF(H898="8)",J898,0))))))))</f>
        <v/>
      </c>
    </row>
    <row r="900">
      <c r="A900" s="0" t="inlineStr">
        <is>
          <t>New</t>
        </is>
      </c>
      <c r="B900" s="0" t="inlineStr">
        <is>
          <t>Item</t>
        </is>
      </c>
      <c r="C900" s="0" t="inlineStr">
        <is>
          <t>Acquired</t>
        </is>
      </c>
      <c r="D900" s="0" t="inlineStr">
        <is>
          <t>:</t>
        </is>
      </c>
      <c r="E900" s="0" t="inlineStr">
        <is>
          <t>90.00K</t>
        </is>
      </c>
      <c r="F900" s="0" t="inlineStr">
        <is>
          <t>(7,</t>
        </is>
      </c>
      <c r="G900" s="0" t="inlineStr">
        <is>
          <t>5)</t>
        </is>
      </c>
      <c r="K900" s="0">
        <f>IF(H899="1)",1,IF(H899="2)",2,IF(H899="3)",3,IF(H899="4)",4,IF(H899="5)",5,IF(H899="6)",6,IF(H899="7)",7,IF(H899="8)",8,0))))))))</f>
        <v/>
      </c>
      <c r="L900" s="0">
        <f>IF(H899="1)",J899,IF(H899="2)",J899,IF(H899="3)",J899,IF(H899="4)",J899,IF(H899="5)",J899,IF(H899="6)",J899,IF(H899="7)",J899,IF(H899="8)",J899,0))))))))</f>
        <v/>
      </c>
    </row>
    <row r="901">
      <c r="A901" s="0" t="inlineStr">
        <is>
          <t>New</t>
        </is>
      </c>
      <c r="B901" s="0" t="inlineStr">
        <is>
          <t>Item</t>
        </is>
      </c>
      <c r="C901" s="0" t="inlineStr">
        <is>
          <t>Acquired</t>
        </is>
      </c>
      <c r="D901" s="0" t="inlineStr">
        <is>
          <t>:</t>
        </is>
      </c>
      <c r="E901" s="0" t="inlineStr">
        <is>
          <t>37.50K</t>
        </is>
      </c>
      <c r="F901" s="0" t="inlineStr">
        <is>
          <t>(2,</t>
        </is>
      </c>
      <c r="G901" s="0" t="inlineStr">
        <is>
          <t>3)</t>
        </is>
      </c>
      <c r="K901" s="0">
        <f>IF(H900="1)",1,IF(H900="2)",2,IF(H900="3)",3,IF(H900="4)",4,IF(H900="5)",5,IF(H900="6)",6,IF(H900="7)",7,IF(H900="8)",8,0))))))))</f>
        <v/>
      </c>
      <c r="L901" s="0">
        <f>IF(H900="1)",J900,IF(H900="2)",J900,IF(H900="3)",J900,IF(H900="4)",J900,IF(H900="5)",J900,IF(H900="6)",J900,IF(H900="7)",J900,IF(H900="8)",J900,0))))))))</f>
        <v/>
      </c>
    </row>
    <row r="902">
      <c r="A902" s="0" t="inlineStr">
        <is>
          <t>New</t>
        </is>
      </c>
      <c r="B902" s="0" t="inlineStr">
        <is>
          <t>Item</t>
        </is>
      </c>
      <c r="C902" s="0" t="inlineStr">
        <is>
          <t>Acquired</t>
        </is>
      </c>
      <c r="D902" s="0" t="inlineStr">
        <is>
          <t>:</t>
        </is>
      </c>
      <c r="E902" s="0" t="inlineStr">
        <is>
          <t>120.00K</t>
        </is>
      </c>
      <c r="F902" s="0" t="inlineStr">
        <is>
          <t>(8,</t>
        </is>
      </c>
      <c r="G902" s="0" t="inlineStr">
        <is>
          <t>18)</t>
        </is>
      </c>
      <c r="K902" s="0">
        <f>IF(H901="1)",1,IF(H901="2)",2,IF(H901="3)",3,IF(H901="4)",4,IF(H901="5)",5,IF(H901="6)",6,IF(H901="7)",7,IF(H901="8)",8,0))))))))</f>
        <v/>
      </c>
      <c r="L902" s="0">
        <f>IF(H901="1)",J901,IF(H901="2)",J901,IF(H901="3)",J901,IF(H901="4)",J901,IF(H901="5)",J901,IF(H901="6)",J901,IF(H901="7)",J901,IF(H901="8)",J901,0))))))))</f>
        <v/>
      </c>
    </row>
    <row r="903">
      <c r="A903" s="0" t="inlineStr">
        <is>
          <t>New</t>
        </is>
      </c>
      <c r="B903" s="0" t="inlineStr">
        <is>
          <t>Item</t>
        </is>
      </c>
      <c r="C903" s="0" t="inlineStr">
        <is>
          <t>Acquired</t>
        </is>
      </c>
      <c r="D903" s="0" t="inlineStr">
        <is>
          <t>:</t>
        </is>
      </c>
      <c r="E903" s="0" t="inlineStr">
        <is>
          <t>37.50K</t>
        </is>
      </c>
      <c r="F903" s="0" t="inlineStr">
        <is>
          <t>(2,</t>
        </is>
      </c>
      <c r="G903" s="0" t="inlineStr">
        <is>
          <t>22)</t>
        </is>
      </c>
      <c r="K903" s="0">
        <f>IF(H902="1)",1,IF(H902="2)",2,IF(H902="3)",3,IF(H902="4)",4,IF(H902="5)",5,IF(H902="6)",6,IF(H902="7)",7,IF(H902="8)",8,0))))))))</f>
        <v/>
      </c>
      <c r="L903" s="0">
        <f>IF(H902="1)",J902,IF(H902="2)",J902,IF(H902="3)",J902,IF(H902="4)",J902,IF(H902="5)",J902,IF(H902="6)",J902,IF(H902="7)",J902,IF(H902="8)",J902,0))))))))</f>
        <v/>
      </c>
    </row>
    <row r="904">
      <c r="A904" s="0" t="inlineStr">
        <is>
          <t>New</t>
        </is>
      </c>
      <c r="B904" s="0" t="inlineStr">
        <is>
          <t>Item</t>
        </is>
      </c>
      <c r="C904" s="0" t="inlineStr">
        <is>
          <t>Acquired</t>
        </is>
      </c>
      <c r="D904" s="0" t="inlineStr">
        <is>
          <t>:</t>
        </is>
      </c>
      <c r="E904" s="0" t="inlineStr">
        <is>
          <t>90.00K</t>
        </is>
      </c>
      <c r="F904" s="0" t="inlineStr">
        <is>
          <t>(7,</t>
        </is>
      </c>
      <c r="G904" s="0" t="inlineStr">
        <is>
          <t>24)</t>
        </is>
      </c>
      <c r="K904" s="0">
        <f>IF(H903="1)",1,IF(H903="2)",2,IF(H903="3)",3,IF(H903="4)",4,IF(H903="5)",5,IF(H903="6)",6,IF(H903="7)",7,IF(H903="8)",8,0))))))))</f>
        <v/>
      </c>
      <c r="L904" s="0">
        <f>IF(H903="1)",J903,IF(H903="2)",J903,IF(H903="3)",J903,IF(H903="4)",J903,IF(H903="5)",J903,IF(H903="6)",J903,IF(H903="7)",J903,IF(H903="8)",J903,0))))))))</f>
        <v/>
      </c>
    </row>
    <row r="905">
      <c r="A905" s="0" t="inlineStr">
        <is>
          <t>New</t>
        </is>
      </c>
      <c r="B905" s="0" t="inlineStr">
        <is>
          <t>Item</t>
        </is>
      </c>
      <c r="C905" s="0" t="inlineStr">
        <is>
          <t>Acquired</t>
        </is>
      </c>
      <c r="D905" s="0" t="inlineStr">
        <is>
          <t>:</t>
        </is>
      </c>
      <c r="E905" s="0" t="inlineStr">
        <is>
          <t>105.00K</t>
        </is>
      </c>
      <c r="F905" s="0" t="inlineStr">
        <is>
          <t>(3,</t>
        </is>
      </c>
      <c r="G905" s="0" t="inlineStr">
        <is>
          <t>17)</t>
        </is>
      </c>
      <c r="K905" s="0">
        <f>IF(H904="1)",1,IF(H904="2)",2,IF(H904="3)",3,IF(H904="4)",4,IF(H904="5)",5,IF(H904="6)",6,IF(H904="7)",7,IF(H904="8)",8,0))))))))</f>
        <v/>
      </c>
      <c r="L905" s="0">
        <f>IF(H904="1)",J904,IF(H904="2)",J904,IF(H904="3)",J904,IF(H904="4)",J904,IF(H904="5)",J904,IF(H904="6)",J904,IF(H904="7)",J904,IF(H904="8)",J904,0))))))))</f>
        <v/>
      </c>
    </row>
    <row r="906">
      <c r="A906" s="0" t="inlineStr">
        <is>
          <t>Line</t>
        </is>
      </c>
      <c r="B906" s="0" t="inlineStr">
        <is>
          <t>Prize</t>
        </is>
      </c>
      <c r="C906" s="0" t="inlineStr">
        <is>
          <t>Acquired</t>
        </is>
      </c>
      <c r="D906" s="0" t="inlineStr">
        <is>
          <t>:</t>
        </is>
      </c>
      <c r="E906" s="0" t="inlineStr">
        <is>
          <t>375.00K</t>
        </is>
      </c>
      <c r="F906" s="0" t="inlineStr">
        <is>
          <t>(Stage</t>
        </is>
      </c>
      <c r="G906" s="0" t="inlineStr">
        <is>
          <t>:</t>
        </is>
      </c>
      <c r="H906" s="0" t="inlineStr">
        <is>
          <t>3)</t>
        </is>
      </c>
      <c r="I906" s="0" t="inlineStr">
        <is>
          <t>-</t>
        </is>
      </c>
      <c r="J906" s="0" t="n">
        <v>375000</v>
      </c>
      <c r="K906" s="0">
        <f>IF(H905="1)",1,IF(H905="2)",2,IF(H905="3)",3,IF(H905="4)",4,IF(H905="5)",5,IF(H905="6)",6,IF(H905="7)",7,IF(H905="8)",8,0))))))))</f>
        <v/>
      </c>
      <c r="L906" s="0">
        <f>IF(H905="1)",J905,IF(H905="2)",J905,IF(H905="3)",J905,IF(H905="4)",J905,IF(H905="5)",J905,IF(H905="6)",J905,IF(H905="7)",J905,IF(H905="8)",J905,0))))))))</f>
        <v/>
      </c>
    </row>
    <row r="907">
      <c r="A907" s="0" t="inlineStr">
        <is>
          <t>Clear</t>
        </is>
      </c>
      <c r="B907" s="0" t="inlineStr">
        <is>
          <t>Gem</t>
        </is>
      </c>
      <c r="C907" s="0" t="inlineStr">
        <is>
          <t>Acquired</t>
        </is>
      </c>
      <c r="D907" s="0" t="inlineStr">
        <is>
          <t>:</t>
        </is>
      </c>
      <c r="E907" s="0" t="n">
        <v>5400</v>
      </c>
      <c r="F907" s="0" t="inlineStr">
        <is>
          <t>-&gt;</t>
        </is>
      </c>
      <c r="G907" s="0" t="n">
        <v>5500</v>
      </c>
      <c r="H907" s="0" t="inlineStr">
        <is>
          <t>(Stage</t>
        </is>
      </c>
      <c r="I907" s="0" t="inlineStr">
        <is>
          <t>:</t>
        </is>
      </c>
      <c r="J907" s="0" t="inlineStr">
        <is>
          <t>3)</t>
        </is>
      </c>
      <c r="K907" s="0">
        <f>IF(H906="1)",1,IF(H906="2)",2,IF(H906="3)",3,IF(H906="4)",4,IF(H906="5)",5,IF(H906="6)",6,IF(H906="7)",7,IF(H906="8)",8,0))))))))</f>
        <v/>
      </c>
      <c r="L907" s="0">
        <f>IF(H906="1)",J906,IF(H906="2)",J906,IF(H906="3)",J906,IF(H906="4)",J906,IF(H906="5)",J906,IF(H906="6)",J906,IF(H906="7)",J906,IF(H906="8)",J906,0))))))))</f>
        <v/>
      </c>
    </row>
    <row r="908">
      <c r="A908" s="0" t="inlineStr">
        <is>
          <t>New</t>
        </is>
      </c>
      <c r="B908" s="0" t="inlineStr">
        <is>
          <t>Item</t>
        </is>
      </c>
      <c r="C908" s="0" t="inlineStr">
        <is>
          <t>Acquired</t>
        </is>
      </c>
      <c r="D908" s="0" t="inlineStr">
        <is>
          <t>:</t>
        </is>
      </c>
      <c r="E908" s="0" t="inlineStr">
        <is>
          <t>120.00K</t>
        </is>
      </c>
      <c r="F908" s="0" t="inlineStr">
        <is>
          <t>(8,</t>
        </is>
      </c>
      <c r="G908" s="0" t="inlineStr">
        <is>
          <t>8)</t>
        </is>
      </c>
      <c r="K908" s="0">
        <f>IF(H907="1)",1,IF(H907="2)",2,IF(H907="3)",3,IF(H907="4)",4,IF(H907="5)",5,IF(H907="6)",6,IF(H907="7)",7,IF(H907="8)",8,0))))))))</f>
        <v/>
      </c>
      <c r="L908" s="0">
        <f>IF(H907="1)",J907,IF(H907="2)",J907,IF(H907="3)",J907,IF(H907="4)",J907,IF(H907="5)",J907,IF(H907="6)",J907,IF(H907="7)",J907,IF(H907="8)",J907,0))))))))</f>
        <v/>
      </c>
    </row>
    <row r="909">
      <c r="A909" s="0" t="inlineStr">
        <is>
          <t>New</t>
        </is>
      </c>
      <c r="B909" s="0" t="inlineStr">
        <is>
          <t>Item</t>
        </is>
      </c>
      <c r="C909" s="0" t="inlineStr">
        <is>
          <t>Acquired</t>
        </is>
      </c>
      <c r="D909" s="0" t="inlineStr">
        <is>
          <t>:</t>
        </is>
      </c>
      <c r="E909" s="0" t="inlineStr">
        <is>
          <t>125.00K</t>
        </is>
      </c>
      <c r="F909" s="0" t="inlineStr">
        <is>
          <t>(6,</t>
        </is>
      </c>
      <c r="G909" s="0" t="inlineStr">
        <is>
          <t>20)</t>
        </is>
      </c>
      <c r="K909" s="0">
        <f>IF(H908="1)",1,IF(H908="2)",2,IF(H908="3)",3,IF(H908="4)",4,IF(H908="5)",5,IF(H908="6)",6,IF(H908="7)",7,IF(H908="8)",8,0))))))))</f>
        <v/>
      </c>
      <c r="L909" s="0">
        <f>IF(H908="1)",J908,IF(H908="2)",J908,IF(H908="3)",J908,IF(H908="4)",J908,IF(H908="5)",J908,IF(H908="6)",J908,IF(H908="7)",J908,IF(H908="8)",J908,0))))))))</f>
        <v/>
      </c>
    </row>
    <row r="910">
      <c r="A910" s="0" t="inlineStr">
        <is>
          <t>New</t>
        </is>
      </c>
      <c r="B910" s="0" t="inlineStr">
        <is>
          <t>Item</t>
        </is>
      </c>
      <c r="C910" s="0" t="inlineStr">
        <is>
          <t>Acquired</t>
        </is>
      </c>
      <c r="D910" s="0" t="inlineStr">
        <is>
          <t>:</t>
        </is>
      </c>
      <c r="E910" s="0" t="inlineStr">
        <is>
          <t>105.00K</t>
        </is>
      </c>
      <c r="F910" s="0" t="inlineStr">
        <is>
          <t>(3,</t>
        </is>
      </c>
      <c r="G910" s="0" t="inlineStr">
        <is>
          <t>10)</t>
        </is>
      </c>
      <c r="K910" s="0">
        <f>IF(H909="1)",1,IF(H909="2)",2,IF(H909="3)",3,IF(H909="4)",4,IF(H909="5)",5,IF(H909="6)",6,IF(H909="7)",7,IF(H909="8)",8,0))))))))</f>
        <v/>
      </c>
      <c r="L910" s="0">
        <f>IF(H909="1)",J909,IF(H909="2)",J909,IF(H909="3)",J909,IF(H909="4)",J909,IF(H909="5)",J909,IF(H909="6)",J909,IF(H909="7)",J909,IF(H909="8)",J909,0))))))))</f>
        <v/>
      </c>
    </row>
    <row r="911">
      <c r="A911" s="0" t="inlineStr">
        <is>
          <t>New</t>
        </is>
      </c>
      <c r="B911" s="0" t="inlineStr">
        <is>
          <t>Item</t>
        </is>
      </c>
      <c r="C911" s="0" t="inlineStr">
        <is>
          <t>Acquired</t>
        </is>
      </c>
      <c r="D911" s="0" t="inlineStr">
        <is>
          <t>:</t>
        </is>
      </c>
      <c r="E911" s="0" t="inlineStr">
        <is>
          <t>175.00K</t>
        </is>
      </c>
      <c r="F911" s="0" t="inlineStr">
        <is>
          <t>(6,</t>
        </is>
      </c>
      <c r="G911" s="0" t="inlineStr">
        <is>
          <t>6)</t>
        </is>
      </c>
      <c r="K911" s="0">
        <f>IF(H910="1)",1,IF(H910="2)",2,IF(H910="3)",3,IF(H910="4)",4,IF(H910="5)",5,IF(H910="6)",6,IF(H910="7)",7,IF(H910="8)",8,0))))))))</f>
        <v/>
      </c>
      <c r="L911" s="0">
        <f>IF(H910="1)",J910,IF(H910="2)",J910,IF(H910="3)",J910,IF(H910="4)",J910,IF(H910="5)",J910,IF(H910="6)",J910,IF(H910="7)",J910,IF(H910="8)",J910,0))))))))</f>
        <v/>
      </c>
    </row>
    <row r="912">
      <c r="A912" s="0" t="inlineStr">
        <is>
          <t>New</t>
        </is>
      </c>
      <c r="B912" s="0" t="inlineStr">
        <is>
          <t>Item</t>
        </is>
      </c>
      <c r="C912" s="0" t="inlineStr">
        <is>
          <t>Acquired</t>
        </is>
      </c>
      <c r="D912" s="0" t="inlineStr">
        <is>
          <t>:</t>
        </is>
      </c>
      <c r="E912" s="0" t="inlineStr">
        <is>
          <t>Major</t>
        </is>
      </c>
      <c r="F912" s="0" t="inlineStr">
        <is>
          <t>(5,</t>
        </is>
      </c>
      <c r="G912" s="0" t="inlineStr">
        <is>
          <t>24)</t>
        </is>
      </c>
      <c r="K912" s="0">
        <f>IF(H911="1)",1,IF(H911="2)",2,IF(H911="3)",3,IF(H911="4)",4,IF(H911="5)",5,IF(H911="6)",6,IF(H911="7)",7,IF(H911="8)",8,0))))))))</f>
        <v/>
      </c>
      <c r="L912" s="0">
        <f>IF(H911="1)",J911,IF(H911="2)",J911,IF(H911="3)",J911,IF(H911="4)",J911,IF(H911="5)",J911,IF(H911="6)",J911,IF(H911="7)",J911,IF(H911="8)",J911,0))))))))</f>
        <v/>
      </c>
    </row>
    <row r="913">
      <c r="A913" s="0" t="inlineStr">
        <is>
          <t>New</t>
        </is>
      </c>
      <c r="B913" s="0" t="inlineStr">
        <is>
          <t>Item</t>
        </is>
      </c>
      <c r="C913" s="0" t="inlineStr">
        <is>
          <t>Acquired</t>
        </is>
      </c>
      <c r="D913" s="0" t="inlineStr">
        <is>
          <t>:</t>
        </is>
      </c>
      <c r="E913" s="0" t="inlineStr">
        <is>
          <t>67.50K</t>
        </is>
      </c>
      <c r="F913" s="0" t="inlineStr">
        <is>
          <t>(5,</t>
        </is>
      </c>
      <c r="G913" s="0" t="inlineStr">
        <is>
          <t>9)</t>
        </is>
      </c>
      <c r="K913" s="0">
        <f>IF(H912="1)",1,IF(H912="2)",2,IF(H912="3)",3,IF(H912="4)",4,IF(H912="5)",5,IF(H912="6)",6,IF(H912="7)",7,IF(H912="8)",8,0))))))))</f>
        <v/>
      </c>
      <c r="L913" s="0">
        <f>IF(H912="1)",J912,IF(H912="2)",J912,IF(H912="3)",J912,IF(H912="4)",J912,IF(H912="5)",J912,IF(H912="6)",J912,IF(H912="7)",J912,IF(H912="8)",J912,0))))))))</f>
        <v/>
      </c>
    </row>
    <row r="914">
      <c r="A914" s="0" t="inlineStr">
        <is>
          <t>New</t>
        </is>
      </c>
      <c r="B914" s="0" t="inlineStr">
        <is>
          <t>Item</t>
        </is>
      </c>
      <c r="C914" s="0" t="inlineStr">
        <is>
          <t>Acquired</t>
        </is>
      </c>
      <c r="D914" s="0" t="inlineStr">
        <is>
          <t>:</t>
        </is>
      </c>
      <c r="E914" s="0" t="inlineStr">
        <is>
          <t>60.00K</t>
        </is>
      </c>
      <c r="F914" s="0" t="inlineStr">
        <is>
          <t>(4,</t>
        </is>
      </c>
      <c r="G914" s="0" t="inlineStr">
        <is>
          <t>20)</t>
        </is>
      </c>
      <c r="K914" s="0">
        <f>IF(H913="1)",1,IF(H913="2)",2,IF(H913="3)",3,IF(H913="4)",4,IF(H913="5)",5,IF(H913="6)",6,IF(H913="7)",7,IF(H913="8)",8,0))))))))</f>
        <v/>
      </c>
      <c r="L914" s="0">
        <f>IF(H913="1)",J913,IF(H913="2)",J913,IF(H913="3)",J913,IF(H913="4)",J913,IF(H913="5)",J913,IF(H913="6)",J913,IF(H913="7)",J913,IF(H913="8)",J913,0))))))))</f>
        <v/>
      </c>
    </row>
    <row r="915">
      <c r="A915" s="0" t="inlineStr">
        <is>
          <t>New</t>
        </is>
      </c>
      <c r="B915" s="0" t="inlineStr">
        <is>
          <t>Item</t>
        </is>
      </c>
      <c r="C915" s="0" t="inlineStr">
        <is>
          <t>Acquired</t>
        </is>
      </c>
      <c r="D915" s="0" t="inlineStr">
        <is>
          <t>:</t>
        </is>
      </c>
      <c r="E915" s="0" t="inlineStr">
        <is>
          <t>30.00K</t>
        </is>
      </c>
      <c r="F915" s="0" t="inlineStr">
        <is>
          <t>(1,</t>
        </is>
      </c>
      <c r="G915" s="0" t="inlineStr">
        <is>
          <t>8)</t>
        </is>
      </c>
      <c r="K915" s="0">
        <f>IF(H914="1)",1,IF(H914="2)",2,IF(H914="3)",3,IF(H914="4)",4,IF(H914="5)",5,IF(H914="6)",6,IF(H914="7)",7,IF(H914="8)",8,0))))))))</f>
        <v/>
      </c>
      <c r="L915" s="0">
        <f>IF(H914="1)",J914,IF(H914="2)",J914,IF(H914="3)",J914,IF(H914="4)",J914,IF(H914="5)",J914,IF(H914="6)",J914,IF(H914="7)",J914,IF(H914="8)",J914,0))))))))</f>
        <v/>
      </c>
    </row>
    <row r="916">
      <c r="A916" s="0" t="inlineStr">
        <is>
          <t>New</t>
        </is>
      </c>
      <c r="B916" s="0" t="inlineStr">
        <is>
          <t>Item</t>
        </is>
      </c>
      <c r="C916" s="0" t="inlineStr">
        <is>
          <t>Acquired</t>
        </is>
      </c>
      <c r="D916" s="0" t="inlineStr">
        <is>
          <t>:</t>
        </is>
      </c>
      <c r="E916" s="0" t="inlineStr">
        <is>
          <t>Minor</t>
        </is>
      </c>
      <c r="F916" s="0" t="inlineStr">
        <is>
          <t>(1,</t>
        </is>
      </c>
      <c r="G916" s="0" t="inlineStr">
        <is>
          <t>2)</t>
        </is>
      </c>
      <c r="K916" s="0">
        <f>IF(H915="1)",1,IF(H915="2)",2,IF(H915="3)",3,IF(H915="4)",4,IF(H915="5)",5,IF(H915="6)",6,IF(H915="7)",7,IF(H915="8)",8,0))))))))</f>
        <v/>
      </c>
      <c r="L916" s="0">
        <f>IF(H915="1)",J915,IF(H915="2)",J915,IF(H915="3)",J915,IF(H915="4)",J915,IF(H915="5)",J915,IF(H915="6)",J915,IF(H915="7)",J915,IF(H915="8)",J915,0))))))))</f>
        <v/>
      </c>
    </row>
    <row r="917">
      <c r="A917" s="0" t="inlineStr">
        <is>
          <t>New</t>
        </is>
      </c>
      <c r="B917" s="0" t="inlineStr">
        <is>
          <t>Item</t>
        </is>
      </c>
      <c r="C917" s="0" t="inlineStr">
        <is>
          <t>Acquired</t>
        </is>
      </c>
      <c r="D917" s="0" t="inlineStr">
        <is>
          <t>:</t>
        </is>
      </c>
      <c r="E917" s="0" t="inlineStr">
        <is>
          <t>37.50K</t>
        </is>
      </c>
      <c r="F917" s="0" t="inlineStr">
        <is>
          <t>(2,</t>
        </is>
      </c>
      <c r="G917" s="0" t="inlineStr">
        <is>
          <t>7)</t>
        </is>
      </c>
      <c r="K917" s="0">
        <f>IF(H916="1)",1,IF(H916="2)",2,IF(H916="3)",3,IF(H916="4)",4,IF(H916="5)",5,IF(H916="6)",6,IF(H916="7)",7,IF(H916="8)",8,0))))))))</f>
        <v/>
      </c>
      <c r="L917" s="0">
        <f>IF(H916="1)",J916,IF(H916="2)",J916,IF(H916="3)",J916,IF(H916="4)",J916,IF(H916="5)",J916,IF(H916="6)",J916,IF(H916="7)",J916,IF(H916="8)",J916,0))))))))</f>
        <v/>
      </c>
    </row>
    <row r="918">
      <c r="A918" s="0" t="inlineStr">
        <is>
          <t>New</t>
        </is>
      </c>
      <c r="B918" s="0" t="inlineStr">
        <is>
          <t>Item</t>
        </is>
      </c>
      <c r="C918" s="0" t="inlineStr">
        <is>
          <t>Acquired</t>
        </is>
      </c>
      <c r="D918" s="0" t="inlineStr">
        <is>
          <t>:</t>
        </is>
      </c>
      <c r="E918" s="0" t="inlineStr">
        <is>
          <t>50.00K</t>
        </is>
      </c>
      <c r="F918" s="0" t="inlineStr">
        <is>
          <t>(1,</t>
        </is>
      </c>
      <c r="G918" s="0" t="inlineStr">
        <is>
          <t>17)</t>
        </is>
      </c>
      <c r="K918" s="0">
        <f>IF(H917="1)",1,IF(H917="2)",2,IF(H917="3)",3,IF(H917="4)",4,IF(H917="5)",5,IF(H917="6)",6,IF(H917="7)",7,IF(H917="8)",8,0))))))))</f>
        <v/>
      </c>
      <c r="L918" s="0">
        <f>IF(H917="1)",J917,IF(H917="2)",J917,IF(H917="3)",J917,IF(H917="4)",J917,IF(H917="5)",J917,IF(H917="6)",J917,IF(H917="7)",J917,IF(H917="8)",J917,0))))))))</f>
        <v/>
      </c>
    </row>
    <row r="919">
      <c r="A919" s="0" t="inlineStr">
        <is>
          <t>New</t>
        </is>
      </c>
      <c r="B919" s="0" t="inlineStr">
        <is>
          <t>Item</t>
        </is>
      </c>
      <c r="C919" s="0" t="inlineStr">
        <is>
          <t>Acquired</t>
        </is>
      </c>
      <c r="D919" s="0" t="inlineStr">
        <is>
          <t>:</t>
        </is>
      </c>
      <c r="E919" s="0" t="inlineStr">
        <is>
          <t>125.00K</t>
        </is>
      </c>
      <c r="F919" s="0" t="inlineStr">
        <is>
          <t>(6,</t>
        </is>
      </c>
      <c r="G919" s="0" t="inlineStr">
        <is>
          <t>22)</t>
        </is>
      </c>
      <c r="K919" s="0">
        <f>IF(H918="1)",1,IF(H918="2)",2,IF(H918="3)",3,IF(H918="4)",4,IF(H918="5)",5,IF(H918="6)",6,IF(H918="7)",7,IF(H918="8)",8,0))))))))</f>
        <v/>
      </c>
      <c r="L919" s="0">
        <f>IF(H918="1)",J918,IF(H918="2)",J918,IF(H918="3)",J918,IF(H918="4)",J918,IF(H918="5)",J918,IF(H918="6)",J918,IF(H918="7)",J918,IF(H918="8)",J918,0))))))))</f>
        <v/>
      </c>
    </row>
    <row r="920">
      <c r="A920" s="0" t="inlineStr">
        <is>
          <t>New</t>
        </is>
      </c>
      <c r="B920" s="0" t="inlineStr">
        <is>
          <t>Item</t>
        </is>
      </c>
      <c r="C920" s="0" t="inlineStr">
        <is>
          <t>Acquired</t>
        </is>
      </c>
      <c r="D920" s="0" t="inlineStr">
        <is>
          <t>:</t>
        </is>
      </c>
      <c r="E920" s="0" t="inlineStr">
        <is>
          <t>30.00K</t>
        </is>
      </c>
      <c r="F920" s="0" t="inlineStr">
        <is>
          <t>(1,</t>
        </is>
      </c>
      <c r="G920" s="0" t="inlineStr">
        <is>
          <t>6)</t>
        </is>
      </c>
      <c r="K920" s="0">
        <f>IF(H919="1)",1,IF(H919="2)",2,IF(H919="3)",3,IF(H919="4)",4,IF(H919="5)",5,IF(H919="6)",6,IF(H919="7)",7,IF(H919="8)",8,0))))))))</f>
        <v/>
      </c>
      <c r="L920" s="0">
        <f>IF(H919="1)",J919,IF(H919="2)",J919,IF(H919="3)",J919,IF(H919="4)",J919,IF(H919="5)",J919,IF(H919="6)",J919,IF(H919="7)",J919,IF(H919="8)",J919,0))))))))</f>
        <v/>
      </c>
    </row>
    <row r="921">
      <c r="A921" s="0" t="inlineStr">
        <is>
          <t>New</t>
        </is>
      </c>
      <c r="B921" s="0" t="inlineStr">
        <is>
          <t>Item</t>
        </is>
      </c>
      <c r="C921" s="0" t="inlineStr">
        <is>
          <t>Acquired</t>
        </is>
      </c>
      <c r="D921" s="0" t="inlineStr">
        <is>
          <t>:</t>
        </is>
      </c>
      <c r="E921" s="0" t="inlineStr">
        <is>
          <t>45.00K</t>
        </is>
      </c>
      <c r="F921" s="0" t="inlineStr">
        <is>
          <t>(3,</t>
        </is>
      </c>
      <c r="G921" s="0" t="inlineStr">
        <is>
          <t>5)</t>
        </is>
      </c>
      <c r="K921" s="0">
        <f>IF(H920="1)",1,IF(H920="2)",2,IF(H920="3)",3,IF(H920="4)",4,IF(H920="5)",5,IF(H920="6)",6,IF(H920="7)",7,IF(H920="8)",8,0))))))))</f>
        <v/>
      </c>
      <c r="L921" s="0">
        <f>IF(H920="1)",J920,IF(H920="2)",J920,IF(H920="3)",J920,IF(H920="4)",J920,IF(H920="5)",J920,IF(H920="6)",J920,IF(H920="7)",J920,IF(H920="8)",J920,0))))))))</f>
        <v/>
      </c>
    </row>
    <row r="922">
      <c r="A922" s="0" t="inlineStr">
        <is>
          <t>New</t>
        </is>
      </c>
      <c r="B922" s="0" t="inlineStr">
        <is>
          <t>Item</t>
        </is>
      </c>
      <c r="C922" s="0" t="inlineStr">
        <is>
          <t>Acquired</t>
        </is>
      </c>
      <c r="D922" s="0" t="inlineStr">
        <is>
          <t>:</t>
        </is>
      </c>
      <c r="E922" s="0" t="inlineStr">
        <is>
          <t>75.00K</t>
        </is>
      </c>
      <c r="F922" s="0" t="inlineStr">
        <is>
          <t>(3,</t>
        </is>
      </c>
      <c r="G922" s="0" t="inlineStr">
        <is>
          <t>2)</t>
        </is>
      </c>
      <c r="K922" s="0">
        <f>IF(H921="1)",1,IF(H921="2)",2,IF(H921="3)",3,IF(H921="4)",4,IF(H921="5)",5,IF(H921="6)",6,IF(H921="7)",7,IF(H921="8)",8,0))))))))</f>
        <v/>
      </c>
      <c r="L922" s="0">
        <f>IF(H921="1)",J921,IF(H921="2)",J921,IF(H921="3)",J921,IF(H921="4)",J921,IF(H921="5)",J921,IF(H921="6)",J921,IF(H921="7)",J921,IF(H921="8)",J921,0))))))))</f>
        <v/>
      </c>
    </row>
    <row r="923">
      <c r="A923" s="0" t="inlineStr">
        <is>
          <t>New</t>
        </is>
      </c>
      <c r="B923" s="0" t="inlineStr">
        <is>
          <t>Item</t>
        </is>
      </c>
      <c r="C923" s="0" t="inlineStr">
        <is>
          <t>Acquired</t>
        </is>
      </c>
      <c r="D923" s="0" t="inlineStr">
        <is>
          <t>:</t>
        </is>
      </c>
      <c r="E923" s="0" t="inlineStr">
        <is>
          <t>45.00K</t>
        </is>
      </c>
      <c r="F923" s="0" t="inlineStr">
        <is>
          <t>(3,</t>
        </is>
      </c>
      <c r="G923" s="0" t="inlineStr">
        <is>
          <t>16)</t>
        </is>
      </c>
      <c r="K923" s="0">
        <f>IF(H922="1)",1,IF(H922="2)",2,IF(H922="3)",3,IF(H922="4)",4,IF(H922="5)",5,IF(H922="6)",6,IF(H922="7)",7,IF(H922="8)",8,0))))))))</f>
        <v/>
      </c>
      <c r="L923" s="0">
        <f>IF(H922="1)",J922,IF(H922="2)",J922,IF(H922="3)",J922,IF(H922="4)",J922,IF(H922="5)",J922,IF(H922="6)",J922,IF(H922="7)",J922,IF(H922="8)",J922,0))))))))</f>
        <v/>
      </c>
    </row>
    <row r="924">
      <c r="A924" s="0" t="inlineStr">
        <is>
          <t>New</t>
        </is>
      </c>
      <c r="B924" s="0" t="inlineStr">
        <is>
          <t>Item</t>
        </is>
      </c>
      <c r="C924" s="0" t="inlineStr">
        <is>
          <t>Acquired</t>
        </is>
      </c>
      <c r="D924" s="0" t="inlineStr">
        <is>
          <t>:</t>
        </is>
      </c>
      <c r="E924" s="0" t="inlineStr">
        <is>
          <t>75.00K</t>
        </is>
      </c>
      <c r="F924" s="0" t="inlineStr">
        <is>
          <t>(3,</t>
        </is>
      </c>
      <c r="G924" s="0" t="inlineStr">
        <is>
          <t>23)</t>
        </is>
      </c>
      <c r="K924" s="0">
        <f>IF(H923="1)",1,IF(H923="2)",2,IF(H923="3)",3,IF(H923="4)",4,IF(H923="5)",5,IF(H923="6)",6,IF(H923="7)",7,IF(H923="8)",8,0))))))))</f>
        <v/>
      </c>
      <c r="L924" s="0">
        <f>IF(H923="1)",J923,IF(H923="2)",J923,IF(H923="3)",J923,IF(H923="4)",J923,IF(H923="5)",J923,IF(H923="6)",J923,IF(H923="7)",J923,IF(H923="8)",J923,0))))))))</f>
        <v/>
      </c>
    </row>
    <row r="925">
      <c r="A925" s="0" t="inlineStr">
        <is>
          <t>New</t>
        </is>
      </c>
      <c r="B925" s="0" t="inlineStr">
        <is>
          <t>Item</t>
        </is>
      </c>
      <c r="C925" s="0" t="inlineStr">
        <is>
          <t>Acquired</t>
        </is>
      </c>
      <c r="D925" s="0" t="inlineStr">
        <is>
          <t>:</t>
        </is>
      </c>
      <c r="E925" s="0" t="inlineStr">
        <is>
          <t>280.00K</t>
        </is>
      </c>
      <c r="F925" s="0" t="inlineStr">
        <is>
          <t>(8,</t>
        </is>
      </c>
      <c r="G925" s="0" t="inlineStr">
        <is>
          <t>16)</t>
        </is>
      </c>
      <c r="K925" s="0">
        <f>IF(H924="1)",1,IF(H924="2)",2,IF(H924="3)",3,IF(H924="4)",4,IF(H924="5)",5,IF(H924="6)",6,IF(H924="7)",7,IF(H924="8)",8,0))))))))</f>
        <v/>
      </c>
      <c r="L925" s="0">
        <f>IF(H924="1)",J924,IF(H924="2)",J924,IF(H924="3)",J924,IF(H924="4)",J924,IF(H924="5)",J924,IF(H924="6)",J924,IF(H924="7)",J924,IF(H924="8)",J924,0))))))))</f>
        <v/>
      </c>
    </row>
    <row r="926">
      <c r="A926" s="0" t="inlineStr">
        <is>
          <t>New</t>
        </is>
      </c>
      <c r="B926" s="0" t="inlineStr">
        <is>
          <t>Item</t>
        </is>
      </c>
      <c r="C926" s="0" t="inlineStr">
        <is>
          <t>Acquired</t>
        </is>
      </c>
      <c r="D926" s="0" t="inlineStr">
        <is>
          <t>:</t>
        </is>
      </c>
      <c r="E926" s="0" t="inlineStr">
        <is>
          <t>Minor</t>
        </is>
      </c>
      <c r="F926" s="0" t="inlineStr">
        <is>
          <t>(5,</t>
        </is>
      </c>
      <c r="G926" s="0" t="inlineStr">
        <is>
          <t>16)</t>
        </is>
      </c>
      <c r="K926" s="0">
        <f>IF(H925="1)",1,IF(H925="2)",2,IF(H925="3)",3,IF(H925="4)",4,IF(H925="5)",5,IF(H925="6)",6,IF(H925="7)",7,IF(H925="8)",8,0))))))))</f>
        <v/>
      </c>
      <c r="L926" s="0">
        <f>IF(H925="1)",J925,IF(H925="2)",J925,IF(H925="3)",J925,IF(H925="4)",J925,IF(H925="5)",J925,IF(H925="6)",J925,IF(H925="7)",J925,IF(H925="8)",J925,0))))))))</f>
        <v/>
      </c>
    </row>
    <row r="927">
      <c r="A927" s="0" t="inlineStr">
        <is>
          <t>New</t>
        </is>
      </c>
      <c r="B927" s="0" t="inlineStr">
        <is>
          <t>Item</t>
        </is>
      </c>
      <c r="C927" s="0" t="inlineStr">
        <is>
          <t>Acquired</t>
        </is>
      </c>
      <c r="D927" s="0" t="inlineStr">
        <is>
          <t>:</t>
        </is>
      </c>
      <c r="E927" s="0" t="inlineStr">
        <is>
          <t>37.50K</t>
        </is>
      </c>
      <c r="F927" s="0" t="inlineStr">
        <is>
          <t>(2,</t>
        </is>
      </c>
      <c r="G927" s="0" t="inlineStr">
        <is>
          <t>21)</t>
        </is>
      </c>
      <c r="K927" s="0">
        <f>IF(H926="1)",1,IF(H926="2)",2,IF(H926="3)",3,IF(H926="4)",4,IF(H926="5)",5,IF(H926="6)",6,IF(H926="7)",7,IF(H926="8)",8,0))))))))</f>
        <v/>
      </c>
      <c r="L927" s="0">
        <f>IF(H926="1)",J926,IF(H926="2)",J926,IF(H926="3)",J926,IF(H926="4)",J926,IF(H926="5)",J926,IF(H926="6)",J926,IF(H926="7)",J926,IF(H926="8)",J926,0))))))))</f>
        <v/>
      </c>
    </row>
    <row r="928">
      <c r="A928" s="0" t="inlineStr">
        <is>
          <t>Item</t>
        </is>
      </c>
      <c r="B928" s="0" t="inlineStr">
        <is>
          <t>ReSelect</t>
        </is>
      </c>
      <c r="C928" s="0" t="inlineStr">
        <is>
          <t>Failed</t>
        </is>
      </c>
      <c r="D928" s="0" t="inlineStr">
        <is>
          <t>:</t>
        </is>
      </c>
      <c r="E928" s="0" t="inlineStr">
        <is>
          <t>Attempt</t>
        </is>
      </c>
      <c r="F928" s="0" t="inlineStr">
        <is>
          <t>Count</t>
        </is>
      </c>
      <c r="G928" s="0" t="inlineStr">
        <is>
          <t>-</t>
        </is>
      </c>
      <c r="H928" s="0" t="n">
        <v>3</v>
      </c>
      <c r="K928" s="0">
        <f>IF(H927="1)",1,IF(H927="2)",2,IF(H927="3)",3,IF(H927="4)",4,IF(H927="5)",5,IF(H927="6)",6,IF(H927="7)",7,IF(H927="8)",8,0))))))))</f>
        <v/>
      </c>
      <c r="L928" s="0">
        <f>IF(H927="1)",J927,IF(H927="2)",J927,IF(H927="3)",J927,IF(H927="4)",J927,IF(H927="5)",J927,IF(H927="6)",J927,IF(H927="7)",J927,IF(H927="8)",J927,0))))))))</f>
        <v/>
      </c>
    </row>
    <row r="929">
      <c r="A929" s="0" t="inlineStr">
        <is>
          <t>New</t>
        </is>
      </c>
      <c r="B929" s="0" t="inlineStr">
        <is>
          <t>Item</t>
        </is>
      </c>
      <c r="C929" s="0" t="inlineStr">
        <is>
          <t>Acquired</t>
        </is>
      </c>
      <c r="D929" s="0" t="inlineStr">
        <is>
          <t>:</t>
        </is>
      </c>
      <c r="E929" s="0" t="inlineStr">
        <is>
          <t>75.00K</t>
        </is>
      </c>
      <c r="F929" s="0" t="inlineStr">
        <is>
          <t>(3,</t>
        </is>
      </c>
      <c r="G929" s="0" t="inlineStr">
        <is>
          <t>25)</t>
        </is>
      </c>
      <c r="K929" s="0">
        <f>IF(H928="1)",1,IF(H928="2)",2,IF(H928="3)",3,IF(H928="4)",4,IF(H928="5)",5,IF(H928="6)",6,IF(H928="7)",7,IF(H928="8)",8,0))))))))</f>
        <v/>
      </c>
      <c r="L929" s="0">
        <f>IF(H928="1)",J928,IF(H928="2)",J928,IF(H928="3)",J928,IF(H928="4)",J928,IF(H928="5)",J928,IF(H928="6)",J928,IF(H928="7)",J928,IF(H928="8)",J928,0))))))))</f>
        <v/>
      </c>
    </row>
    <row r="930">
      <c r="A930" s="0" t="inlineStr">
        <is>
          <t>New</t>
        </is>
      </c>
      <c r="B930" s="0" t="inlineStr">
        <is>
          <t>Item</t>
        </is>
      </c>
      <c r="C930" s="0" t="inlineStr">
        <is>
          <t>Acquired</t>
        </is>
      </c>
      <c r="D930" s="0" t="inlineStr">
        <is>
          <t>:</t>
        </is>
      </c>
      <c r="E930" s="0" t="inlineStr">
        <is>
          <t>37.50K</t>
        </is>
      </c>
      <c r="F930" s="0" t="inlineStr">
        <is>
          <t>(2,</t>
        </is>
      </c>
      <c r="G930" s="0" t="inlineStr">
        <is>
          <t>10)</t>
        </is>
      </c>
      <c r="K930" s="0">
        <f>IF(H929="1)",1,IF(H929="2)",2,IF(H929="3)",3,IF(H929="4)",4,IF(H929="5)",5,IF(H929="6)",6,IF(H929="7)",7,IF(H929="8)",8,0))))))))</f>
        <v/>
      </c>
      <c r="L930" s="0">
        <f>IF(H929="1)",J929,IF(H929="2)",J929,IF(H929="3)",J929,IF(H929="4)",J929,IF(H929="5)",J929,IF(H929="6)",J929,IF(H929="7)",J929,IF(H929="8)",J929,0))))))))</f>
        <v/>
      </c>
    </row>
    <row r="931">
      <c r="A931" s="0" t="inlineStr">
        <is>
          <t>New</t>
        </is>
      </c>
      <c r="B931" s="0" t="inlineStr">
        <is>
          <t>Item</t>
        </is>
      </c>
      <c r="C931" s="0" t="inlineStr">
        <is>
          <t>Acquired</t>
        </is>
      </c>
      <c r="D931" s="0" t="inlineStr">
        <is>
          <t>:</t>
        </is>
      </c>
      <c r="E931" s="0" t="inlineStr">
        <is>
          <t>62.50K</t>
        </is>
      </c>
      <c r="F931" s="0" t="inlineStr">
        <is>
          <t>(2,</t>
        </is>
      </c>
      <c r="G931" s="0" t="inlineStr">
        <is>
          <t>24)</t>
        </is>
      </c>
      <c r="K931" s="0">
        <f>IF(H930="1)",1,IF(H930="2)",2,IF(H930="3)",3,IF(H930="4)",4,IF(H930="5)",5,IF(H930="6)",6,IF(H930="7)",7,IF(H930="8)",8,0))))))))</f>
        <v/>
      </c>
      <c r="L931" s="0">
        <f>IF(H930="1)",J930,IF(H930="2)",J930,IF(H930="3)",J930,IF(H930="4)",J930,IF(H930="5)",J930,IF(H930="6)",J930,IF(H930="7)",J930,IF(H930="8)",J930,0))))))))</f>
        <v/>
      </c>
    </row>
    <row r="932">
      <c r="A932" s="0" t="inlineStr">
        <is>
          <t>New</t>
        </is>
      </c>
      <c r="B932" s="0" t="inlineStr">
        <is>
          <t>Item</t>
        </is>
      </c>
      <c r="C932" s="0" t="inlineStr">
        <is>
          <t>Acquired</t>
        </is>
      </c>
      <c r="D932" s="0" t="inlineStr">
        <is>
          <t>:</t>
        </is>
      </c>
      <c r="E932" s="0" t="inlineStr">
        <is>
          <t>210.00K</t>
        </is>
      </c>
      <c r="F932" s="0" t="inlineStr">
        <is>
          <t>(7,</t>
        </is>
      </c>
      <c r="G932" s="0" t="inlineStr">
        <is>
          <t>16)</t>
        </is>
      </c>
      <c r="K932" s="0">
        <f>IF(H931="1)",1,IF(H931="2)",2,IF(H931="3)",3,IF(H931="4)",4,IF(H931="5)",5,IF(H931="6)",6,IF(H931="7)",7,IF(H931="8)",8,0))))))))</f>
        <v/>
      </c>
      <c r="L932" s="0">
        <f>IF(H931="1)",J931,IF(H931="2)",J931,IF(H931="3)",J931,IF(H931="4)",J931,IF(H931="5)",J931,IF(H931="6)",J931,IF(H931="7)",J931,IF(H931="8)",J931,0))))))))</f>
        <v/>
      </c>
    </row>
    <row r="933">
      <c r="A933" s="0" t="inlineStr">
        <is>
          <t>New</t>
        </is>
      </c>
      <c r="B933" s="0" t="inlineStr">
        <is>
          <t>Item</t>
        </is>
      </c>
      <c r="C933" s="0" t="inlineStr">
        <is>
          <t>Acquired</t>
        </is>
      </c>
      <c r="D933" s="0" t="inlineStr">
        <is>
          <t>:</t>
        </is>
      </c>
      <c r="E933" s="0" t="inlineStr">
        <is>
          <t>67.50K</t>
        </is>
      </c>
      <c r="F933" s="0" t="inlineStr">
        <is>
          <t>(5,</t>
        </is>
      </c>
      <c r="G933" s="0" t="inlineStr">
        <is>
          <t>23)</t>
        </is>
      </c>
      <c r="K933" s="0">
        <f>IF(H932="1)",1,IF(H932="2)",2,IF(H932="3)",3,IF(H932="4)",4,IF(H932="5)",5,IF(H932="6)",6,IF(H932="7)",7,IF(H932="8)",8,0))))))))</f>
        <v/>
      </c>
      <c r="L933" s="0">
        <f>IF(H932="1)",J932,IF(H932="2)",J932,IF(H932="3)",J932,IF(H932="4)",J932,IF(H932="5)",J932,IF(H932="6)",J932,IF(H932="7)",J932,IF(H932="8)",J932,0))))))))</f>
        <v/>
      </c>
    </row>
    <row r="934">
      <c r="A934" s="0" t="inlineStr">
        <is>
          <t>New</t>
        </is>
      </c>
      <c r="B934" s="0" t="inlineStr">
        <is>
          <t>Item</t>
        </is>
      </c>
      <c r="C934" s="0" t="inlineStr">
        <is>
          <t>Acquired</t>
        </is>
      </c>
      <c r="D934" s="0" t="inlineStr">
        <is>
          <t>:</t>
        </is>
      </c>
      <c r="E934" s="0" t="inlineStr">
        <is>
          <t>75.00K</t>
        </is>
      </c>
      <c r="F934" s="0" t="inlineStr">
        <is>
          <t>(4,</t>
        </is>
      </c>
      <c r="G934" s="0" t="inlineStr">
        <is>
          <t>14)</t>
        </is>
      </c>
      <c r="K934" s="0">
        <f>IF(H933="1)",1,IF(H933="2)",2,IF(H933="3)",3,IF(H933="4)",4,IF(H933="5)",5,IF(H933="6)",6,IF(H933="7)",7,IF(H933="8)",8,0))))))))</f>
        <v/>
      </c>
      <c r="L934" s="0">
        <f>IF(H933="1)",J933,IF(H933="2)",J933,IF(H933="3)",J933,IF(H933="4)",J933,IF(H933="5)",J933,IF(H933="6)",J933,IF(H933="7)",J933,IF(H933="8)",J933,0))))))))</f>
        <v/>
      </c>
    </row>
    <row r="935">
      <c r="A935" s="0" t="inlineStr">
        <is>
          <t>New</t>
        </is>
      </c>
      <c r="B935" s="0" t="inlineStr">
        <is>
          <t>Item</t>
        </is>
      </c>
      <c r="C935" s="0" t="inlineStr">
        <is>
          <t>Acquired</t>
        </is>
      </c>
      <c r="D935" s="0" t="inlineStr">
        <is>
          <t>:</t>
        </is>
      </c>
      <c r="E935" s="0" t="inlineStr">
        <is>
          <t>Minor</t>
        </is>
      </c>
      <c r="F935" s="0" t="inlineStr">
        <is>
          <t>(6,</t>
        </is>
      </c>
      <c r="G935" s="0" t="inlineStr">
        <is>
          <t>18)</t>
        </is>
      </c>
      <c r="K935" s="0">
        <f>IF(H934="1)",1,IF(H934="2)",2,IF(H934="3)",3,IF(H934="4)",4,IF(H934="5)",5,IF(H934="6)",6,IF(H934="7)",7,IF(H934="8)",8,0))))))))</f>
        <v/>
      </c>
      <c r="L935" s="0">
        <f>IF(H934="1)",J934,IF(H934="2)",J934,IF(H934="3)",J934,IF(H934="4)",J934,IF(H934="5)",J934,IF(H934="6)",J934,IF(H934="7)",J934,IF(H934="8)",J934,0))))))))</f>
        <v/>
      </c>
    </row>
    <row r="936">
      <c r="A936" s="0" t="inlineStr">
        <is>
          <t>New</t>
        </is>
      </c>
      <c r="B936" s="0" t="inlineStr">
        <is>
          <t>Item</t>
        </is>
      </c>
      <c r="C936" s="0" t="inlineStr">
        <is>
          <t>Acquired</t>
        </is>
      </c>
      <c r="D936" s="0" t="inlineStr">
        <is>
          <t>:</t>
        </is>
      </c>
      <c r="E936" s="0" t="inlineStr">
        <is>
          <t>200.00K</t>
        </is>
      </c>
      <c r="F936" s="0" t="inlineStr">
        <is>
          <t>(8,</t>
        </is>
      </c>
      <c r="G936" s="0" t="inlineStr">
        <is>
          <t>5)</t>
        </is>
      </c>
      <c r="K936" s="0">
        <f>IF(H935="1)",1,IF(H935="2)",2,IF(H935="3)",3,IF(H935="4)",4,IF(H935="5)",5,IF(H935="6)",6,IF(H935="7)",7,IF(H935="8)",8,0))))))))</f>
        <v/>
      </c>
      <c r="L936" s="0">
        <f>IF(H935="1)",J935,IF(H935="2)",J935,IF(H935="3)",J935,IF(H935="4)",J935,IF(H935="5)",J935,IF(H935="6)",J935,IF(H935="7)",J935,IF(H935="8)",J935,0))))))))</f>
        <v/>
      </c>
    </row>
    <row r="937">
      <c r="A937" s="0" t="inlineStr">
        <is>
          <t>New</t>
        </is>
      </c>
      <c r="B937" s="0" t="inlineStr">
        <is>
          <t>Item</t>
        </is>
      </c>
      <c r="C937" s="0" t="inlineStr">
        <is>
          <t>Acquired</t>
        </is>
      </c>
      <c r="D937" s="0" t="inlineStr">
        <is>
          <t>:</t>
        </is>
      </c>
      <c r="E937" s="0" t="inlineStr">
        <is>
          <t>67.50K</t>
        </is>
      </c>
      <c r="F937" s="0" t="inlineStr">
        <is>
          <t>(5,</t>
        </is>
      </c>
      <c r="G937" s="0" t="inlineStr">
        <is>
          <t>21)</t>
        </is>
      </c>
      <c r="K937" s="0">
        <f>IF(H936="1)",1,IF(H936="2)",2,IF(H936="3)",3,IF(H936="4)",4,IF(H936="5)",5,IF(H936="6)",6,IF(H936="7)",7,IF(H936="8)",8,0))))))))</f>
        <v/>
      </c>
      <c r="L937" s="0">
        <f>IF(H936="1)",J936,IF(H936="2)",J936,IF(H936="3)",J936,IF(H936="4)",J936,IF(H936="5)",J936,IF(H936="6)",J936,IF(H936="7)",J936,IF(H936="8)",J936,0))))))))</f>
        <v/>
      </c>
    </row>
    <row r="938">
      <c r="A938" s="0" t="inlineStr">
        <is>
          <t>Line</t>
        </is>
      </c>
      <c r="B938" s="0" t="inlineStr">
        <is>
          <t>Prize</t>
        </is>
      </c>
      <c r="C938" s="0" t="inlineStr">
        <is>
          <t>Acquired</t>
        </is>
      </c>
      <c r="D938" s="0" t="inlineStr">
        <is>
          <t>:</t>
        </is>
      </c>
      <c r="E938" s="0" t="inlineStr">
        <is>
          <t>1.36M</t>
        </is>
      </c>
      <c r="F938" s="0" t="inlineStr">
        <is>
          <t>(Stage</t>
        </is>
      </c>
      <c r="G938" s="0" t="inlineStr">
        <is>
          <t>:</t>
        </is>
      </c>
      <c r="H938" s="0" t="inlineStr">
        <is>
          <t>5)</t>
        </is>
      </c>
      <c r="I938" s="0" t="inlineStr">
        <is>
          <t>-</t>
        </is>
      </c>
      <c r="J938" s="0" t="n">
        <v>1360000</v>
      </c>
      <c r="K938" s="0">
        <f>IF(H937="1)",1,IF(H937="2)",2,IF(H937="3)",3,IF(H937="4)",4,IF(H937="5)",5,IF(H937="6)",6,IF(H937="7)",7,IF(H937="8)",8,0))))))))</f>
        <v/>
      </c>
      <c r="L938" s="0">
        <f>IF(H937="1)",J937,IF(H937="2)",J937,IF(H937="3)",J937,IF(H937="4)",J937,IF(H937="5)",J937,IF(H937="6)",J937,IF(H937="7)",J937,IF(H937="8)",J937,0))))))))</f>
        <v/>
      </c>
    </row>
    <row r="939">
      <c r="A939" s="0" t="inlineStr">
        <is>
          <t>Clear</t>
        </is>
      </c>
      <c r="B939" s="0" t="inlineStr">
        <is>
          <t>Gem</t>
        </is>
      </c>
      <c r="C939" s="0" t="inlineStr">
        <is>
          <t>Acquired</t>
        </is>
      </c>
      <c r="D939" s="0" t="inlineStr">
        <is>
          <t>:</t>
        </is>
      </c>
      <c r="E939" s="0" t="n">
        <v>5500</v>
      </c>
      <c r="F939" s="0" t="inlineStr">
        <is>
          <t>-&gt;</t>
        </is>
      </c>
      <c r="G939" s="0" t="n">
        <v>5600</v>
      </c>
      <c r="H939" s="0" t="inlineStr">
        <is>
          <t>(Stage</t>
        </is>
      </c>
      <c r="I939" s="0" t="inlineStr">
        <is>
          <t>:</t>
        </is>
      </c>
      <c r="J939" s="0" t="inlineStr">
        <is>
          <t>5)</t>
        </is>
      </c>
      <c r="K939" s="0">
        <f>IF(H938="1)",1,IF(H938="2)",2,IF(H938="3)",3,IF(H938="4)",4,IF(H938="5)",5,IF(H938="6)",6,IF(H938="7)",7,IF(H938="8)",8,0))))))))</f>
        <v/>
      </c>
      <c r="L939" s="0">
        <f>IF(H938="1)",J938,IF(H938="2)",J938,IF(H938="3)",J938,IF(H938="4)",J938,IF(H938="5)",J938,IF(H938="6)",J938,IF(H938="7)",J938,IF(H938="8)",J938,0))))))))</f>
        <v/>
      </c>
    </row>
    <row r="940">
      <c r="A940" s="0" t="inlineStr">
        <is>
          <t>New</t>
        </is>
      </c>
      <c r="B940" s="0" t="inlineStr">
        <is>
          <t>Item</t>
        </is>
      </c>
      <c r="C940" s="0" t="inlineStr">
        <is>
          <t>Acquired</t>
        </is>
      </c>
      <c r="D940" s="0" t="inlineStr">
        <is>
          <t>:</t>
        </is>
      </c>
      <c r="E940" s="0" t="inlineStr">
        <is>
          <t>45.00K</t>
        </is>
      </c>
      <c r="F940" s="0" t="inlineStr">
        <is>
          <t>(3,</t>
        </is>
      </c>
      <c r="G940" s="0" t="inlineStr">
        <is>
          <t>19)</t>
        </is>
      </c>
      <c r="K940" s="0">
        <f>IF(H939="1)",1,IF(H939="2)",2,IF(H939="3)",3,IF(H939="4)",4,IF(H939="5)",5,IF(H939="6)",6,IF(H939="7)",7,IF(H939="8)",8,0))))))))</f>
        <v/>
      </c>
      <c r="L940" s="0">
        <f>IF(H939="1)",J939,IF(H939="2)",J939,IF(H939="3)",J939,IF(H939="4)",J939,IF(H939="5)",J939,IF(H939="6)",J939,IF(H939="7)",J939,IF(H939="8)",J939,0))))))))</f>
        <v/>
      </c>
    </row>
    <row r="941">
      <c r="A941" s="0" t="inlineStr">
        <is>
          <t>New</t>
        </is>
      </c>
      <c r="B941" s="0" t="inlineStr">
        <is>
          <t>Item</t>
        </is>
      </c>
      <c r="C941" s="0" t="inlineStr">
        <is>
          <t>Acquired</t>
        </is>
      </c>
      <c r="D941" s="0" t="inlineStr">
        <is>
          <t>:</t>
        </is>
      </c>
      <c r="E941" s="0" t="inlineStr">
        <is>
          <t>75.00K</t>
        </is>
      </c>
      <c r="F941" s="0" t="inlineStr">
        <is>
          <t>(3,</t>
        </is>
      </c>
      <c r="G941" s="0" t="inlineStr">
        <is>
          <t>17)</t>
        </is>
      </c>
      <c r="K941" s="0">
        <f>IF(H940="1)",1,IF(H940="2)",2,IF(H940="3)",3,IF(H940="4)",4,IF(H940="5)",5,IF(H940="6)",6,IF(H940="7)",7,IF(H940="8)",8,0))))))))</f>
        <v/>
      </c>
      <c r="L941" s="0">
        <f>IF(H940="1)",J940,IF(H940="2)",J940,IF(H940="3)",J940,IF(H940="4)",J940,IF(H940="5)",J940,IF(H940="6)",J940,IF(H940="7)",J940,IF(H940="8)",J940,0))))))))</f>
        <v/>
      </c>
    </row>
    <row r="942">
      <c r="A942" s="0" t="inlineStr">
        <is>
          <t>New</t>
        </is>
      </c>
      <c r="B942" s="0" t="inlineStr">
        <is>
          <t>Item</t>
        </is>
      </c>
      <c r="C942" s="0" t="inlineStr">
        <is>
          <t>Acquired</t>
        </is>
      </c>
      <c r="D942" s="0" t="inlineStr">
        <is>
          <t>:</t>
        </is>
      </c>
      <c r="E942" s="0" t="inlineStr">
        <is>
          <t>Mini</t>
        </is>
      </c>
      <c r="F942" s="0" t="inlineStr">
        <is>
          <t>(3,</t>
        </is>
      </c>
      <c r="G942" s="0" t="inlineStr">
        <is>
          <t>6)</t>
        </is>
      </c>
      <c r="K942" s="0">
        <f>IF(H941="1)",1,IF(H941="2)",2,IF(H941="3)",3,IF(H941="4)",4,IF(H941="5)",5,IF(H941="6)",6,IF(H941="7)",7,IF(H941="8)",8,0))))))))</f>
        <v/>
      </c>
      <c r="L942" s="0">
        <f>IF(H941="1)",J941,IF(H941="2)",J941,IF(H941="3)",J941,IF(H941="4)",J941,IF(H941="5)",J941,IF(H941="6)",J941,IF(H941="7)",J941,IF(H941="8)",J941,0))))))))</f>
        <v/>
      </c>
    </row>
    <row r="943">
      <c r="A943" s="0" t="inlineStr">
        <is>
          <t>New</t>
        </is>
      </c>
      <c r="B943" s="0" t="inlineStr">
        <is>
          <t>Item</t>
        </is>
      </c>
      <c r="C943" s="0" t="inlineStr">
        <is>
          <t>Acquired</t>
        </is>
      </c>
      <c r="D943" s="0" t="inlineStr">
        <is>
          <t>:</t>
        </is>
      </c>
      <c r="E943" s="0" t="inlineStr">
        <is>
          <t>30.00K</t>
        </is>
      </c>
      <c r="F943" s="0" t="inlineStr">
        <is>
          <t>(1,</t>
        </is>
      </c>
      <c r="G943" s="0" t="inlineStr">
        <is>
          <t>23)</t>
        </is>
      </c>
      <c r="K943" s="0">
        <f>IF(H942="1)",1,IF(H942="2)",2,IF(H942="3)",3,IF(H942="4)",4,IF(H942="5)",5,IF(H942="6)",6,IF(H942="7)",7,IF(H942="8)",8,0))))))))</f>
        <v/>
      </c>
      <c r="L943" s="0">
        <f>IF(H942="1)",J942,IF(H942="2)",J942,IF(H942="3)",J942,IF(H942="4)",J942,IF(H942="5)",J942,IF(H942="6)",J942,IF(H942="7)",J942,IF(H942="8)",J942,0))))))))</f>
        <v/>
      </c>
    </row>
    <row r="944">
      <c r="A944" s="0" t="inlineStr">
        <is>
          <t>New</t>
        </is>
      </c>
      <c r="B944" s="0" t="inlineStr">
        <is>
          <t>Item</t>
        </is>
      </c>
      <c r="C944" s="0" t="inlineStr">
        <is>
          <t>Acquired</t>
        </is>
      </c>
      <c r="D944" s="0" t="inlineStr">
        <is>
          <t>:</t>
        </is>
      </c>
      <c r="E944" s="0" t="inlineStr">
        <is>
          <t>67.50K</t>
        </is>
      </c>
      <c r="F944" s="0" t="inlineStr">
        <is>
          <t>(5,</t>
        </is>
      </c>
      <c r="G944" s="0" t="inlineStr">
        <is>
          <t>22)</t>
        </is>
      </c>
      <c r="K944" s="0">
        <f>IF(H943="1)",1,IF(H943="2)",2,IF(H943="3)",3,IF(H943="4)",4,IF(H943="5)",5,IF(H943="6)",6,IF(H943="7)",7,IF(H943="8)",8,0))))))))</f>
        <v/>
      </c>
      <c r="L944" s="0">
        <f>IF(H943="1)",J943,IF(H943="2)",J943,IF(H943="3)",J943,IF(H943="4)",J943,IF(H943="5)",J943,IF(H943="6)",J943,IF(H943="7)",J943,IF(H943="8)",J943,0))))))))</f>
        <v/>
      </c>
    </row>
    <row r="945">
      <c r="A945" s="0" t="inlineStr">
        <is>
          <t>New</t>
        </is>
      </c>
      <c r="B945" s="0" t="inlineStr">
        <is>
          <t>Item</t>
        </is>
      </c>
      <c r="C945" s="0" t="inlineStr">
        <is>
          <t>Acquired</t>
        </is>
      </c>
      <c r="D945" s="0" t="inlineStr">
        <is>
          <t>:</t>
        </is>
      </c>
      <c r="E945" s="0" t="inlineStr">
        <is>
          <t>Mini</t>
        </is>
      </c>
      <c r="F945" s="0" t="inlineStr">
        <is>
          <t>(8,</t>
        </is>
      </c>
      <c r="G945" s="0" t="inlineStr">
        <is>
          <t>17)</t>
        </is>
      </c>
      <c r="K945" s="0">
        <f>IF(H944="1)",1,IF(H944="2)",2,IF(H944="3)",3,IF(H944="4)",4,IF(H944="5)",5,IF(H944="6)",6,IF(H944="7)",7,IF(H944="8)",8,0))))))))</f>
        <v/>
      </c>
      <c r="L945" s="0">
        <f>IF(H944="1)",J944,IF(H944="2)",J944,IF(H944="3)",J944,IF(H944="4)",J944,IF(H944="5)",J944,IF(H944="6)",J944,IF(H944="7)",J944,IF(H944="8)",J944,0))))))))</f>
        <v/>
      </c>
    </row>
    <row r="946">
      <c r="A946" s="0" t="inlineStr">
        <is>
          <t>New</t>
        </is>
      </c>
      <c r="B946" s="0" t="inlineStr">
        <is>
          <t>Item</t>
        </is>
      </c>
      <c r="C946" s="0" t="inlineStr">
        <is>
          <t>Acquired</t>
        </is>
      </c>
      <c r="D946" s="0" t="inlineStr">
        <is>
          <t>:</t>
        </is>
      </c>
      <c r="E946" s="0" t="inlineStr">
        <is>
          <t>90.00K</t>
        </is>
      </c>
      <c r="F946" s="0" t="inlineStr">
        <is>
          <t>(7,</t>
        </is>
      </c>
      <c r="G946" s="0" t="inlineStr">
        <is>
          <t>2)</t>
        </is>
      </c>
      <c r="K946" s="0">
        <f>IF(H945="1)",1,IF(H945="2)",2,IF(H945="3)",3,IF(H945="4)",4,IF(H945="5)",5,IF(H945="6)",6,IF(H945="7)",7,IF(H945="8)",8,0))))))))</f>
        <v/>
      </c>
      <c r="L946" s="0">
        <f>IF(H945="1)",J945,IF(H945="2)",J945,IF(H945="3)",J945,IF(H945="4)",J945,IF(H945="5)",J945,IF(H945="6)",J945,IF(H945="7)",J945,IF(H945="8)",J945,0))))))))</f>
        <v/>
      </c>
    </row>
    <row r="947">
      <c r="A947" s="0" t="inlineStr">
        <is>
          <t>New</t>
        </is>
      </c>
      <c r="B947" s="0" t="inlineStr">
        <is>
          <t>Item</t>
        </is>
      </c>
      <c r="C947" s="0" t="inlineStr">
        <is>
          <t>Acquired</t>
        </is>
      </c>
      <c r="D947" s="0" t="inlineStr">
        <is>
          <t>:</t>
        </is>
      </c>
      <c r="E947" s="0" t="inlineStr">
        <is>
          <t>125.00K</t>
        </is>
      </c>
      <c r="F947" s="0" t="inlineStr">
        <is>
          <t>(6,</t>
        </is>
      </c>
      <c r="G947" s="0" t="inlineStr">
        <is>
          <t>23)</t>
        </is>
      </c>
      <c r="K947" s="0">
        <f>IF(H946="1)",1,IF(H946="2)",2,IF(H946="3)",3,IF(H946="4)",4,IF(H946="5)",5,IF(H946="6)",6,IF(H946="7)",7,IF(H946="8)",8,0))))))))</f>
        <v/>
      </c>
      <c r="L947" s="0">
        <f>IF(H946="1)",J946,IF(H946="2)",J946,IF(H946="3)",J946,IF(H946="4)",J946,IF(H946="5)",J946,IF(H946="6)",J946,IF(H946="7)",J946,IF(H946="8)",J946,0))))))))</f>
        <v/>
      </c>
    </row>
    <row r="948">
      <c r="A948" s="0" t="inlineStr">
        <is>
          <t>New</t>
        </is>
      </c>
      <c r="B948" s="0" t="inlineStr">
        <is>
          <t>Item</t>
        </is>
      </c>
      <c r="C948" s="0" t="inlineStr">
        <is>
          <t>Acquired</t>
        </is>
      </c>
      <c r="D948" s="0" t="inlineStr">
        <is>
          <t>:</t>
        </is>
      </c>
      <c r="E948" s="0" t="inlineStr">
        <is>
          <t>30.00K</t>
        </is>
      </c>
      <c r="F948" s="0" t="inlineStr">
        <is>
          <t>(1,</t>
        </is>
      </c>
      <c r="G948" s="0" t="inlineStr">
        <is>
          <t>9)</t>
        </is>
      </c>
      <c r="K948" s="0">
        <f>IF(H947="1)",1,IF(H947="2)",2,IF(H947="3)",3,IF(H947="4)",4,IF(H947="5)",5,IF(H947="6)",6,IF(H947="7)",7,IF(H947="8)",8,0))))))))</f>
        <v/>
      </c>
      <c r="L948" s="0">
        <f>IF(H947="1)",J947,IF(H947="2)",J947,IF(H947="3)",J947,IF(H947="4)",J947,IF(H947="5)",J947,IF(H947="6)",J947,IF(H947="7)",J947,IF(H947="8)",J947,0))))))))</f>
        <v/>
      </c>
    </row>
    <row r="949">
      <c r="A949" s="0" t="inlineStr">
        <is>
          <t>New</t>
        </is>
      </c>
      <c r="B949" s="0" t="inlineStr">
        <is>
          <t>Item</t>
        </is>
      </c>
      <c r="C949" s="0" t="inlineStr">
        <is>
          <t>Acquired</t>
        </is>
      </c>
      <c r="D949" s="0" t="inlineStr">
        <is>
          <t>:</t>
        </is>
      </c>
      <c r="E949" s="0" t="inlineStr">
        <is>
          <t>105.00K</t>
        </is>
      </c>
      <c r="F949" s="0" t="inlineStr">
        <is>
          <t>(3,</t>
        </is>
      </c>
      <c r="G949" s="0" t="inlineStr">
        <is>
          <t>18)</t>
        </is>
      </c>
      <c r="K949" s="0">
        <f>IF(H948="1)",1,IF(H948="2)",2,IF(H948="3)",3,IF(H948="4)",4,IF(H948="5)",5,IF(H948="6)",6,IF(H948="7)",7,IF(H948="8)",8,0))))))))</f>
        <v/>
      </c>
      <c r="L949" s="0">
        <f>IF(H948="1)",J948,IF(H948="2)",J948,IF(H948="3)",J948,IF(H948="4)",J948,IF(H948="5)",J948,IF(H948="6)",J948,IF(H948="7)",J948,IF(H948="8)",J948,0))))))))</f>
        <v/>
      </c>
    </row>
    <row r="950">
      <c r="A950" s="0" t="inlineStr">
        <is>
          <t>New</t>
        </is>
      </c>
      <c r="B950" s="0" t="inlineStr">
        <is>
          <t>Item</t>
        </is>
      </c>
      <c r="C950" s="0" t="inlineStr">
        <is>
          <t>Acquired</t>
        </is>
      </c>
      <c r="D950" s="0" t="inlineStr">
        <is>
          <t>:</t>
        </is>
      </c>
      <c r="E950" s="0" t="inlineStr">
        <is>
          <t>Mini</t>
        </is>
      </c>
      <c r="F950" s="0" t="inlineStr">
        <is>
          <t>(8,</t>
        </is>
      </c>
      <c r="G950" s="0" t="inlineStr">
        <is>
          <t>4)</t>
        </is>
      </c>
      <c r="K950" s="0">
        <f>IF(H949="1)",1,IF(H949="2)",2,IF(H949="3)",3,IF(H949="4)",4,IF(H949="5)",5,IF(H949="6)",6,IF(H949="7)",7,IF(H949="8)",8,0))))))))</f>
        <v/>
      </c>
      <c r="L950" s="0">
        <f>IF(H949="1)",J949,IF(H949="2)",J949,IF(H949="3)",J949,IF(H949="4)",J949,IF(H949="5)",J949,IF(H949="6)",J949,IF(H949="7)",J949,IF(H949="8)",J949,0))))))))</f>
        <v/>
      </c>
    </row>
    <row r="951">
      <c r="A951" s="0" t="inlineStr">
        <is>
          <t>New</t>
        </is>
      </c>
      <c r="B951" s="0" t="inlineStr">
        <is>
          <t>Item</t>
        </is>
      </c>
      <c r="C951" s="0" t="inlineStr">
        <is>
          <t>Acquired</t>
        </is>
      </c>
      <c r="D951" s="0" t="inlineStr">
        <is>
          <t>:</t>
        </is>
      </c>
      <c r="E951" s="0" t="inlineStr">
        <is>
          <t>30.00K</t>
        </is>
      </c>
      <c r="F951" s="0" t="inlineStr">
        <is>
          <t>(1,</t>
        </is>
      </c>
      <c r="G951" s="0" t="inlineStr">
        <is>
          <t>1)</t>
        </is>
      </c>
      <c r="K951" s="0">
        <f>IF(H950="1)",1,IF(H950="2)",2,IF(H950="3)",3,IF(H950="4)",4,IF(H950="5)",5,IF(H950="6)",6,IF(H950="7)",7,IF(H950="8)",8,0))))))))</f>
        <v/>
      </c>
      <c r="L951" s="0">
        <f>IF(H950="1)",J950,IF(H950="2)",J950,IF(H950="3)",J950,IF(H950="4)",J950,IF(H950="5)",J950,IF(H950="6)",J950,IF(H950="7)",J950,IF(H950="8)",J950,0))))))))</f>
        <v/>
      </c>
    </row>
    <row r="952">
      <c r="A952" s="0" t="inlineStr">
        <is>
          <t>New</t>
        </is>
      </c>
      <c r="B952" s="0" t="inlineStr">
        <is>
          <t>Item</t>
        </is>
      </c>
      <c r="C952" s="0" t="inlineStr">
        <is>
          <t>Acquired</t>
        </is>
      </c>
      <c r="D952" s="0" t="inlineStr">
        <is>
          <t>:</t>
        </is>
      </c>
      <c r="E952" s="0" t="inlineStr">
        <is>
          <t>70.00K</t>
        </is>
      </c>
      <c r="F952" s="0" t="inlineStr">
        <is>
          <t>(1,</t>
        </is>
      </c>
      <c r="G952" s="0" t="inlineStr">
        <is>
          <t>24)</t>
        </is>
      </c>
      <c r="K952" s="0">
        <f>IF(H951="1)",1,IF(H951="2)",2,IF(H951="3)",3,IF(H951="4)",4,IF(H951="5)",5,IF(H951="6)",6,IF(H951="7)",7,IF(H951="8)",8,0))))))))</f>
        <v/>
      </c>
      <c r="L952" s="0">
        <f>IF(H951="1)",J951,IF(H951="2)",J951,IF(H951="3)",J951,IF(H951="4)",J951,IF(H951="5)",J951,IF(H951="6)",J951,IF(H951="7)",J951,IF(H951="8)",J951,0))))))))</f>
        <v/>
      </c>
    </row>
    <row r="953">
      <c r="A953" s="0" t="inlineStr">
        <is>
          <t>New</t>
        </is>
      </c>
      <c r="B953" s="0" t="inlineStr">
        <is>
          <t>Item</t>
        </is>
      </c>
      <c r="C953" s="0" t="inlineStr">
        <is>
          <t>Acquired</t>
        </is>
      </c>
      <c r="D953" s="0" t="inlineStr">
        <is>
          <t>:</t>
        </is>
      </c>
      <c r="E953" s="0" t="inlineStr">
        <is>
          <t>62.50K</t>
        </is>
      </c>
      <c r="F953" s="0" t="inlineStr">
        <is>
          <t>(2,</t>
        </is>
      </c>
      <c r="G953" s="0" t="inlineStr">
        <is>
          <t>2)</t>
        </is>
      </c>
      <c r="K953" s="0">
        <f>IF(H952="1)",1,IF(H952="2)",2,IF(H952="3)",3,IF(H952="4)",4,IF(H952="5)",5,IF(H952="6)",6,IF(H952="7)",7,IF(H952="8)",8,0))))))))</f>
        <v/>
      </c>
      <c r="L953" s="0">
        <f>IF(H952="1)",J952,IF(H952="2)",J952,IF(H952="3)",J952,IF(H952="4)",J952,IF(H952="5)",J952,IF(H952="6)",J952,IF(H952="7)",J952,IF(H952="8)",J952,0))))))))</f>
        <v/>
      </c>
    </row>
    <row r="954">
      <c r="A954" s="0" t="inlineStr">
        <is>
          <t>New</t>
        </is>
      </c>
      <c r="B954" s="0" t="inlineStr">
        <is>
          <t>Item</t>
        </is>
      </c>
      <c r="C954" s="0" t="inlineStr">
        <is>
          <t>Acquired</t>
        </is>
      </c>
      <c r="D954" s="0" t="inlineStr">
        <is>
          <t>:</t>
        </is>
      </c>
      <c r="E954" s="0" t="inlineStr">
        <is>
          <t>200.00K</t>
        </is>
      </c>
      <c r="F954" s="0" t="inlineStr">
        <is>
          <t>(8,</t>
        </is>
      </c>
      <c r="G954" s="0" t="inlineStr">
        <is>
          <t>14)</t>
        </is>
      </c>
      <c r="K954" s="0">
        <f>IF(H953="1)",1,IF(H953="2)",2,IF(H953="3)",3,IF(H953="4)",4,IF(H953="5)",5,IF(H953="6)",6,IF(H953="7)",7,IF(H953="8)",8,0))))))))</f>
        <v/>
      </c>
      <c r="L954" s="0">
        <f>IF(H953="1)",J953,IF(H953="2)",J953,IF(H953="3)",J953,IF(H953="4)",J953,IF(H953="5)",J953,IF(H953="6)",J953,IF(H953="7)",J953,IF(H953="8)",J953,0))))))))</f>
        <v/>
      </c>
    </row>
    <row r="955">
      <c r="A955" s="0" t="inlineStr">
        <is>
          <t>New</t>
        </is>
      </c>
      <c r="B955" s="0" t="inlineStr">
        <is>
          <t>Item</t>
        </is>
      </c>
      <c r="C955" s="0" t="inlineStr">
        <is>
          <t>Acquired</t>
        </is>
      </c>
      <c r="D955" s="0" t="inlineStr">
        <is>
          <t>:</t>
        </is>
      </c>
      <c r="E955" s="0" t="inlineStr">
        <is>
          <t>Minor</t>
        </is>
      </c>
      <c r="F955" s="0" t="inlineStr">
        <is>
          <t>(5,</t>
        </is>
      </c>
      <c r="G955" s="0" t="inlineStr">
        <is>
          <t>11)</t>
        </is>
      </c>
      <c r="K955" s="0">
        <f>IF(H954="1)",1,IF(H954="2)",2,IF(H954="3)",3,IF(H954="4)",4,IF(H954="5)",5,IF(H954="6)",6,IF(H954="7)",7,IF(H954="8)",8,0))))))))</f>
        <v/>
      </c>
      <c r="L955" s="0">
        <f>IF(H954="1)",J954,IF(H954="2)",J954,IF(H954="3)",J954,IF(H954="4)",J954,IF(H954="5)",J954,IF(H954="6)",J954,IF(H954="7)",J954,IF(H954="8)",J954,0))))))))</f>
        <v/>
      </c>
    </row>
    <row r="956">
      <c r="A956" s="0" t="inlineStr">
        <is>
          <t>New</t>
        </is>
      </c>
      <c r="B956" s="0" t="inlineStr">
        <is>
          <t>Item</t>
        </is>
      </c>
      <c r="C956" s="0" t="inlineStr">
        <is>
          <t>Acquired</t>
        </is>
      </c>
      <c r="D956" s="0" t="inlineStr">
        <is>
          <t>:</t>
        </is>
      </c>
      <c r="E956" s="0" t="inlineStr">
        <is>
          <t>157.50K</t>
        </is>
      </c>
      <c r="F956" s="0" t="inlineStr">
        <is>
          <t>(5,</t>
        </is>
      </c>
      <c r="G956" s="0" t="inlineStr">
        <is>
          <t>1)</t>
        </is>
      </c>
      <c r="K956" s="0">
        <f>IF(H955="1)",1,IF(H955="2)",2,IF(H955="3)",3,IF(H955="4)",4,IF(H955="5)",5,IF(H955="6)",6,IF(H955="7)",7,IF(H955="8)",8,0))))))))</f>
        <v/>
      </c>
      <c r="L956" s="0">
        <f>IF(H955="1)",J955,IF(H955="2)",J955,IF(H955="3)",J955,IF(H955="4)",J955,IF(H955="5)",J955,IF(H955="6)",J955,IF(H955="7)",J955,IF(H955="8)",J955,0))))))))</f>
        <v/>
      </c>
    </row>
    <row r="957">
      <c r="A957" s="0" t="inlineStr">
        <is>
          <t>New</t>
        </is>
      </c>
      <c r="B957" s="0" t="inlineStr">
        <is>
          <t>Item</t>
        </is>
      </c>
      <c r="C957" s="0" t="inlineStr">
        <is>
          <t>Acquired</t>
        </is>
      </c>
      <c r="D957" s="0" t="inlineStr">
        <is>
          <t>:</t>
        </is>
      </c>
      <c r="E957" s="0" t="inlineStr">
        <is>
          <t>90.00K</t>
        </is>
      </c>
      <c r="F957" s="0" t="inlineStr">
        <is>
          <t>(7,</t>
        </is>
      </c>
      <c r="G957" s="0" t="inlineStr">
        <is>
          <t>25)</t>
        </is>
      </c>
      <c r="K957" s="0">
        <f>IF(H956="1)",1,IF(H956="2)",2,IF(H956="3)",3,IF(H956="4)",4,IF(H956="5)",5,IF(H956="6)",6,IF(H956="7)",7,IF(H956="8)",8,0))))))))</f>
        <v/>
      </c>
      <c r="L957" s="0">
        <f>IF(H956="1)",J956,IF(H956="2)",J956,IF(H956="3)",J956,IF(H956="4)",J956,IF(H956="5)",J956,IF(H956="6)",J956,IF(H956="7)",J956,IF(H956="8)",J956,0))))))))</f>
        <v/>
      </c>
    </row>
    <row r="958">
      <c r="A958" s="0" t="inlineStr">
        <is>
          <t>New</t>
        </is>
      </c>
      <c r="B958" s="0" t="inlineStr">
        <is>
          <t>Item</t>
        </is>
      </c>
      <c r="C958" s="0" t="inlineStr">
        <is>
          <t>Acquired</t>
        </is>
      </c>
      <c r="D958" s="0" t="inlineStr">
        <is>
          <t>:</t>
        </is>
      </c>
      <c r="E958" s="0" t="inlineStr">
        <is>
          <t>67.50K</t>
        </is>
      </c>
      <c r="F958" s="0" t="inlineStr">
        <is>
          <t>(5,</t>
        </is>
      </c>
      <c r="G958" s="0" t="inlineStr">
        <is>
          <t>14)</t>
        </is>
      </c>
      <c r="K958" s="0">
        <f>IF(H957="1)",1,IF(H957="2)",2,IF(H957="3)",3,IF(H957="4)",4,IF(H957="5)",5,IF(H957="6)",6,IF(H957="7)",7,IF(H957="8)",8,0))))))))</f>
        <v/>
      </c>
      <c r="L958" s="0">
        <f>IF(H957="1)",J957,IF(H957="2)",J957,IF(H957="3)",J957,IF(H957="4)",J957,IF(H957="5)",J957,IF(H957="6)",J957,IF(H957="7)",J957,IF(H957="8)",J957,0))))))))</f>
        <v/>
      </c>
    </row>
    <row r="959">
      <c r="A959" s="0" t="inlineStr">
        <is>
          <t>New</t>
        </is>
      </c>
      <c r="B959" s="0" t="inlineStr">
        <is>
          <t>Item</t>
        </is>
      </c>
      <c r="C959" s="0" t="inlineStr">
        <is>
          <t>Acquired</t>
        </is>
      </c>
      <c r="D959" s="0" t="inlineStr">
        <is>
          <t>:</t>
        </is>
      </c>
      <c r="E959" s="0" t="inlineStr">
        <is>
          <t>Mini</t>
        </is>
      </c>
      <c r="F959" s="0" t="inlineStr">
        <is>
          <t>(5,</t>
        </is>
      </c>
      <c r="G959" s="0" t="inlineStr">
        <is>
          <t>4)</t>
        </is>
      </c>
      <c r="K959" s="0">
        <f>IF(H958="1)",1,IF(H958="2)",2,IF(H958="3)",3,IF(H958="4)",4,IF(H958="5)",5,IF(H958="6)",6,IF(H958="7)",7,IF(H958="8)",8,0))))))))</f>
        <v/>
      </c>
      <c r="L959" s="0">
        <f>IF(H958="1)",J958,IF(H958="2)",J958,IF(H958="3)",J958,IF(H958="4)",J958,IF(H958="5)",J958,IF(H958="6)",J958,IF(H958="7)",J958,IF(H958="8)",J958,0))))))))</f>
        <v/>
      </c>
    </row>
    <row r="960">
      <c r="A960" s="0" t="inlineStr">
        <is>
          <t>New</t>
        </is>
      </c>
      <c r="B960" s="0" t="inlineStr">
        <is>
          <t>Item</t>
        </is>
      </c>
      <c r="C960" s="0" t="inlineStr">
        <is>
          <t>Acquired</t>
        </is>
      </c>
      <c r="D960" s="0" t="inlineStr">
        <is>
          <t>:</t>
        </is>
      </c>
      <c r="E960" s="0" t="inlineStr">
        <is>
          <t>87.50K</t>
        </is>
      </c>
      <c r="F960" s="0" t="inlineStr">
        <is>
          <t>(2,</t>
        </is>
      </c>
      <c r="G960" s="0" t="inlineStr">
        <is>
          <t>9)</t>
        </is>
      </c>
      <c r="K960" s="0">
        <f>IF(H959="1)",1,IF(H959="2)",2,IF(H959="3)",3,IF(H959="4)",4,IF(H959="5)",5,IF(H959="6)",6,IF(H959="7)",7,IF(H959="8)",8,0))))))))</f>
        <v/>
      </c>
      <c r="L960" s="0">
        <f>IF(H959="1)",J959,IF(H959="2)",J959,IF(H959="3)",J959,IF(H959="4)",J959,IF(H959="5)",J959,IF(H959="6)",J959,IF(H959="7)",J959,IF(H959="8)",J959,0))))))))</f>
        <v/>
      </c>
    </row>
    <row r="961">
      <c r="A961" s="0" t="inlineStr">
        <is>
          <t>New</t>
        </is>
      </c>
      <c r="B961" s="0" t="inlineStr">
        <is>
          <t>Item</t>
        </is>
      </c>
      <c r="C961" s="0" t="inlineStr">
        <is>
          <t>Acquired</t>
        </is>
      </c>
      <c r="D961" s="0" t="inlineStr">
        <is>
          <t>:</t>
        </is>
      </c>
      <c r="E961" s="0" t="inlineStr">
        <is>
          <t>75.00K</t>
        </is>
      </c>
      <c r="F961" s="0" t="inlineStr">
        <is>
          <t>(4,</t>
        </is>
      </c>
      <c r="G961" s="0" t="inlineStr">
        <is>
          <t>6)</t>
        </is>
      </c>
      <c r="K961" s="0">
        <f>IF(H960="1)",1,IF(H960="2)",2,IF(H960="3)",3,IF(H960="4)",4,IF(H960="5)",5,IF(H960="6)",6,IF(H960="7)",7,IF(H960="8)",8,0))))))))</f>
        <v/>
      </c>
      <c r="L961" s="0">
        <f>IF(H960="1)",J960,IF(H960="2)",J960,IF(H960="3)",J960,IF(H960="4)",J960,IF(H960="5)",J960,IF(H960="6)",J960,IF(H960="7)",J960,IF(H960="8)",J960,0))))))))</f>
        <v/>
      </c>
    </row>
    <row r="962">
      <c r="A962" s="0" t="inlineStr">
        <is>
          <t>New</t>
        </is>
      </c>
      <c r="B962" s="0" t="inlineStr">
        <is>
          <t>Item</t>
        </is>
      </c>
      <c r="C962" s="0" t="inlineStr">
        <is>
          <t>Acquired</t>
        </is>
      </c>
      <c r="D962" s="0" t="inlineStr">
        <is>
          <t>:</t>
        </is>
      </c>
      <c r="E962" s="0" t="inlineStr">
        <is>
          <t>90.00K</t>
        </is>
      </c>
      <c r="F962" s="0" t="inlineStr">
        <is>
          <t>(7,</t>
        </is>
      </c>
      <c r="G962" s="0" t="inlineStr">
        <is>
          <t>11)</t>
        </is>
      </c>
      <c r="K962" s="0">
        <f>IF(H961="1)",1,IF(H961="2)",2,IF(H961="3)",3,IF(H961="4)",4,IF(H961="5)",5,IF(H961="6)",6,IF(H961="7)",7,IF(H961="8)",8,0))))))))</f>
        <v/>
      </c>
      <c r="L962" s="0">
        <f>IF(H961="1)",J961,IF(H961="2)",J961,IF(H961="3)",J961,IF(H961="4)",J961,IF(H961="5)",J961,IF(H961="6)",J961,IF(H961="7)",J961,IF(H961="8)",J961,0))))))))</f>
        <v/>
      </c>
    </row>
    <row r="963">
      <c r="A963" s="0" t="inlineStr">
        <is>
          <t>New</t>
        </is>
      </c>
      <c r="B963" s="0" t="inlineStr">
        <is>
          <t>Item</t>
        </is>
      </c>
      <c r="C963" s="0" t="inlineStr">
        <is>
          <t>Acquired</t>
        </is>
      </c>
      <c r="D963" s="0" t="inlineStr">
        <is>
          <t>:</t>
        </is>
      </c>
      <c r="E963" s="0" t="inlineStr">
        <is>
          <t>45.00K</t>
        </is>
      </c>
      <c r="F963" s="0" t="inlineStr">
        <is>
          <t>(3,</t>
        </is>
      </c>
      <c r="G963" s="0" t="inlineStr">
        <is>
          <t>8)</t>
        </is>
      </c>
      <c r="K963" s="0">
        <f>IF(H962="1)",1,IF(H962="2)",2,IF(H962="3)",3,IF(H962="4)",4,IF(H962="5)",5,IF(H962="6)",6,IF(H962="7)",7,IF(H962="8)",8,0))))))))</f>
        <v/>
      </c>
      <c r="L963" s="0">
        <f>IF(H962="1)",J962,IF(H962="2)",J962,IF(H962="3)",J962,IF(H962="4)",J962,IF(H962="5)",J962,IF(H962="6)",J962,IF(H962="7)",J962,IF(H962="8)",J962,0))))))))</f>
        <v/>
      </c>
    </row>
    <row r="964">
      <c r="A964" s="0" t="inlineStr">
        <is>
          <t>New</t>
        </is>
      </c>
      <c r="B964" s="0" t="inlineStr">
        <is>
          <t>Item</t>
        </is>
      </c>
      <c r="C964" s="0" t="inlineStr">
        <is>
          <t>Acquired</t>
        </is>
      </c>
      <c r="D964" s="0" t="inlineStr">
        <is>
          <t>:</t>
        </is>
      </c>
      <c r="E964" s="0" t="inlineStr">
        <is>
          <t>150.00K</t>
        </is>
      </c>
      <c r="F964" s="0" t="inlineStr">
        <is>
          <t>(7,</t>
        </is>
      </c>
      <c r="G964" s="0" t="inlineStr">
        <is>
          <t>12)</t>
        </is>
      </c>
      <c r="K964" s="0">
        <f>IF(H963="1)",1,IF(H963="2)",2,IF(H963="3)",3,IF(H963="4)",4,IF(H963="5)",5,IF(H963="6)",6,IF(H963="7)",7,IF(H963="8)",8,0))))))))</f>
        <v/>
      </c>
      <c r="L964" s="0">
        <f>IF(H963="1)",J963,IF(H963="2)",J963,IF(H963="3)",J963,IF(H963="4)",J963,IF(H963="5)",J963,IF(H963="6)",J963,IF(H963="7)",J963,IF(H963="8)",J963,0))))))))</f>
        <v/>
      </c>
    </row>
    <row r="965">
      <c r="A965" s="0" t="inlineStr">
        <is>
          <t>New</t>
        </is>
      </c>
      <c r="B965" s="0" t="inlineStr">
        <is>
          <t>Item</t>
        </is>
      </c>
      <c r="C965" s="0" t="inlineStr">
        <is>
          <t>Acquired</t>
        </is>
      </c>
      <c r="D965" s="0" t="inlineStr">
        <is>
          <t>:</t>
        </is>
      </c>
      <c r="E965" s="0" t="inlineStr">
        <is>
          <t>200.00K</t>
        </is>
      </c>
      <c r="F965" s="0" t="inlineStr">
        <is>
          <t>(8,</t>
        </is>
      </c>
      <c r="G965" s="0" t="inlineStr">
        <is>
          <t>20)</t>
        </is>
      </c>
      <c r="K965" s="0">
        <f>IF(H964="1)",1,IF(H964="2)",2,IF(H964="3)",3,IF(H964="4)",4,IF(H964="5)",5,IF(H964="6)",6,IF(H964="7)",7,IF(H964="8)",8,0))))))))</f>
        <v/>
      </c>
      <c r="L965" s="0">
        <f>IF(H964="1)",J964,IF(H964="2)",J964,IF(H964="3)",J964,IF(H964="4)",J964,IF(H964="5)",J964,IF(H964="6)",J964,IF(H964="7)",J964,IF(H964="8)",J964,0))))))))</f>
        <v/>
      </c>
    </row>
    <row r="966">
      <c r="A966" s="0" t="inlineStr">
        <is>
          <t>Line</t>
        </is>
      </c>
      <c r="B966" s="0" t="inlineStr">
        <is>
          <t>Prize</t>
        </is>
      </c>
      <c r="C966" s="0" t="inlineStr">
        <is>
          <t>Acquired</t>
        </is>
      </c>
      <c r="D966" s="0" t="inlineStr">
        <is>
          <t>:</t>
        </is>
      </c>
      <c r="E966" s="0" t="inlineStr">
        <is>
          <t>1.52M</t>
        </is>
      </c>
      <c r="F966" s="0" t="inlineStr">
        <is>
          <t>(Stage</t>
        </is>
      </c>
      <c r="G966" s="0" t="inlineStr">
        <is>
          <t>:</t>
        </is>
      </c>
      <c r="H966" s="0" t="inlineStr">
        <is>
          <t>8)</t>
        </is>
      </c>
      <c r="I966" s="0" t="inlineStr">
        <is>
          <t>-</t>
        </is>
      </c>
      <c r="J966" s="0" t="n">
        <v>1520000</v>
      </c>
      <c r="K966" s="0">
        <f>IF(H965="1)",1,IF(H965="2)",2,IF(H965="3)",3,IF(H965="4)",4,IF(H965="5)",5,IF(H965="6)",6,IF(H965="7)",7,IF(H965="8)",8,0))))))))</f>
        <v/>
      </c>
      <c r="L966" s="0">
        <f>IF(H965="1)",J965,IF(H965="2)",J965,IF(H965="3)",J965,IF(H965="4)",J965,IF(H965="5)",J965,IF(H965="6)",J965,IF(H965="7)",J965,IF(H965="8)",J965,0))))))))</f>
        <v/>
      </c>
    </row>
    <row r="967">
      <c r="A967" s="0" t="inlineStr">
        <is>
          <t>Clear</t>
        </is>
      </c>
      <c r="B967" s="0" t="inlineStr">
        <is>
          <t>Gem</t>
        </is>
      </c>
      <c r="C967" s="0" t="inlineStr">
        <is>
          <t>Acquired</t>
        </is>
      </c>
      <c r="D967" s="0" t="inlineStr">
        <is>
          <t>:</t>
        </is>
      </c>
      <c r="E967" s="0" t="n">
        <v>5600</v>
      </c>
      <c r="F967" s="0" t="inlineStr">
        <is>
          <t>-&gt;</t>
        </is>
      </c>
      <c r="G967" s="0" t="n">
        <v>5700</v>
      </c>
      <c r="H967" s="0" t="inlineStr">
        <is>
          <t>(Stage</t>
        </is>
      </c>
      <c r="I967" s="0" t="inlineStr">
        <is>
          <t>:</t>
        </is>
      </c>
      <c r="J967" s="0" t="inlineStr">
        <is>
          <t>8)</t>
        </is>
      </c>
      <c r="K967" s="0">
        <f>IF(H966="1)",1,IF(H966="2)",2,IF(H966="3)",3,IF(H966="4)",4,IF(H966="5)",5,IF(H966="6)",6,IF(H966="7)",7,IF(H966="8)",8,0))))))))</f>
        <v/>
      </c>
      <c r="L967" s="0">
        <f>IF(H966="1)",J966,IF(H966="2)",J966,IF(H966="3)",J966,IF(H966="4)",J966,IF(H966="5)",J966,IF(H966="6)",J966,IF(H966="7)",J966,IF(H966="8)",J966,0))))))))</f>
        <v/>
      </c>
    </row>
    <row r="968">
      <c r="A968" s="0" t="inlineStr">
        <is>
          <t>New</t>
        </is>
      </c>
      <c r="B968" s="0" t="inlineStr">
        <is>
          <t>Item</t>
        </is>
      </c>
      <c r="C968" s="0" t="inlineStr">
        <is>
          <t>Acquired</t>
        </is>
      </c>
      <c r="D968" s="0" t="inlineStr">
        <is>
          <t>:</t>
        </is>
      </c>
      <c r="E968" s="0" t="inlineStr">
        <is>
          <t>45.00K</t>
        </is>
      </c>
      <c r="F968" s="0" t="inlineStr">
        <is>
          <t>(3,</t>
        </is>
      </c>
      <c r="G968" s="0" t="inlineStr">
        <is>
          <t>24)</t>
        </is>
      </c>
      <c r="K968" s="0">
        <f>IF(H967="1)",1,IF(H967="2)",2,IF(H967="3)",3,IF(H967="4)",4,IF(H967="5)",5,IF(H967="6)",6,IF(H967="7)",7,IF(H967="8)",8,0))))))))</f>
        <v/>
      </c>
      <c r="L968" s="0">
        <f>IF(H967="1)",J967,IF(H967="2)",J967,IF(H967="3)",J967,IF(H967="4)",J967,IF(H967="5)",J967,IF(H967="6)",J967,IF(H967="7)",J967,IF(H967="8)",J967,0))))))))</f>
        <v/>
      </c>
    </row>
    <row r="969">
      <c r="A969" s="0" t="inlineStr">
        <is>
          <t>New</t>
        </is>
      </c>
      <c r="B969" s="0" t="inlineStr">
        <is>
          <t>Item</t>
        </is>
      </c>
      <c r="C969" s="0" t="inlineStr">
        <is>
          <t>Acquired</t>
        </is>
      </c>
      <c r="D969" s="0" t="inlineStr">
        <is>
          <t>:</t>
        </is>
      </c>
      <c r="E969" s="0" t="inlineStr">
        <is>
          <t>90.00K</t>
        </is>
      </c>
      <c r="F969" s="0" t="inlineStr">
        <is>
          <t>(7,</t>
        </is>
      </c>
      <c r="G969" s="0" t="inlineStr">
        <is>
          <t>7)</t>
        </is>
      </c>
      <c r="K969" s="0">
        <f>IF(H968="1)",1,IF(H968="2)",2,IF(H968="3)",3,IF(H968="4)",4,IF(H968="5)",5,IF(H968="6)",6,IF(H968="7)",7,IF(H968="8)",8,0))))))))</f>
        <v/>
      </c>
      <c r="L969" s="0">
        <f>IF(H968="1)",J968,IF(H968="2)",J968,IF(H968="3)",J968,IF(H968="4)",J968,IF(H968="5)",J968,IF(H968="6)",J968,IF(H968="7)",J968,IF(H968="8)",J968,0))))))))</f>
        <v/>
      </c>
    </row>
    <row r="970">
      <c r="A970" s="0" t="inlineStr">
        <is>
          <t>New</t>
        </is>
      </c>
      <c r="B970" s="0" t="inlineStr">
        <is>
          <t>Item</t>
        </is>
      </c>
      <c r="C970" s="0" t="inlineStr">
        <is>
          <t>Acquired</t>
        </is>
      </c>
      <c r="D970" s="0" t="inlineStr">
        <is>
          <t>:</t>
        </is>
      </c>
      <c r="E970" s="0" t="inlineStr">
        <is>
          <t>125.00K</t>
        </is>
      </c>
      <c r="F970" s="0" t="inlineStr">
        <is>
          <t>(6,</t>
        </is>
      </c>
      <c r="G970" s="0" t="inlineStr">
        <is>
          <t>14)</t>
        </is>
      </c>
      <c r="K970" s="0">
        <f>IF(H969="1)",1,IF(H969="2)",2,IF(H969="3)",3,IF(H969="4)",4,IF(H969="5)",5,IF(H969="6)",6,IF(H969="7)",7,IF(H969="8)",8,0))))))))</f>
        <v/>
      </c>
      <c r="L970" s="0">
        <f>IF(H969="1)",J969,IF(H969="2)",J969,IF(H969="3)",J969,IF(H969="4)",J969,IF(H969="5)",J969,IF(H969="6)",J969,IF(H969="7)",J969,IF(H969="8)",J969,0))))))))</f>
        <v/>
      </c>
    </row>
    <row r="971">
      <c r="A971" s="0" t="inlineStr">
        <is>
          <t>New</t>
        </is>
      </c>
      <c r="B971" s="0" t="inlineStr">
        <is>
          <t>Item</t>
        </is>
      </c>
      <c r="C971" s="0" t="inlineStr">
        <is>
          <t>Acquired</t>
        </is>
      </c>
      <c r="D971" s="0" t="inlineStr">
        <is>
          <t>:</t>
        </is>
      </c>
      <c r="E971" s="0" t="inlineStr">
        <is>
          <t>280.00K</t>
        </is>
      </c>
      <c r="F971" s="0" t="inlineStr">
        <is>
          <t>(8,</t>
        </is>
      </c>
      <c r="G971" s="0" t="inlineStr">
        <is>
          <t>20)</t>
        </is>
      </c>
      <c r="K971" s="0">
        <f>IF(H970="1)",1,IF(H970="2)",2,IF(H970="3)",3,IF(H970="4)",4,IF(H970="5)",5,IF(H970="6)",6,IF(H970="7)",7,IF(H970="8)",8,0))))))))</f>
        <v/>
      </c>
      <c r="L971" s="0">
        <f>IF(H970="1)",J970,IF(H970="2)",J970,IF(H970="3)",J970,IF(H970="4)",J970,IF(H970="5)",J970,IF(H970="6)",J970,IF(H970="7)",J970,IF(H970="8)",J970,0))))))))</f>
        <v/>
      </c>
    </row>
    <row r="972">
      <c r="A972" s="0" t="inlineStr">
        <is>
          <t>New</t>
        </is>
      </c>
      <c r="B972" s="0" t="inlineStr">
        <is>
          <t>Item</t>
        </is>
      </c>
      <c r="C972" s="0" t="inlineStr">
        <is>
          <t>Acquired</t>
        </is>
      </c>
      <c r="D972" s="0" t="inlineStr">
        <is>
          <t>:</t>
        </is>
      </c>
      <c r="E972" s="0" t="inlineStr">
        <is>
          <t>30.00K</t>
        </is>
      </c>
      <c r="F972" s="0" t="inlineStr">
        <is>
          <t>(1,</t>
        </is>
      </c>
      <c r="G972" s="0" t="inlineStr">
        <is>
          <t>7)</t>
        </is>
      </c>
      <c r="K972" s="0">
        <f>IF(H971="1)",1,IF(H971="2)",2,IF(H971="3)",3,IF(H971="4)",4,IF(H971="5)",5,IF(H971="6)",6,IF(H971="7)",7,IF(H971="8)",8,0))))))))</f>
        <v/>
      </c>
      <c r="L972" s="0">
        <f>IF(H971="1)",J971,IF(H971="2)",J971,IF(H971="3)",J971,IF(H971="4)",J971,IF(H971="5)",J971,IF(H971="6)",J971,IF(H971="7)",J971,IF(H971="8)",J971,0))))))))</f>
        <v/>
      </c>
    </row>
    <row r="973">
      <c r="A973" s="0" t="inlineStr">
        <is>
          <t>New</t>
        </is>
      </c>
      <c r="B973" s="0" t="inlineStr">
        <is>
          <t>Item</t>
        </is>
      </c>
      <c r="C973" s="0" t="inlineStr">
        <is>
          <t>Acquired</t>
        </is>
      </c>
      <c r="D973" s="0" t="inlineStr">
        <is>
          <t>:</t>
        </is>
      </c>
      <c r="E973" s="0" t="inlineStr">
        <is>
          <t>200.00K</t>
        </is>
      </c>
      <c r="F973" s="0" t="inlineStr">
        <is>
          <t>(8,</t>
        </is>
      </c>
      <c r="G973" s="0" t="inlineStr">
        <is>
          <t>9)</t>
        </is>
      </c>
      <c r="K973" s="0">
        <f>IF(H972="1)",1,IF(H972="2)",2,IF(H972="3)",3,IF(H972="4)",4,IF(H972="5)",5,IF(H972="6)",6,IF(H972="7)",7,IF(H972="8)",8,0))))))))</f>
        <v/>
      </c>
      <c r="L973" s="0">
        <f>IF(H972="1)",J972,IF(H972="2)",J972,IF(H972="3)",J972,IF(H972="4)",J972,IF(H972="5)",J972,IF(H972="6)",J972,IF(H972="7)",J972,IF(H972="8)",J972,0))))))))</f>
        <v/>
      </c>
    </row>
    <row r="974">
      <c r="A974" s="0" t="inlineStr">
        <is>
          <t>New</t>
        </is>
      </c>
      <c r="B974" s="0" t="inlineStr">
        <is>
          <t>Item</t>
        </is>
      </c>
      <c r="C974" s="0" t="inlineStr">
        <is>
          <t>Acquired</t>
        </is>
      </c>
      <c r="D974" s="0" t="inlineStr">
        <is>
          <t>:</t>
        </is>
      </c>
      <c r="E974" s="0" t="inlineStr">
        <is>
          <t>120.00K</t>
        </is>
      </c>
      <c r="F974" s="0" t="inlineStr">
        <is>
          <t>(8,</t>
        </is>
      </c>
      <c r="G974" s="0" t="inlineStr">
        <is>
          <t>16)</t>
        </is>
      </c>
      <c r="K974" s="0">
        <f>IF(H973="1)",1,IF(H973="2)",2,IF(H973="3)",3,IF(H973="4)",4,IF(H973="5)",5,IF(H973="6)",6,IF(H973="7)",7,IF(H973="8)",8,0))))))))</f>
        <v/>
      </c>
      <c r="L974" s="0">
        <f>IF(H973="1)",J973,IF(H973="2)",J973,IF(H973="3)",J973,IF(H973="4)",J973,IF(H973="5)",J973,IF(H973="6)",J973,IF(H973="7)",J973,IF(H973="8)",J973,0))))))))</f>
        <v/>
      </c>
    </row>
    <row r="975">
      <c r="A975" s="0" t="inlineStr">
        <is>
          <t>New</t>
        </is>
      </c>
      <c r="B975" s="0" t="inlineStr">
        <is>
          <t>Item</t>
        </is>
      </c>
      <c r="C975" s="0" t="inlineStr">
        <is>
          <t>Acquired</t>
        </is>
      </c>
      <c r="D975" s="0" t="inlineStr">
        <is>
          <t>:</t>
        </is>
      </c>
      <c r="E975" s="0" t="inlineStr">
        <is>
          <t>Mini</t>
        </is>
      </c>
      <c r="F975" s="0" t="inlineStr">
        <is>
          <t>(8,</t>
        </is>
      </c>
      <c r="G975" s="0" t="inlineStr">
        <is>
          <t>18)</t>
        </is>
      </c>
      <c r="K975" s="0">
        <f>IF(H974="1)",1,IF(H974="2)",2,IF(H974="3)",3,IF(H974="4)",4,IF(H974="5)",5,IF(H974="6)",6,IF(H974="7)",7,IF(H974="8)",8,0))))))))</f>
        <v/>
      </c>
      <c r="L975" s="0">
        <f>IF(H974="1)",J974,IF(H974="2)",J974,IF(H974="3)",J974,IF(H974="4)",J974,IF(H974="5)",J974,IF(H974="6)",J974,IF(H974="7)",J974,IF(H974="8)",J974,0))))))))</f>
        <v/>
      </c>
    </row>
    <row r="976">
      <c r="A976" s="0" t="inlineStr">
        <is>
          <t>New</t>
        </is>
      </c>
      <c r="B976" s="0" t="inlineStr">
        <is>
          <t>Item</t>
        </is>
      </c>
      <c r="C976" s="0" t="inlineStr">
        <is>
          <t>Acquired</t>
        </is>
      </c>
      <c r="D976" s="0" t="inlineStr">
        <is>
          <t>:</t>
        </is>
      </c>
      <c r="E976" s="0" t="inlineStr">
        <is>
          <t>67.50K</t>
        </is>
      </c>
      <c r="F976" s="0" t="inlineStr">
        <is>
          <t>(5,</t>
        </is>
      </c>
      <c r="G976" s="0" t="inlineStr">
        <is>
          <t>17)</t>
        </is>
      </c>
      <c r="K976" s="0">
        <f>IF(H975="1)",1,IF(H975="2)",2,IF(H975="3)",3,IF(H975="4)",4,IF(H975="5)",5,IF(H975="6)",6,IF(H975="7)",7,IF(H975="8)",8,0))))))))</f>
        <v/>
      </c>
      <c r="L976" s="0">
        <f>IF(H975="1)",J975,IF(H975="2)",J975,IF(H975="3)",J975,IF(H975="4)",J975,IF(H975="5)",J975,IF(H975="6)",J975,IF(H975="7)",J975,IF(H975="8)",J975,0))))))))</f>
        <v/>
      </c>
    </row>
    <row r="977">
      <c r="A977" s="0" t="inlineStr">
        <is>
          <t>New</t>
        </is>
      </c>
      <c r="B977" s="0" t="inlineStr">
        <is>
          <t>Item</t>
        </is>
      </c>
      <c r="C977" s="0" t="inlineStr">
        <is>
          <t>Acquired</t>
        </is>
      </c>
      <c r="D977" s="0" t="inlineStr">
        <is>
          <t>:</t>
        </is>
      </c>
      <c r="E977" s="0" t="inlineStr">
        <is>
          <t>70.00K</t>
        </is>
      </c>
      <c r="F977" s="0" t="inlineStr">
        <is>
          <t>(1,</t>
        </is>
      </c>
      <c r="G977" s="0" t="inlineStr">
        <is>
          <t>12)</t>
        </is>
      </c>
      <c r="K977" s="0">
        <f>IF(H976="1)",1,IF(H976="2)",2,IF(H976="3)",3,IF(H976="4)",4,IF(H976="5)",5,IF(H976="6)",6,IF(H976="7)",7,IF(H976="8)",8,0))))))))</f>
        <v/>
      </c>
      <c r="L977" s="0">
        <f>IF(H976="1)",J976,IF(H976="2)",J976,IF(H976="3)",J976,IF(H976="4)",J976,IF(H976="5)",J976,IF(H976="6)",J976,IF(H976="7)",J976,IF(H976="8)",J976,0))))))))</f>
        <v/>
      </c>
    </row>
    <row r="978">
      <c r="A978" s="0" t="inlineStr">
        <is>
          <t>New</t>
        </is>
      </c>
      <c r="B978" s="0" t="inlineStr">
        <is>
          <t>Item</t>
        </is>
      </c>
      <c r="C978" s="0" t="inlineStr">
        <is>
          <t>Acquired</t>
        </is>
      </c>
      <c r="D978" s="0" t="inlineStr">
        <is>
          <t>:</t>
        </is>
      </c>
      <c r="E978" s="0" t="inlineStr">
        <is>
          <t>175.00K</t>
        </is>
      </c>
      <c r="F978" s="0" t="inlineStr">
        <is>
          <t>(6,</t>
        </is>
      </c>
      <c r="G978" s="0" t="inlineStr">
        <is>
          <t>9)</t>
        </is>
      </c>
      <c r="K978" s="0">
        <f>IF(H977="1)",1,IF(H977="2)",2,IF(H977="3)",3,IF(H977="4)",4,IF(H977="5)",5,IF(H977="6)",6,IF(H977="7)",7,IF(H977="8)",8,0))))))))</f>
        <v/>
      </c>
      <c r="L978" s="0">
        <f>IF(H977="1)",J977,IF(H977="2)",J977,IF(H977="3)",J977,IF(H977="4)",J977,IF(H977="5)",J977,IF(H977="6)",J977,IF(H977="7)",J977,IF(H977="8)",J977,0))))))))</f>
        <v/>
      </c>
    </row>
    <row r="979">
      <c r="A979" s="0" t="inlineStr">
        <is>
          <t>New</t>
        </is>
      </c>
      <c r="B979" s="0" t="inlineStr">
        <is>
          <t>Item</t>
        </is>
      </c>
      <c r="C979" s="0" t="inlineStr">
        <is>
          <t>Acquired</t>
        </is>
      </c>
      <c r="D979" s="0" t="inlineStr">
        <is>
          <t>:</t>
        </is>
      </c>
      <c r="E979" s="0" t="inlineStr">
        <is>
          <t>125.00K</t>
        </is>
      </c>
      <c r="F979" s="0" t="inlineStr">
        <is>
          <t>(6,</t>
        </is>
      </c>
      <c r="G979" s="0" t="inlineStr">
        <is>
          <t>2)</t>
        </is>
      </c>
      <c r="K979" s="0">
        <f>IF(H978="1)",1,IF(H978="2)",2,IF(H978="3)",3,IF(H978="4)",4,IF(H978="5)",5,IF(H978="6)",6,IF(H978="7)",7,IF(H978="8)",8,0))))))))</f>
        <v/>
      </c>
      <c r="L979" s="0">
        <f>IF(H978="1)",J978,IF(H978="2)",J978,IF(H978="3)",J978,IF(H978="4)",J978,IF(H978="5)",J978,IF(H978="6)",J978,IF(H978="7)",J978,IF(H978="8)",J978,0))))))))</f>
        <v/>
      </c>
    </row>
    <row r="980">
      <c r="A980" s="0" t="inlineStr">
        <is>
          <t>New</t>
        </is>
      </c>
      <c r="B980" s="0" t="inlineStr">
        <is>
          <t>Item</t>
        </is>
      </c>
      <c r="C980" s="0" t="inlineStr">
        <is>
          <t>Acquired</t>
        </is>
      </c>
      <c r="D980" s="0" t="inlineStr">
        <is>
          <t>:</t>
        </is>
      </c>
      <c r="E980" s="0" t="inlineStr">
        <is>
          <t>67.50K</t>
        </is>
      </c>
      <c r="F980" s="0" t="inlineStr">
        <is>
          <t>(5,</t>
        </is>
      </c>
      <c r="G980" s="0" t="inlineStr">
        <is>
          <t>18)</t>
        </is>
      </c>
      <c r="K980" s="0">
        <f>IF(H979="1)",1,IF(H979="2)",2,IF(H979="3)",3,IF(H979="4)",4,IF(H979="5)",5,IF(H979="6)",6,IF(H979="7)",7,IF(H979="8)",8,0))))))))</f>
        <v/>
      </c>
      <c r="L980" s="0">
        <f>IF(H979="1)",J979,IF(H979="2)",J979,IF(H979="3)",J979,IF(H979="4)",J979,IF(H979="5)",J979,IF(H979="6)",J979,IF(H979="7)",J979,IF(H979="8)",J979,0))))))))</f>
        <v/>
      </c>
    </row>
    <row r="981">
      <c r="A981" s="0" t="inlineStr">
        <is>
          <t>New</t>
        </is>
      </c>
      <c r="B981" s="0" t="inlineStr">
        <is>
          <t>Item</t>
        </is>
      </c>
      <c r="C981" s="0" t="inlineStr">
        <is>
          <t>Acquired</t>
        </is>
      </c>
      <c r="D981" s="0" t="inlineStr">
        <is>
          <t>:</t>
        </is>
      </c>
      <c r="E981" s="0" t="inlineStr">
        <is>
          <t>Minor</t>
        </is>
      </c>
      <c r="F981" s="0" t="inlineStr">
        <is>
          <t>(8,</t>
        </is>
      </c>
      <c r="G981" s="0" t="inlineStr">
        <is>
          <t>15)</t>
        </is>
      </c>
      <c r="K981" s="0">
        <f>IF(H980="1)",1,IF(H980="2)",2,IF(H980="3)",3,IF(H980="4)",4,IF(H980="5)",5,IF(H980="6)",6,IF(H980="7)",7,IF(H980="8)",8,0))))))))</f>
        <v/>
      </c>
      <c r="L981" s="0">
        <f>IF(H980="1)",J980,IF(H980="2)",J980,IF(H980="3)",J980,IF(H980="4)",J980,IF(H980="5)",J980,IF(H980="6)",J980,IF(H980="7)",J980,IF(H980="8)",J980,0))))))))</f>
        <v/>
      </c>
    </row>
    <row r="982">
      <c r="A982" s="0" t="inlineStr">
        <is>
          <t>New</t>
        </is>
      </c>
      <c r="B982" s="0" t="inlineStr">
        <is>
          <t>Item</t>
        </is>
      </c>
      <c r="C982" s="0" t="inlineStr">
        <is>
          <t>Acquired</t>
        </is>
      </c>
      <c r="D982" s="0" t="inlineStr">
        <is>
          <t>:</t>
        </is>
      </c>
      <c r="E982" s="0" t="inlineStr">
        <is>
          <t>Minor</t>
        </is>
      </c>
      <c r="F982" s="0" t="inlineStr">
        <is>
          <t>(6,</t>
        </is>
      </c>
      <c r="G982" s="0" t="inlineStr">
        <is>
          <t>3)</t>
        </is>
      </c>
      <c r="K982" s="0">
        <f>IF(H981="1)",1,IF(H981="2)",2,IF(H981="3)",3,IF(H981="4)",4,IF(H981="5)",5,IF(H981="6)",6,IF(H981="7)",7,IF(H981="8)",8,0))))))))</f>
        <v/>
      </c>
      <c r="L982" s="0">
        <f>IF(H981="1)",J981,IF(H981="2)",J981,IF(H981="3)",J981,IF(H981="4)",J981,IF(H981="5)",J981,IF(H981="6)",J981,IF(H981="7)",J981,IF(H981="8)",J981,0))))))))</f>
        <v/>
      </c>
    </row>
    <row r="983">
      <c r="A983" s="0" t="inlineStr">
        <is>
          <t>Line</t>
        </is>
      </c>
      <c r="B983" s="0" t="inlineStr">
        <is>
          <t>Prize</t>
        </is>
      </c>
      <c r="C983" s="0" t="inlineStr">
        <is>
          <t>Acquired</t>
        </is>
      </c>
      <c r="D983" s="0" t="inlineStr">
        <is>
          <t>:</t>
        </is>
      </c>
      <c r="E983" s="0" t="inlineStr">
        <is>
          <t>2.95M</t>
        </is>
      </c>
      <c r="F983" s="0" t="inlineStr">
        <is>
          <t>(Stage</t>
        </is>
      </c>
      <c r="G983" s="0" t="inlineStr">
        <is>
          <t>:</t>
        </is>
      </c>
      <c r="H983" s="0" t="inlineStr">
        <is>
          <t>6)</t>
        </is>
      </c>
      <c r="I983" s="0" t="inlineStr">
        <is>
          <t>-</t>
        </is>
      </c>
      <c r="J983" s="0" t="n">
        <v>2950000</v>
      </c>
      <c r="K983" s="0">
        <f>IF(H982="1)",1,IF(H982="2)",2,IF(H982="3)",3,IF(H982="4)",4,IF(H982="5)",5,IF(H982="6)",6,IF(H982="7)",7,IF(H982="8)",8,0))))))))</f>
        <v/>
      </c>
      <c r="L983" s="0">
        <f>IF(H982="1)",J982,IF(H982="2)",J982,IF(H982="3)",J982,IF(H982="4)",J982,IF(H982="5)",J982,IF(H982="6)",J982,IF(H982="7)",J982,IF(H982="8)",J982,0))))))))</f>
        <v/>
      </c>
    </row>
    <row r="984">
      <c r="A984" s="0" t="inlineStr">
        <is>
          <t>Clear</t>
        </is>
      </c>
      <c r="B984" s="0" t="inlineStr">
        <is>
          <t>Gem</t>
        </is>
      </c>
      <c r="C984" s="0" t="inlineStr">
        <is>
          <t>Acquired</t>
        </is>
      </c>
      <c r="D984" s="0" t="inlineStr">
        <is>
          <t>:</t>
        </is>
      </c>
      <c r="E984" s="0" t="n">
        <v>5700</v>
      </c>
      <c r="F984" s="0" t="inlineStr">
        <is>
          <t>-&gt;</t>
        </is>
      </c>
      <c r="G984" s="0" t="n">
        <v>5800</v>
      </c>
      <c r="H984" s="0" t="inlineStr">
        <is>
          <t>(Stage</t>
        </is>
      </c>
      <c r="I984" s="0" t="inlineStr">
        <is>
          <t>:</t>
        </is>
      </c>
      <c r="J984" s="0" t="inlineStr">
        <is>
          <t>6)</t>
        </is>
      </c>
      <c r="K984" s="0">
        <f>IF(H983="1)",1,IF(H983="2)",2,IF(H983="3)",3,IF(H983="4)",4,IF(H983="5)",5,IF(H983="6)",6,IF(H983="7)",7,IF(H983="8)",8,0))))))))</f>
        <v/>
      </c>
      <c r="L984" s="0">
        <f>IF(H983="1)",J983,IF(H983="2)",J983,IF(H983="3)",J983,IF(H983="4)",J983,IF(H983="5)",J983,IF(H983="6)",J983,IF(H983="7)",J983,IF(H983="8)",J983,0))))))))</f>
        <v/>
      </c>
    </row>
    <row r="985">
      <c r="A985" s="0" t="inlineStr">
        <is>
          <t>New</t>
        </is>
      </c>
      <c r="B985" s="0" t="inlineStr">
        <is>
          <t>Item</t>
        </is>
      </c>
      <c r="C985" s="0" t="inlineStr">
        <is>
          <t>Acquired</t>
        </is>
      </c>
      <c r="D985" s="0" t="inlineStr">
        <is>
          <t>:</t>
        </is>
      </c>
      <c r="E985" s="0" t="inlineStr">
        <is>
          <t>157.50K</t>
        </is>
      </c>
      <c r="F985" s="0" t="inlineStr">
        <is>
          <t>(5,</t>
        </is>
      </c>
      <c r="G985" s="0" t="inlineStr">
        <is>
          <t>8)</t>
        </is>
      </c>
      <c r="K985" s="0">
        <f>IF(H984="1)",1,IF(H984="2)",2,IF(H984="3)",3,IF(H984="4)",4,IF(H984="5)",5,IF(H984="6)",6,IF(H984="7)",7,IF(H984="8)",8,0))))))))</f>
        <v/>
      </c>
      <c r="L985" s="0">
        <f>IF(H984="1)",J984,IF(H984="2)",J984,IF(H984="3)",J984,IF(H984="4)",J984,IF(H984="5)",J984,IF(H984="6)",J984,IF(H984="7)",J984,IF(H984="8)",J984,0))))))))</f>
        <v/>
      </c>
    </row>
    <row r="986">
      <c r="A986" s="0" t="inlineStr">
        <is>
          <t>New</t>
        </is>
      </c>
      <c r="B986" s="0" t="inlineStr">
        <is>
          <t>Item</t>
        </is>
      </c>
      <c r="C986" s="0" t="inlineStr">
        <is>
          <t>Acquired</t>
        </is>
      </c>
      <c r="D986" s="0" t="inlineStr">
        <is>
          <t>:</t>
        </is>
      </c>
      <c r="E986" s="0" t="inlineStr">
        <is>
          <t>Major</t>
        </is>
      </c>
      <c r="F986" s="0" t="inlineStr">
        <is>
          <t>(7,</t>
        </is>
      </c>
      <c r="G986" s="0" t="inlineStr">
        <is>
          <t>10)</t>
        </is>
      </c>
      <c r="K986" s="0">
        <f>IF(H985="1)",1,IF(H985="2)",2,IF(H985="3)",3,IF(H985="4)",4,IF(H985="5)",5,IF(H985="6)",6,IF(H985="7)",7,IF(H985="8)",8,0))))))))</f>
        <v/>
      </c>
      <c r="L986" s="0">
        <f>IF(H985="1)",J985,IF(H985="2)",J985,IF(H985="3)",J985,IF(H985="4)",J985,IF(H985="5)",J985,IF(H985="6)",J985,IF(H985="7)",J985,IF(H985="8)",J985,0))))))))</f>
        <v/>
      </c>
    </row>
    <row r="987">
      <c r="A987" s="0" t="inlineStr">
        <is>
          <t>New</t>
        </is>
      </c>
      <c r="B987" s="0" t="inlineStr">
        <is>
          <t>Item</t>
        </is>
      </c>
      <c r="C987" s="0" t="inlineStr">
        <is>
          <t>Acquired</t>
        </is>
      </c>
      <c r="D987" s="0" t="inlineStr">
        <is>
          <t>:</t>
        </is>
      </c>
      <c r="E987" s="0" t="inlineStr">
        <is>
          <t>87.50K</t>
        </is>
      </c>
      <c r="F987" s="0" t="inlineStr">
        <is>
          <t>(2,</t>
        </is>
      </c>
      <c r="G987" s="0" t="inlineStr">
        <is>
          <t>19)</t>
        </is>
      </c>
      <c r="K987" s="0">
        <f>IF(H986="1)",1,IF(H986="2)",2,IF(H986="3)",3,IF(H986="4)",4,IF(H986="5)",5,IF(H986="6)",6,IF(H986="7)",7,IF(H986="8)",8,0))))))))</f>
        <v/>
      </c>
      <c r="L987" s="0">
        <f>IF(H986="1)",J986,IF(H986="2)",J986,IF(H986="3)",J986,IF(H986="4)",J986,IF(H986="5)",J986,IF(H986="6)",J986,IF(H986="7)",J986,IF(H986="8)",J986,0))))))))</f>
        <v/>
      </c>
    </row>
    <row r="988">
      <c r="A988" s="0" t="inlineStr">
        <is>
          <t>New</t>
        </is>
      </c>
      <c r="B988" s="0" t="inlineStr">
        <is>
          <t>Item</t>
        </is>
      </c>
      <c r="C988" s="0" t="inlineStr">
        <is>
          <t>Acquired</t>
        </is>
      </c>
      <c r="D988" s="0" t="inlineStr">
        <is>
          <t>:</t>
        </is>
      </c>
      <c r="E988" s="0" t="inlineStr">
        <is>
          <t>75.00K</t>
        </is>
      </c>
      <c r="F988" s="0" t="inlineStr">
        <is>
          <t>(6,</t>
        </is>
      </c>
      <c r="G988" s="0" t="inlineStr">
        <is>
          <t>3)</t>
        </is>
      </c>
      <c r="K988" s="0">
        <f>IF(H987="1)",1,IF(H987="2)",2,IF(H987="3)",3,IF(H987="4)",4,IF(H987="5)",5,IF(H987="6)",6,IF(H987="7)",7,IF(H987="8)",8,0))))))))</f>
        <v/>
      </c>
      <c r="L988" s="0">
        <f>IF(H987="1)",J987,IF(H987="2)",J987,IF(H987="3)",J987,IF(H987="4)",J987,IF(H987="5)",J987,IF(H987="6)",J987,IF(H987="7)",J987,IF(H987="8)",J987,0))))))))</f>
        <v/>
      </c>
    </row>
    <row r="989">
      <c r="A989" s="0" t="inlineStr">
        <is>
          <t>Item</t>
        </is>
      </c>
      <c r="B989" s="0" t="inlineStr">
        <is>
          <t>ReSelect</t>
        </is>
      </c>
      <c r="C989" s="0" t="inlineStr">
        <is>
          <t>Failed</t>
        </is>
      </c>
      <c r="D989" s="0" t="inlineStr">
        <is>
          <t>:</t>
        </is>
      </c>
      <c r="E989" s="0" t="inlineStr">
        <is>
          <t>Attempt</t>
        </is>
      </c>
      <c r="F989" s="0" t="inlineStr">
        <is>
          <t>Count</t>
        </is>
      </c>
      <c r="G989" s="0" t="inlineStr">
        <is>
          <t>-</t>
        </is>
      </c>
      <c r="H989" s="0" t="n">
        <v>3</v>
      </c>
      <c r="K989" s="0">
        <f>IF(H988="1)",1,IF(H988="2)",2,IF(H988="3)",3,IF(H988="4)",4,IF(H988="5)",5,IF(H988="6)",6,IF(H988="7)",7,IF(H988="8)",8,0))))))))</f>
        <v/>
      </c>
      <c r="L989" s="0">
        <f>IF(H988="1)",J988,IF(H988="2)",J988,IF(H988="3)",J988,IF(H988="4)",J988,IF(H988="5)",J988,IF(H988="6)",J988,IF(H988="7)",J988,IF(H988="8)",J988,0))))))))</f>
        <v/>
      </c>
    </row>
    <row r="990">
      <c r="A990" s="0" t="inlineStr">
        <is>
          <t>New</t>
        </is>
      </c>
      <c r="B990" s="0" t="inlineStr">
        <is>
          <t>Item</t>
        </is>
      </c>
      <c r="C990" s="0" t="inlineStr">
        <is>
          <t>Acquired</t>
        </is>
      </c>
      <c r="D990" s="0" t="inlineStr">
        <is>
          <t>:</t>
        </is>
      </c>
      <c r="E990" s="0" t="inlineStr">
        <is>
          <t>60.00K</t>
        </is>
      </c>
      <c r="F990" s="0" t="inlineStr">
        <is>
          <t>(4,</t>
        </is>
      </c>
      <c r="G990" s="0" t="inlineStr">
        <is>
          <t>1)</t>
        </is>
      </c>
      <c r="K990" s="0">
        <f>IF(H989="1)",1,IF(H989="2)",2,IF(H989="3)",3,IF(H989="4)",4,IF(H989="5)",5,IF(H989="6)",6,IF(H989="7)",7,IF(H989="8)",8,0))))))))</f>
        <v/>
      </c>
      <c r="L990" s="0">
        <f>IF(H989="1)",J989,IF(H989="2)",J989,IF(H989="3)",J989,IF(H989="4)",J989,IF(H989="5)",J989,IF(H989="6)",J989,IF(H989="7)",J989,IF(H989="8)",J989,0))))))))</f>
        <v/>
      </c>
    </row>
    <row r="991">
      <c r="A991" s="0" t="inlineStr">
        <is>
          <t>New</t>
        </is>
      </c>
      <c r="B991" s="0" t="inlineStr">
        <is>
          <t>Item</t>
        </is>
      </c>
      <c r="C991" s="0" t="inlineStr">
        <is>
          <t>Acquired</t>
        </is>
      </c>
      <c r="D991" s="0" t="inlineStr">
        <is>
          <t>:</t>
        </is>
      </c>
      <c r="E991" s="0" t="inlineStr">
        <is>
          <t>90.00K</t>
        </is>
      </c>
      <c r="F991" s="0" t="inlineStr">
        <is>
          <t>(7,</t>
        </is>
      </c>
      <c r="G991" s="0" t="inlineStr">
        <is>
          <t>22)</t>
        </is>
      </c>
      <c r="K991" s="0">
        <f>IF(H990="1)",1,IF(H990="2)",2,IF(H990="3)",3,IF(H990="4)",4,IF(H990="5)",5,IF(H990="6)",6,IF(H990="7)",7,IF(H990="8)",8,0))))))))</f>
        <v/>
      </c>
      <c r="L991" s="0">
        <f>IF(H990="1)",J990,IF(H990="2)",J990,IF(H990="3)",J990,IF(H990="4)",J990,IF(H990="5)",J990,IF(H990="6)",J990,IF(H990="7)",J990,IF(H990="8)",J990,0))))))))</f>
        <v/>
      </c>
    </row>
    <row r="992">
      <c r="A992" s="0" t="inlineStr">
        <is>
          <t>New</t>
        </is>
      </c>
      <c r="B992" s="0" t="inlineStr">
        <is>
          <t>Item</t>
        </is>
      </c>
      <c r="C992" s="0" t="inlineStr">
        <is>
          <t>Acquired</t>
        </is>
      </c>
      <c r="D992" s="0" t="inlineStr">
        <is>
          <t>:</t>
        </is>
      </c>
      <c r="E992" s="0" t="inlineStr">
        <is>
          <t>60.00K</t>
        </is>
      </c>
      <c r="F992" s="0" t="inlineStr">
        <is>
          <t>(4,</t>
        </is>
      </c>
      <c r="G992" s="0" t="inlineStr">
        <is>
          <t>25)</t>
        </is>
      </c>
      <c r="K992" s="0">
        <f>IF(H991="1)",1,IF(H991="2)",2,IF(H991="3)",3,IF(H991="4)",4,IF(H991="5)",5,IF(H991="6)",6,IF(H991="7)",7,IF(H991="8)",8,0))))))))</f>
        <v/>
      </c>
      <c r="L992" s="0">
        <f>IF(H991="1)",J991,IF(H991="2)",J991,IF(H991="3)",J991,IF(H991="4)",J991,IF(H991="5)",J991,IF(H991="6)",J991,IF(H991="7)",J991,IF(H991="8)",J991,0))))))))</f>
        <v/>
      </c>
    </row>
    <row r="993">
      <c r="A993" s="0" t="inlineStr">
        <is>
          <t>New</t>
        </is>
      </c>
      <c r="B993" s="0" t="inlineStr">
        <is>
          <t>Item</t>
        </is>
      </c>
      <c r="C993" s="0" t="inlineStr">
        <is>
          <t>Acquired</t>
        </is>
      </c>
      <c r="D993" s="0" t="inlineStr">
        <is>
          <t>:</t>
        </is>
      </c>
      <c r="E993" s="0" t="inlineStr">
        <is>
          <t>37.50K</t>
        </is>
      </c>
      <c r="F993" s="0" t="inlineStr">
        <is>
          <t>(2,</t>
        </is>
      </c>
      <c r="G993" s="0" t="inlineStr">
        <is>
          <t>15)</t>
        </is>
      </c>
      <c r="K993" s="0">
        <f>IF(H992="1)",1,IF(H992="2)",2,IF(H992="3)",3,IF(H992="4)",4,IF(H992="5)",5,IF(H992="6)",6,IF(H992="7)",7,IF(H992="8)",8,0))))))))</f>
        <v/>
      </c>
      <c r="L993" s="0">
        <f>IF(H992="1)",J992,IF(H992="2)",J992,IF(H992="3)",J992,IF(H992="4)",J992,IF(H992="5)",J992,IF(H992="6)",J992,IF(H992="7)",J992,IF(H992="8)",J992,0))))))))</f>
        <v/>
      </c>
    </row>
    <row r="994">
      <c r="A994" s="0" t="inlineStr">
        <is>
          <t>New</t>
        </is>
      </c>
      <c r="B994" s="0" t="inlineStr">
        <is>
          <t>Item</t>
        </is>
      </c>
      <c r="C994" s="0" t="inlineStr">
        <is>
          <t>Acquired</t>
        </is>
      </c>
      <c r="D994" s="0" t="inlineStr">
        <is>
          <t>:</t>
        </is>
      </c>
      <c r="E994" s="0" t="inlineStr">
        <is>
          <t>30.00K</t>
        </is>
      </c>
      <c r="F994" s="0" t="inlineStr">
        <is>
          <t>(1,</t>
        </is>
      </c>
      <c r="G994" s="0" t="inlineStr">
        <is>
          <t>10)</t>
        </is>
      </c>
      <c r="K994" s="0">
        <f>IF(H993="1)",1,IF(H993="2)",2,IF(H993="3)",3,IF(H993="4)",4,IF(H993="5)",5,IF(H993="6)",6,IF(H993="7)",7,IF(H993="8)",8,0))))))))</f>
        <v/>
      </c>
      <c r="L994" s="0">
        <f>IF(H993="1)",J993,IF(H993="2)",J993,IF(H993="3)",J993,IF(H993="4)",J993,IF(H993="5)",J993,IF(H993="6)",J993,IF(H993="7)",J993,IF(H993="8)",J993,0))))))))</f>
        <v/>
      </c>
    </row>
    <row r="995">
      <c r="A995" s="0" t="inlineStr">
        <is>
          <t>Line</t>
        </is>
      </c>
      <c r="B995" s="0" t="inlineStr">
        <is>
          <t>Prize</t>
        </is>
      </c>
      <c r="C995" s="0" t="inlineStr">
        <is>
          <t>Acquired</t>
        </is>
      </c>
      <c r="D995" s="0" t="inlineStr">
        <is>
          <t>:</t>
        </is>
      </c>
      <c r="E995" s="0" t="inlineStr">
        <is>
          <t>150.00K</t>
        </is>
      </c>
      <c r="F995" s="0" t="inlineStr">
        <is>
          <t>(Stage</t>
        </is>
      </c>
      <c r="G995" s="0" t="inlineStr">
        <is>
          <t>:</t>
        </is>
      </c>
      <c r="H995" s="0" t="inlineStr">
        <is>
          <t>1)</t>
        </is>
      </c>
      <c r="I995" s="0" t="inlineStr">
        <is>
          <t>-</t>
        </is>
      </c>
      <c r="J995" s="0" t="n">
        <v>150000</v>
      </c>
      <c r="K995" s="0">
        <f>IF(H994="1)",1,IF(H994="2)",2,IF(H994="3)",3,IF(H994="4)",4,IF(H994="5)",5,IF(H994="6)",6,IF(H994="7)",7,IF(H994="8)",8,0))))))))</f>
        <v/>
      </c>
      <c r="L995" s="0">
        <f>IF(H994="1)",J994,IF(H994="2)",J994,IF(H994="3)",J994,IF(H994="4)",J994,IF(H994="5)",J994,IF(H994="6)",J994,IF(H994="7)",J994,IF(H994="8)",J994,0))))))))</f>
        <v/>
      </c>
    </row>
    <row r="996">
      <c r="A996" s="0" t="inlineStr">
        <is>
          <t>Clear</t>
        </is>
      </c>
      <c r="B996" s="0" t="inlineStr">
        <is>
          <t>Gem</t>
        </is>
      </c>
      <c r="C996" s="0" t="inlineStr">
        <is>
          <t>Acquired</t>
        </is>
      </c>
      <c r="D996" s="0" t="inlineStr">
        <is>
          <t>:</t>
        </is>
      </c>
      <c r="E996" s="0" t="n">
        <v>5800</v>
      </c>
      <c r="F996" s="0" t="inlineStr">
        <is>
          <t>-&gt;</t>
        </is>
      </c>
      <c r="G996" s="0" t="n">
        <v>5900</v>
      </c>
      <c r="H996" s="0" t="inlineStr">
        <is>
          <t>(Stage</t>
        </is>
      </c>
      <c r="I996" s="0" t="inlineStr">
        <is>
          <t>:</t>
        </is>
      </c>
      <c r="J996" s="0" t="inlineStr">
        <is>
          <t>1)</t>
        </is>
      </c>
      <c r="K996" s="0">
        <f>IF(H995="1)",1,IF(H995="2)",2,IF(H995="3)",3,IF(H995="4)",4,IF(H995="5)",5,IF(H995="6)",6,IF(H995="7)",7,IF(H995="8)",8,0))))))))</f>
        <v/>
      </c>
      <c r="L996" s="0">
        <f>IF(H995="1)",J995,IF(H995="2)",J995,IF(H995="3)",J995,IF(H995="4)",J995,IF(H995="5)",J995,IF(H995="6)",J995,IF(H995="7)",J995,IF(H995="8)",J995,0))))))))</f>
        <v/>
      </c>
    </row>
    <row r="997">
      <c r="A997" s="0" t="inlineStr">
        <is>
          <t>New</t>
        </is>
      </c>
      <c r="B997" s="0" t="inlineStr">
        <is>
          <t>Item</t>
        </is>
      </c>
      <c r="C997" s="0" t="inlineStr">
        <is>
          <t>Acquired</t>
        </is>
      </c>
      <c r="D997" s="0" t="inlineStr">
        <is>
          <t>:</t>
        </is>
      </c>
      <c r="E997" s="0" t="inlineStr">
        <is>
          <t>37.50K</t>
        </is>
      </c>
      <c r="F997" s="0" t="inlineStr">
        <is>
          <t>(2,</t>
        </is>
      </c>
      <c r="G997" s="0" t="inlineStr">
        <is>
          <t>5)</t>
        </is>
      </c>
      <c r="K997" s="0">
        <f>IF(H996="1)",1,IF(H996="2)",2,IF(H996="3)",3,IF(H996="4)",4,IF(H996="5)",5,IF(H996="6)",6,IF(H996="7)",7,IF(H996="8)",8,0))))))))</f>
        <v/>
      </c>
      <c r="L997" s="0">
        <f>IF(H996="1)",J996,IF(H996="2)",J996,IF(H996="3)",J996,IF(H996="4)",J996,IF(H996="5)",J996,IF(H996="6)",J996,IF(H996="7)",J996,IF(H996="8)",J996,0))))))))</f>
        <v/>
      </c>
    </row>
    <row r="998">
      <c r="A998" s="0" t="inlineStr">
        <is>
          <t>New</t>
        </is>
      </c>
      <c r="B998" s="0" t="inlineStr">
        <is>
          <t>Item</t>
        </is>
      </c>
      <c r="C998" s="0" t="inlineStr">
        <is>
          <t>Acquired</t>
        </is>
      </c>
      <c r="D998" s="0" t="inlineStr">
        <is>
          <t>:</t>
        </is>
      </c>
      <c r="E998" s="0" t="inlineStr">
        <is>
          <t>90.00K</t>
        </is>
      </c>
      <c r="F998" s="0" t="inlineStr">
        <is>
          <t>(7,</t>
        </is>
      </c>
      <c r="G998" s="0" t="inlineStr">
        <is>
          <t>15)</t>
        </is>
      </c>
      <c r="K998" s="0">
        <f>IF(H997="1)",1,IF(H997="2)",2,IF(H997="3)",3,IF(H997="4)",4,IF(H997="5)",5,IF(H997="6)",6,IF(H997="7)",7,IF(H997="8)",8,0))))))))</f>
        <v/>
      </c>
      <c r="L998" s="0">
        <f>IF(H997="1)",J997,IF(H997="2)",J997,IF(H997="3)",J997,IF(H997="4)",J997,IF(H997="5)",J997,IF(H997="6)",J997,IF(H997="7)",J997,IF(H997="8)",J997,0))))))))</f>
        <v/>
      </c>
    </row>
    <row r="999">
      <c r="A999" s="0" t="inlineStr">
        <is>
          <t>Line</t>
        </is>
      </c>
      <c r="B999" s="0" t="inlineStr">
        <is>
          <t>Prize</t>
        </is>
      </c>
      <c r="C999" s="0" t="inlineStr">
        <is>
          <t>Acquired</t>
        </is>
      </c>
      <c r="D999" s="0" t="inlineStr">
        <is>
          <t>:</t>
        </is>
      </c>
      <c r="E999" s="0" t="inlineStr">
        <is>
          <t>1.82M</t>
        </is>
      </c>
      <c r="F999" s="0" t="inlineStr">
        <is>
          <t>(Stage</t>
        </is>
      </c>
      <c r="G999" s="0" t="inlineStr">
        <is>
          <t>:</t>
        </is>
      </c>
      <c r="H999" s="0" t="inlineStr">
        <is>
          <t>7)</t>
        </is>
      </c>
      <c r="I999" s="0" t="inlineStr">
        <is>
          <t>-</t>
        </is>
      </c>
      <c r="J999" s="0" t="n">
        <v>1820000</v>
      </c>
      <c r="K999" s="0">
        <f>IF(H998="1)",1,IF(H998="2)",2,IF(H998="3)",3,IF(H998="4)",4,IF(H998="5)",5,IF(H998="6)",6,IF(H998="7)",7,IF(H998="8)",8,0))))))))</f>
        <v/>
      </c>
      <c r="L999" s="0">
        <f>IF(H998="1)",J998,IF(H998="2)",J998,IF(H998="3)",J998,IF(H998="4)",J998,IF(H998="5)",J998,IF(H998="6)",J998,IF(H998="7)",J998,IF(H998="8)",J998,0))))))))</f>
        <v/>
      </c>
    </row>
    <row r="1000">
      <c r="A1000" s="0" t="inlineStr">
        <is>
          <t>Clear</t>
        </is>
      </c>
      <c r="B1000" s="0" t="inlineStr">
        <is>
          <t>Gem</t>
        </is>
      </c>
      <c r="C1000" s="0" t="inlineStr">
        <is>
          <t>Acquired</t>
        </is>
      </c>
      <c r="D1000" s="0" t="inlineStr">
        <is>
          <t>:</t>
        </is>
      </c>
      <c r="E1000" s="0" t="n">
        <v>5900</v>
      </c>
      <c r="F1000" s="0" t="inlineStr">
        <is>
          <t>-&gt;</t>
        </is>
      </c>
      <c r="G1000" s="0" t="n">
        <v>6000</v>
      </c>
      <c r="H1000" s="0" t="inlineStr">
        <is>
          <t>(Stage</t>
        </is>
      </c>
      <c r="I1000" s="0" t="inlineStr">
        <is>
          <t>:</t>
        </is>
      </c>
      <c r="J1000" s="0" t="inlineStr">
        <is>
          <t>7)</t>
        </is>
      </c>
      <c r="K1000" s="0">
        <f>IF(H999="1)",1,IF(H999="2)",2,IF(H999="3)",3,IF(H999="4)",4,IF(H999="5)",5,IF(H999="6)",6,IF(H999="7)",7,IF(H999="8)",8,0))))))))</f>
        <v/>
      </c>
      <c r="L1000" s="0">
        <f>IF(H999="1)",J999,IF(H999="2)",J999,IF(H999="3)",J999,IF(H999="4)",J999,IF(H999="5)",J999,IF(H999="6)",J999,IF(H999="7)",J999,IF(H999="8)",J999,0))))))))</f>
        <v/>
      </c>
    </row>
    <row r="1001">
      <c r="A1001" s="0" t="inlineStr">
        <is>
          <t>New</t>
        </is>
      </c>
      <c r="B1001" s="0" t="inlineStr">
        <is>
          <t>Item</t>
        </is>
      </c>
      <c r="C1001" s="0" t="inlineStr">
        <is>
          <t>Acquired</t>
        </is>
      </c>
      <c r="D1001" s="0" t="inlineStr">
        <is>
          <t>:</t>
        </is>
      </c>
      <c r="E1001" s="0" t="inlineStr">
        <is>
          <t>67.50K</t>
        </is>
      </c>
      <c r="F1001" s="0" t="inlineStr">
        <is>
          <t>(5,</t>
        </is>
      </c>
      <c r="G1001" s="0" t="inlineStr">
        <is>
          <t>6)</t>
        </is>
      </c>
      <c r="K1001" s="0">
        <f>IF(H1000="1)",1,IF(H1000="2)",2,IF(H1000="3)",3,IF(H1000="4)",4,IF(H1000="5)",5,IF(H1000="6)",6,IF(H1000="7)",7,IF(H1000="8)",8,0))))))))</f>
        <v/>
      </c>
      <c r="L1001" s="0">
        <f>IF(H1000="1)",J1000,IF(H1000="2)",J1000,IF(H1000="3)",J1000,IF(H1000="4)",J1000,IF(H1000="5)",J1000,IF(H1000="6)",J1000,IF(H1000="7)",J1000,IF(H1000="8)",J1000,0))))))))</f>
        <v/>
      </c>
    </row>
    <row r="1002">
      <c r="A1002" s="0" t="inlineStr">
        <is>
          <t>New</t>
        </is>
      </c>
      <c r="B1002" s="0" t="inlineStr">
        <is>
          <t>Item</t>
        </is>
      </c>
      <c r="C1002" s="0" t="inlineStr">
        <is>
          <t>Acquired</t>
        </is>
      </c>
      <c r="D1002" s="0" t="inlineStr">
        <is>
          <t>:</t>
        </is>
      </c>
      <c r="E1002" s="0" t="inlineStr">
        <is>
          <t>120.00K</t>
        </is>
      </c>
      <c r="F1002" s="0" t="inlineStr">
        <is>
          <t>(8,</t>
        </is>
      </c>
      <c r="G1002" s="0" t="inlineStr">
        <is>
          <t>25)</t>
        </is>
      </c>
      <c r="K1002" s="0">
        <f>IF(H1001="1)",1,IF(H1001="2)",2,IF(H1001="3)",3,IF(H1001="4)",4,IF(H1001="5)",5,IF(H1001="6)",6,IF(H1001="7)",7,IF(H1001="8)",8,0))))))))</f>
        <v/>
      </c>
      <c r="L1002" s="0">
        <f>IF(H1001="1)",J1001,IF(H1001="2)",J1001,IF(H1001="3)",J1001,IF(H1001="4)",J1001,IF(H1001="5)",J1001,IF(H1001="6)",J1001,IF(H1001="7)",J1001,IF(H1001="8)",J1001,0))))))))</f>
        <v/>
      </c>
    </row>
    <row r="1003">
      <c r="A1003" s="0" t="inlineStr">
        <is>
          <t>New</t>
        </is>
      </c>
      <c r="B1003" s="0" t="inlineStr">
        <is>
          <t>Item</t>
        </is>
      </c>
      <c r="C1003" s="0" t="inlineStr">
        <is>
          <t>Acquired</t>
        </is>
      </c>
      <c r="D1003" s="0" t="inlineStr">
        <is>
          <t>:</t>
        </is>
      </c>
      <c r="E1003" s="0" t="inlineStr">
        <is>
          <t>75.00K</t>
        </is>
      </c>
      <c r="F1003" s="0" t="inlineStr">
        <is>
          <t>(3,</t>
        </is>
      </c>
      <c r="G1003" s="0" t="inlineStr">
        <is>
          <t>12)</t>
        </is>
      </c>
      <c r="K1003" s="0">
        <f>IF(H1002="1)",1,IF(H1002="2)",2,IF(H1002="3)",3,IF(H1002="4)",4,IF(H1002="5)",5,IF(H1002="6)",6,IF(H1002="7)",7,IF(H1002="8)",8,0))))))))</f>
        <v/>
      </c>
      <c r="L1003" s="0">
        <f>IF(H1002="1)",J1002,IF(H1002="2)",J1002,IF(H1002="3)",J1002,IF(H1002="4)",J1002,IF(H1002="5)",J1002,IF(H1002="6)",J1002,IF(H1002="7)",J1002,IF(H1002="8)",J1002,0))))))))</f>
        <v/>
      </c>
    </row>
    <row r="1004">
      <c r="A1004" s="0" t="inlineStr">
        <is>
          <t>New</t>
        </is>
      </c>
      <c r="B1004" s="0" t="inlineStr">
        <is>
          <t>Item</t>
        </is>
      </c>
      <c r="C1004" s="0" t="inlineStr">
        <is>
          <t>Acquired</t>
        </is>
      </c>
      <c r="D1004" s="0" t="inlineStr">
        <is>
          <t>:</t>
        </is>
      </c>
      <c r="E1004" s="0" t="inlineStr">
        <is>
          <t>50.00K</t>
        </is>
      </c>
      <c r="F1004" s="0" t="inlineStr">
        <is>
          <t>(1,</t>
        </is>
      </c>
      <c r="G1004" s="0" t="inlineStr">
        <is>
          <t>19)</t>
        </is>
      </c>
      <c r="K1004" s="0">
        <f>IF(H1003="1)",1,IF(H1003="2)",2,IF(H1003="3)",3,IF(H1003="4)",4,IF(H1003="5)",5,IF(H1003="6)",6,IF(H1003="7)",7,IF(H1003="8)",8,0))))))))</f>
        <v/>
      </c>
      <c r="L1004" s="0">
        <f>IF(H1003="1)",J1003,IF(H1003="2)",J1003,IF(H1003="3)",J1003,IF(H1003="4)",J1003,IF(H1003="5)",J1003,IF(H1003="6)",J1003,IF(H1003="7)",J1003,IF(H1003="8)",J1003,0))))))))</f>
        <v/>
      </c>
    </row>
    <row r="1005">
      <c r="A1005" s="0" t="inlineStr">
        <is>
          <t>New</t>
        </is>
      </c>
      <c r="B1005" s="0" t="inlineStr">
        <is>
          <t>Item</t>
        </is>
      </c>
      <c r="C1005" s="0" t="inlineStr">
        <is>
          <t>Acquired</t>
        </is>
      </c>
      <c r="D1005" s="0" t="inlineStr">
        <is>
          <t>:</t>
        </is>
      </c>
      <c r="E1005" s="0" t="inlineStr">
        <is>
          <t>70.00K</t>
        </is>
      </c>
      <c r="F1005" s="0" t="inlineStr">
        <is>
          <t>(1,</t>
        </is>
      </c>
      <c r="G1005" s="0" t="inlineStr">
        <is>
          <t>10)</t>
        </is>
      </c>
      <c r="K1005" s="0">
        <f>IF(H1004="1)",1,IF(H1004="2)",2,IF(H1004="3)",3,IF(H1004="4)",4,IF(H1004="5)",5,IF(H1004="6)",6,IF(H1004="7)",7,IF(H1004="8)",8,0))))))))</f>
        <v/>
      </c>
      <c r="L1005" s="0">
        <f>IF(H1004="1)",J1004,IF(H1004="2)",J1004,IF(H1004="3)",J1004,IF(H1004="4)",J1004,IF(H1004="5)",J1004,IF(H1004="6)",J1004,IF(H1004="7)",J1004,IF(H1004="8)",J1004,0))))))))</f>
        <v/>
      </c>
    </row>
    <row r="1006">
      <c r="A1006" s="0" t="inlineStr">
        <is>
          <t>New</t>
        </is>
      </c>
      <c r="B1006" s="0" t="inlineStr">
        <is>
          <t>Item</t>
        </is>
      </c>
      <c r="C1006" s="0" t="inlineStr">
        <is>
          <t>Acquired</t>
        </is>
      </c>
      <c r="D1006" s="0" t="inlineStr">
        <is>
          <t>:</t>
        </is>
      </c>
      <c r="E1006" s="0" t="inlineStr">
        <is>
          <t>50.00K</t>
        </is>
      </c>
      <c r="F1006" s="0" t="inlineStr">
        <is>
          <t>(1,</t>
        </is>
      </c>
      <c r="G1006" s="0" t="inlineStr">
        <is>
          <t>5)</t>
        </is>
      </c>
      <c r="K1006" s="0">
        <f>IF(H1005="1)",1,IF(H1005="2)",2,IF(H1005="3)",3,IF(H1005="4)",4,IF(H1005="5)",5,IF(H1005="6)",6,IF(H1005="7)",7,IF(H1005="8)",8,0))))))))</f>
        <v/>
      </c>
      <c r="L1006" s="0">
        <f>IF(H1005="1)",J1005,IF(H1005="2)",J1005,IF(H1005="3)",J1005,IF(H1005="4)",J1005,IF(H1005="5)",J1005,IF(H1005="6)",J1005,IF(H1005="7)",J1005,IF(H1005="8)",J1005,0))))))))</f>
        <v/>
      </c>
    </row>
    <row r="1007">
      <c r="A1007" s="0" t="inlineStr">
        <is>
          <t>New</t>
        </is>
      </c>
      <c r="B1007" s="0" t="inlineStr">
        <is>
          <t>Item</t>
        </is>
      </c>
      <c r="C1007" s="0" t="inlineStr">
        <is>
          <t>Acquired</t>
        </is>
      </c>
      <c r="D1007" s="0" t="inlineStr">
        <is>
          <t>:</t>
        </is>
      </c>
      <c r="E1007" s="0" t="inlineStr">
        <is>
          <t>75.00K</t>
        </is>
      </c>
      <c r="F1007" s="0" t="inlineStr">
        <is>
          <t>(6,</t>
        </is>
      </c>
      <c r="G1007" s="0" t="inlineStr">
        <is>
          <t>4)</t>
        </is>
      </c>
      <c r="K1007" s="0">
        <f>IF(H1006="1)",1,IF(H1006="2)",2,IF(H1006="3)",3,IF(H1006="4)",4,IF(H1006="5)",5,IF(H1006="6)",6,IF(H1006="7)",7,IF(H1006="8)",8,0))))))))</f>
        <v/>
      </c>
      <c r="L1007" s="0">
        <f>IF(H1006="1)",J1006,IF(H1006="2)",J1006,IF(H1006="3)",J1006,IF(H1006="4)",J1006,IF(H1006="5)",J1006,IF(H1006="6)",J1006,IF(H1006="7)",J1006,IF(H1006="8)",J1006,0))))))))</f>
        <v/>
      </c>
    </row>
    <row r="1008">
      <c r="A1008" s="0" t="inlineStr">
        <is>
          <t>New</t>
        </is>
      </c>
      <c r="B1008" s="0" t="inlineStr">
        <is>
          <t>Item</t>
        </is>
      </c>
      <c r="C1008" s="0" t="inlineStr">
        <is>
          <t>Acquired</t>
        </is>
      </c>
      <c r="D1008" s="0" t="inlineStr">
        <is>
          <t>:</t>
        </is>
      </c>
      <c r="E1008" s="0" t="inlineStr">
        <is>
          <t>210.00K</t>
        </is>
      </c>
      <c r="F1008" s="0" t="inlineStr">
        <is>
          <t>(7,</t>
        </is>
      </c>
      <c r="G1008" s="0" t="inlineStr">
        <is>
          <t>22)</t>
        </is>
      </c>
      <c r="K1008" s="0">
        <f>IF(H1007="1)",1,IF(H1007="2)",2,IF(H1007="3)",3,IF(H1007="4)",4,IF(H1007="5)",5,IF(H1007="6)",6,IF(H1007="7)",7,IF(H1007="8)",8,0))))))))</f>
        <v/>
      </c>
      <c r="L1008" s="0">
        <f>IF(H1007="1)",J1007,IF(H1007="2)",J1007,IF(H1007="3)",J1007,IF(H1007="4)",J1007,IF(H1007="5)",J1007,IF(H1007="6)",J1007,IF(H1007="7)",J1007,IF(H1007="8)",J1007,0))))))))</f>
        <v/>
      </c>
    </row>
    <row r="1009">
      <c r="A1009" s="0" t="inlineStr">
        <is>
          <t>New</t>
        </is>
      </c>
      <c r="B1009" s="0" t="inlineStr">
        <is>
          <t>Item</t>
        </is>
      </c>
      <c r="C1009" s="0" t="inlineStr">
        <is>
          <t>Acquired</t>
        </is>
      </c>
      <c r="D1009" s="0" t="inlineStr">
        <is>
          <t>:</t>
        </is>
      </c>
      <c r="E1009" s="0" t="inlineStr">
        <is>
          <t>175.00K</t>
        </is>
      </c>
      <c r="F1009" s="0" t="inlineStr">
        <is>
          <t>(6,</t>
        </is>
      </c>
      <c r="G1009" s="0" t="inlineStr">
        <is>
          <t>1)</t>
        </is>
      </c>
      <c r="K1009" s="0">
        <f>IF(H1008="1)",1,IF(H1008="2)",2,IF(H1008="3)",3,IF(H1008="4)",4,IF(H1008="5)",5,IF(H1008="6)",6,IF(H1008="7)",7,IF(H1008="8)",8,0))))))))</f>
        <v/>
      </c>
      <c r="L1009" s="0">
        <f>IF(H1008="1)",J1008,IF(H1008="2)",J1008,IF(H1008="3)",J1008,IF(H1008="4)",J1008,IF(H1008="5)",J1008,IF(H1008="6)",J1008,IF(H1008="7)",J1008,IF(H1008="8)",J1008,0))))))))</f>
        <v/>
      </c>
    </row>
    <row r="1010">
      <c r="A1010" s="0" t="inlineStr">
        <is>
          <t>New</t>
        </is>
      </c>
      <c r="B1010" s="0" t="inlineStr">
        <is>
          <t>Item</t>
        </is>
      </c>
      <c r="C1010" s="0" t="inlineStr">
        <is>
          <t>Acquired</t>
        </is>
      </c>
      <c r="D1010" s="0" t="inlineStr">
        <is>
          <t>:</t>
        </is>
      </c>
      <c r="E1010" s="0" t="inlineStr">
        <is>
          <t>50.00K</t>
        </is>
      </c>
      <c r="F1010" s="0" t="inlineStr">
        <is>
          <t>(1,</t>
        </is>
      </c>
      <c r="G1010" s="0" t="inlineStr">
        <is>
          <t>9)</t>
        </is>
      </c>
      <c r="K1010" s="0">
        <f>IF(H1009="1)",1,IF(H1009="2)",2,IF(H1009="3)",3,IF(H1009="4)",4,IF(H1009="5)",5,IF(H1009="6)",6,IF(H1009="7)",7,IF(H1009="8)",8,0))))))))</f>
        <v/>
      </c>
      <c r="L1010" s="0">
        <f>IF(H1009="1)",J1009,IF(H1009="2)",J1009,IF(H1009="3)",J1009,IF(H1009="4)",J1009,IF(H1009="5)",J1009,IF(H1009="6)",J1009,IF(H1009="7)",J1009,IF(H1009="8)",J1009,0))))))))</f>
        <v/>
      </c>
    </row>
    <row r="1011">
      <c r="A1011" s="0" t="inlineStr">
        <is>
          <t>New</t>
        </is>
      </c>
      <c r="B1011" s="0" t="inlineStr">
        <is>
          <t>Item</t>
        </is>
      </c>
      <c r="C1011" s="0" t="inlineStr">
        <is>
          <t>Acquired</t>
        </is>
      </c>
      <c r="D1011" s="0" t="inlineStr">
        <is>
          <t>:</t>
        </is>
      </c>
      <c r="E1011" s="0" t="inlineStr">
        <is>
          <t>157.50K</t>
        </is>
      </c>
      <c r="F1011" s="0" t="inlineStr">
        <is>
          <t>(5,</t>
        </is>
      </c>
      <c r="G1011" s="0" t="inlineStr">
        <is>
          <t>25)</t>
        </is>
      </c>
      <c r="K1011" s="0">
        <f>IF(H1010="1)",1,IF(H1010="2)",2,IF(H1010="3)",3,IF(H1010="4)",4,IF(H1010="5)",5,IF(H1010="6)",6,IF(H1010="7)",7,IF(H1010="8)",8,0))))))))</f>
        <v/>
      </c>
      <c r="L1011" s="0">
        <f>IF(H1010="1)",J1010,IF(H1010="2)",J1010,IF(H1010="3)",J1010,IF(H1010="4)",J1010,IF(H1010="5)",J1010,IF(H1010="6)",J1010,IF(H1010="7)",J1010,IF(H1010="8)",J1010,0))))))))</f>
        <v/>
      </c>
    </row>
    <row r="1012">
      <c r="A1012" s="0" t="inlineStr">
        <is>
          <t>New</t>
        </is>
      </c>
      <c r="B1012" s="0" t="inlineStr">
        <is>
          <t>Item</t>
        </is>
      </c>
      <c r="C1012" s="0" t="inlineStr">
        <is>
          <t>Acquired</t>
        </is>
      </c>
      <c r="D1012" s="0" t="inlineStr">
        <is>
          <t>:</t>
        </is>
      </c>
      <c r="E1012" s="0" t="inlineStr">
        <is>
          <t>125.00K</t>
        </is>
      </c>
      <c r="F1012" s="0" t="inlineStr">
        <is>
          <t>(6,</t>
        </is>
      </c>
      <c r="G1012" s="0" t="inlineStr">
        <is>
          <t>5)</t>
        </is>
      </c>
      <c r="K1012" s="0">
        <f>IF(H1011="1)",1,IF(H1011="2)",2,IF(H1011="3)",3,IF(H1011="4)",4,IF(H1011="5)",5,IF(H1011="6)",6,IF(H1011="7)",7,IF(H1011="8)",8,0))))))))</f>
        <v/>
      </c>
      <c r="L1012" s="0">
        <f>IF(H1011="1)",J1011,IF(H1011="2)",J1011,IF(H1011="3)",J1011,IF(H1011="4)",J1011,IF(H1011="5)",J1011,IF(H1011="6)",J1011,IF(H1011="7)",J1011,IF(H1011="8)",J1011,0))))))))</f>
        <v/>
      </c>
    </row>
    <row r="1013">
      <c r="A1013" s="0" t="inlineStr">
        <is>
          <t>New</t>
        </is>
      </c>
      <c r="B1013" s="0" t="inlineStr">
        <is>
          <t>Item</t>
        </is>
      </c>
      <c r="C1013" s="0" t="inlineStr">
        <is>
          <t>Acquired</t>
        </is>
      </c>
      <c r="D1013" s="0" t="inlineStr">
        <is>
          <t>:</t>
        </is>
      </c>
      <c r="E1013" s="0" t="inlineStr">
        <is>
          <t>75.00K</t>
        </is>
      </c>
      <c r="F1013" s="0" t="inlineStr">
        <is>
          <t>(6,</t>
        </is>
      </c>
      <c r="G1013" s="0" t="inlineStr">
        <is>
          <t>18)</t>
        </is>
      </c>
      <c r="K1013" s="0">
        <f>IF(H1012="1)",1,IF(H1012="2)",2,IF(H1012="3)",3,IF(H1012="4)",4,IF(H1012="5)",5,IF(H1012="6)",6,IF(H1012="7)",7,IF(H1012="8)",8,0))))))))</f>
        <v/>
      </c>
      <c r="L1013" s="0">
        <f>IF(H1012="1)",J1012,IF(H1012="2)",J1012,IF(H1012="3)",J1012,IF(H1012="4)",J1012,IF(H1012="5)",J1012,IF(H1012="6)",J1012,IF(H1012="7)",J1012,IF(H1012="8)",J1012,0))))))))</f>
        <v/>
      </c>
    </row>
    <row r="1014">
      <c r="A1014" s="0" t="inlineStr">
        <is>
          <t>New</t>
        </is>
      </c>
      <c r="B1014" s="0" t="inlineStr">
        <is>
          <t>Item</t>
        </is>
      </c>
      <c r="C1014" s="0" t="inlineStr">
        <is>
          <t>Acquired</t>
        </is>
      </c>
      <c r="D1014" s="0" t="inlineStr">
        <is>
          <t>:</t>
        </is>
      </c>
      <c r="E1014" s="0" t="inlineStr">
        <is>
          <t>75.00K</t>
        </is>
      </c>
      <c r="F1014" s="0" t="inlineStr">
        <is>
          <t>(6,</t>
        </is>
      </c>
      <c r="G1014" s="0" t="inlineStr">
        <is>
          <t>2)</t>
        </is>
      </c>
      <c r="K1014" s="0">
        <f>IF(H1013="1)",1,IF(H1013="2)",2,IF(H1013="3)",3,IF(H1013="4)",4,IF(H1013="5)",5,IF(H1013="6)",6,IF(H1013="7)",7,IF(H1013="8)",8,0))))))))</f>
        <v/>
      </c>
      <c r="L1014" s="0">
        <f>IF(H1013="1)",J1013,IF(H1013="2)",J1013,IF(H1013="3)",J1013,IF(H1013="4)",J1013,IF(H1013="5)",J1013,IF(H1013="6)",J1013,IF(H1013="7)",J1013,IF(H1013="8)",J1013,0))))))))</f>
        <v/>
      </c>
    </row>
    <row r="1015">
      <c r="A1015" s="0" t="inlineStr">
        <is>
          <t>Line</t>
        </is>
      </c>
      <c r="B1015" s="0" t="inlineStr">
        <is>
          <t>Prize</t>
        </is>
      </c>
      <c r="C1015" s="0" t="inlineStr">
        <is>
          <t>Acquired</t>
        </is>
      </c>
      <c r="D1015" s="0" t="inlineStr">
        <is>
          <t>:</t>
        </is>
      </c>
      <c r="E1015" s="0" t="inlineStr">
        <is>
          <t>525.00K</t>
        </is>
      </c>
      <c r="F1015" s="0" t="inlineStr">
        <is>
          <t>(Stage</t>
        </is>
      </c>
      <c r="G1015" s="0" t="inlineStr">
        <is>
          <t>:</t>
        </is>
      </c>
      <c r="H1015" s="0" t="inlineStr">
        <is>
          <t>6)</t>
        </is>
      </c>
      <c r="I1015" s="0" t="inlineStr">
        <is>
          <t>-</t>
        </is>
      </c>
      <c r="J1015" s="0" t="n">
        <v>525000</v>
      </c>
      <c r="K1015" s="0">
        <f>IF(H1014="1)",1,IF(H1014="2)",2,IF(H1014="3)",3,IF(H1014="4)",4,IF(H1014="5)",5,IF(H1014="6)",6,IF(H1014="7)",7,IF(H1014="8)",8,0))))))))</f>
        <v/>
      </c>
      <c r="L1015" s="0">
        <f>IF(H1014="1)",J1014,IF(H1014="2)",J1014,IF(H1014="3)",J1014,IF(H1014="4)",J1014,IF(H1014="5)",J1014,IF(H1014="6)",J1014,IF(H1014="7)",J1014,IF(H1014="8)",J1014,0))))))))</f>
        <v/>
      </c>
    </row>
    <row r="1016">
      <c r="A1016" s="0" t="inlineStr">
        <is>
          <t>Clear</t>
        </is>
      </c>
      <c r="B1016" s="0" t="inlineStr">
        <is>
          <t>Gem</t>
        </is>
      </c>
      <c r="C1016" s="0" t="inlineStr">
        <is>
          <t>Acquired</t>
        </is>
      </c>
      <c r="D1016" s="0" t="inlineStr">
        <is>
          <t>:</t>
        </is>
      </c>
      <c r="E1016" s="0" t="n">
        <v>6000</v>
      </c>
      <c r="F1016" s="0" t="inlineStr">
        <is>
          <t>-&gt;</t>
        </is>
      </c>
      <c r="G1016" s="0" t="n">
        <v>6100</v>
      </c>
      <c r="H1016" s="0" t="inlineStr">
        <is>
          <t>(Stage</t>
        </is>
      </c>
      <c r="I1016" s="0" t="inlineStr">
        <is>
          <t>:</t>
        </is>
      </c>
      <c r="J1016" s="0" t="inlineStr">
        <is>
          <t>6)</t>
        </is>
      </c>
      <c r="K1016" s="0">
        <f>IF(H1015="1)",1,IF(H1015="2)",2,IF(H1015="3)",3,IF(H1015="4)",4,IF(H1015="5)",5,IF(H1015="6)",6,IF(H1015="7)",7,IF(H1015="8)",8,0))))))))</f>
        <v/>
      </c>
      <c r="L1016" s="0">
        <f>IF(H1015="1)",J1015,IF(H1015="2)",J1015,IF(H1015="3)",J1015,IF(H1015="4)",J1015,IF(H1015="5)",J1015,IF(H1015="6)",J1015,IF(H1015="7)",J1015,IF(H1015="8)",J1015,0))))))))</f>
        <v/>
      </c>
    </row>
    <row r="1017">
      <c r="A1017" s="0" t="inlineStr">
        <is>
          <t>New</t>
        </is>
      </c>
      <c r="B1017" s="0" t="inlineStr">
        <is>
          <t>Item</t>
        </is>
      </c>
      <c r="C1017" s="0" t="inlineStr">
        <is>
          <t>Acquired</t>
        </is>
      </c>
      <c r="D1017" s="0" t="inlineStr">
        <is>
          <t>:</t>
        </is>
      </c>
      <c r="E1017" s="0" t="inlineStr">
        <is>
          <t>75.00K</t>
        </is>
      </c>
      <c r="F1017" s="0" t="inlineStr">
        <is>
          <t>(6,</t>
        </is>
      </c>
      <c r="G1017" s="0" t="inlineStr">
        <is>
          <t>14)</t>
        </is>
      </c>
      <c r="K1017" s="0">
        <f>IF(H1016="1)",1,IF(H1016="2)",2,IF(H1016="3)",3,IF(H1016="4)",4,IF(H1016="5)",5,IF(H1016="6)",6,IF(H1016="7)",7,IF(H1016="8)",8,0))))))))</f>
        <v/>
      </c>
      <c r="L1017" s="0">
        <f>IF(H1016="1)",J1016,IF(H1016="2)",J1016,IF(H1016="3)",J1016,IF(H1016="4)",J1016,IF(H1016="5)",J1016,IF(H1016="6)",J1016,IF(H1016="7)",J1016,IF(H1016="8)",J1016,0))))))))</f>
        <v/>
      </c>
    </row>
    <row r="1018">
      <c r="A1018" s="0" t="inlineStr">
        <is>
          <t>New</t>
        </is>
      </c>
      <c r="B1018" s="0" t="inlineStr">
        <is>
          <t>Item</t>
        </is>
      </c>
      <c r="C1018" s="0" t="inlineStr">
        <is>
          <t>Acquired</t>
        </is>
      </c>
      <c r="D1018" s="0" t="inlineStr">
        <is>
          <t>:</t>
        </is>
      </c>
      <c r="E1018" s="0" t="inlineStr">
        <is>
          <t>Minor</t>
        </is>
      </c>
      <c r="F1018" s="0" t="inlineStr">
        <is>
          <t>(1,</t>
        </is>
      </c>
      <c r="G1018" s="0" t="inlineStr">
        <is>
          <t>14)</t>
        </is>
      </c>
      <c r="K1018" s="0">
        <f>IF(H1017="1)",1,IF(H1017="2)",2,IF(H1017="3)",3,IF(H1017="4)",4,IF(H1017="5)",5,IF(H1017="6)",6,IF(H1017="7)",7,IF(H1017="8)",8,0))))))))</f>
        <v/>
      </c>
      <c r="L1018" s="0">
        <f>IF(H1017="1)",J1017,IF(H1017="2)",J1017,IF(H1017="3)",J1017,IF(H1017="4)",J1017,IF(H1017="5)",J1017,IF(H1017="6)",J1017,IF(H1017="7)",J1017,IF(H1017="8)",J1017,0))))))))</f>
        <v/>
      </c>
    </row>
    <row r="1019">
      <c r="A1019" s="0" t="inlineStr">
        <is>
          <t>New</t>
        </is>
      </c>
      <c r="B1019" s="0" t="inlineStr">
        <is>
          <t>Item</t>
        </is>
      </c>
      <c r="C1019" s="0" t="inlineStr">
        <is>
          <t>Acquired</t>
        </is>
      </c>
      <c r="D1019" s="0" t="inlineStr">
        <is>
          <t>:</t>
        </is>
      </c>
      <c r="E1019" s="0" t="inlineStr">
        <is>
          <t>75.00K</t>
        </is>
      </c>
      <c r="F1019" s="0" t="inlineStr">
        <is>
          <t>(6,</t>
        </is>
      </c>
      <c r="G1019" s="0" t="inlineStr">
        <is>
          <t>8)</t>
        </is>
      </c>
      <c r="K1019" s="0">
        <f>IF(H1018="1)",1,IF(H1018="2)",2,IF(H1018="3)",3,IF(H1018="4)",4,IF(H1018="5)",5,IF(H1018="6)",6,IF(H1018="7)",7,IF(H1018="8)",8,0))))))))</f>
        <v/>
      </c>
      <c r="L1019" s="0">
        <f>IF(H1018="1)",J1018,IF(H1018="2)",J1018,IF(H1018="3)",J1018,IF(H1018="4)",J1018,IF(H1018="5)",J1018,IF(H1018="6)",J1018,IF(H1018="7)",J1018,IF(H1018="8)",J1018,0))))))))</f>
        <v/>
      </c>
    </row>
    <row r="1020">
      <c r="A1020" s="0" t="inlineStr">
        <is>
          <t>New</t>
        </is>
      </c>
      <c r="B1020" s="0" t="inlineStr">
        <is>
          <t>Item</t>
        </is>
      </c>
      <c r="C1020" s="0" t="inlineStr">
        <is>
          <t>Acquired</t>
        </is>
      </c>
      <c r="D1020" s="0" t="inlineStr">
        <is>
          <t>:</t>
        </is>
      </c>
      <c r="E1020" s="0" t="inlineStr">
        <is>
          <t>112.50K</t>
        </is>
      </c>
      <c r="F1020" s="0" t="inlineStr">
        <is>
          <t>(5,</t>
        </is>
      </c>
      <c r="G1020" s="0" t="inlineStr">
        <is>
          <t>10)</t>
        </is>
      </c>
      <c r="K1020" s="0">
        <f>IF(H1019="1)",1,IF(H1019="2)",2,IF(H1019="3)",3,IF(H1019="4)",4,IF(H1019="5)",5,IF(H1019="6)",6,IF(H1019="7)",7,IF(H1019="8)",8,0))))))))</f>
        <v/>
      </c>
      <c r="L1020" s="0">
        <f>IF(H1019="1)",J1019,IF(H1019="2)",J1019,IF(H1019="3)",J1019,IF(H1019="4)",J1019,IF(H1019="5)",J1019,IF(H1019="6)",J1019,IF(H1019="7)",J1019,IF(H1019="8)",J1019,0))))))))</f>
        <v/>
      </c>
    </row>
    <row r="1021">
      <c r="A1021" s="0" t="inlineStr">
        <is>
          <t>Item</t>
        </is>
      </c>
      <c r="B1021" s="0" t="inlineStr">
        <is>
          <t>ReSelect</t>
        </is>
      </c>
      <c r="C1021" s="0" t="inlineStr">
        <is>
          <t>Failed</t>
        </is>
      </c>
      <c r="D1021" s="0" t="inlineStr">
        <is>
          <t>:</t>
        </is>
      </c>
      <c r="E1021" s="0" t="inlineStr">
        <is>
          <t>Attempt</t>
        </is>
      </c>
      <c r="F1021" s="0" t="inlineStr">
        <is>
          <t>Count</t>
        </is>
      </c>
      <c r="G1021" s="0" t="inlineStr">
        <is>
          <t>-</t>
        </is>
      </c>
      <c r="H1021" s="0" t="n">
        <v>3</v>
      </c>
      <c r="K1021" s="0">
        <f>IF(H1020="1)",1,IF(H1020="2)",2,IF(H1020="3)",3,IF(H1020="4)",4,IF(H1020="5)",5,IF(H1020="6)",6,IF(H1020="7)",7,IF(H1020="8)",8,0))))))))</f>
        <v/>
      </c>
      <c r="L1021" s="0">
        <f>IF(H1020="1)",J1020,IF(H1020="2)",J1020,IF(H1020="3)",J1020,IF(H1020="4)",J1020,IF(H1020="5)",J1020,IF(H1020="6)",J1020,IF(H1020="7)",J1020,IF(H1020="8)",J1020,0))))))))</f>
        <v/>
      </c>
    </row>
    <row r="1022">
      <c r="A1022" s="0" t="inlineStr">
        <is>
          <t>New</t>
        </is>
      </c>
      <c r="B1022" s="0" t="inlineStr">
        <is>
          <t>Item</t>
        </is>
      </c>
      <c r="C1022" s="0" t="inlineStr">
        <is>
          <t>Acquired</t>
        </is>
      </c>
      <c r="D1022" s="0" t="inlineStr">
        <is>
          <t>:</t>
        </is>
      </c>
      <c r="E1022" s="0" t="inlineStr">
        <is>
          <t>75.00K</t>
        </is>
      </c>
      <c r="F1022" s="0" t="inlineStr">
        <is>
          <t>(6,</t>
        </is>
      </c>
      <c r="G1022" s="0" t="inlineStr">
        <is>
          <t>19)</t>
        </is>
      </c>
      <c r="K1022" s="0">
        <f>IF(H1021="1)",1,IF(H1021="2)",2,IF(H1021="3)",3,IF(H1021="4)",4,IF(H1021="5)",5,IF(H1021="6)",6,IF(H1021="7)",7,IF(H1021="8)",8,0))))))))</f>
        <v/>
      </c>
      <c r="L1022" s="0">
        <f>IF(H1021="1)",J1021,IF(H1021="2)",J1021,IF(H1021="3)",J1021,IF(H1021="4)",J1021,IF(H1021="5)",J1021,IF(H1021="6)",J1021,IF(H1021="7)",J1021,IF(H1021="8)",J1021,0))))))))</f>
        <v/>
      </c>
    </row>
    <row r="1023">
      <c r="A1023" s="0" t="inlineStr">
        <is>
          <t>New</t>
        </is>
      </c>
      <c r="B1023" s="0" t="inlineStr">
        <is>
          <t>Item</t>
        </is>
      </c>
      <c r="C1023" s="0" t="inlineStr">
        <is>
          <t>Acquired</t>
        </is>
      </c>
      <c r="D1023" s="0" t="inlineStr">
        <is>
          <t>:</t>
        </is>
      </c>
      <c r="E1023" s="0" t="inlineStr">
        <is>
          <t>210.00K</t>
        </is>
      </c>
      <c r="F1023" s="0" t="inlineStr">
        <is>
          <t>(7,</t>
        </is>
      </c>
      <c r="G1023" s="0" t="inlineStr">
        <is>
          <t>19)</t>
        </is>
      </c>
      <c r="K1023" s="0">
        <f>IF(H1022="1)",1,IF(H1022="2)",2,IF(H1022="3)",3,IF(H1022="4)",4,IF(H1022="5)",5,IF(H1022="6)",6,IF(H1022="7)",7,IF(H1022="8)",8,0))))))))</f>
        <v/>
      </c>
      <c r="L1023" s="0">
        <f>IF(H1022="1)",J1022,IF(H1022="2)",J1022,IF(H1022="3)",J1022,IF(H1022="4)",J1022,IF(H1022="5)",J1022,IF(H1022="6)",J1022,IF(H1022="7)",J1022,IF(H1022="8)",J1022,0))))))))</f>
        <v/>
      </c>
    </row>
    <row r="1024">
      <c r="A1024" s="0" t="inlineStr">
        <is>
          <t>New</t>
        </is>
      </c>
      <c r="B1024" s="0" t="inlineStr">
        <is>
          <t>Item</t>
        </is>
      </c>
      <c r="C1024" s="0" t="inlineStr">
        <is>
          <t>Acquired</t>
        </is>
      </c>
      <c r="D1024" s="0" t="inlineStr">
        <is>
          <t>:</t>
        </is>
      </c>
      <c r="E1024" s="0" t="inlineStr">
        <is>
          <t>120.00K</t>
        </is>
      </c>
      <c r="F1024" s="0" t="inlineStr">
        <is>
          <t>(8,</t>
        </is>
      </c>
      <c r="G1024" s="0" t="inlineStr">
        <is>
          <t>7)</t>
        </is>
      </c>
      <c r="K1024" s="0">
        <f>IF(H1023="1)",1,IF(H1023="2)",2,IF(H1023="3)",3,IF(H1023="4)",4,IF(H1023="5)",5,IF(H1023="6)",6,IF(H1023="7)",7,IF(H1023="8)",8,0))))))))</f>
        <v/>
      </c>
      <c r="L1024" s="0">
        <f>IF(H1023="1)",J1023,IF(H1023="2)",J1023,IF(H1023="3)",J1023,IF(H1023="4)",J1023,IF(H1023="5)",J1023,IF(H1023="6)",J1023,IF(H1023="7)",J1023,IF(H1023="8)",J1023,0))))))))</f>
        <v/>
      </c>
    </row>
    <row r="1025">
      <c r="A1025" s="0" t="inlineStr">
        <is>
          <t>New</t>
        </is>
      </c>
      <c r="B1025" s="0" t="inlineStr">
        <is>
          <t>Item</t>
        </is>
      </c>
      <c r="C1025" s="0" t="inlineStr">
        <is>
          <t>Acquired</t>
        </is>
      </c>
      <c r="D1025" s="0" t="inlineStr">
        <is>
          <t>:</t>
        </is>
      </c>
      <c r="E1025" s="0" t="inlineStr">
        <is>
          <t>120.00K</t>
        </is>
      </c>
      <c r="F1025" s="0" t="inlineStr">
        <is>
          <t>(8,</t>
        </is>
      </c>
      <c r="G1025" s="0" t="inlineStr">
        <is>
          <t>1)</t>
        </is>
      </c>
      <c r="K1025" s="0">
        <f>IF(H1024="1)",1,IF(H1024="2)",2,IF(H1024="3)",3,IF(H1024="4)",4,IF(H1024="5)",5,IF(H1024="6)",6,IF(H1024="7)",7,IF(H1024="8)",8,0))))))))</f>
        <v/>
      </c>
      <c r="L1025" s="0">
        <f>IF(H1024="1)",J1024,IF(H1024="2)",J1024,IF(H1024="3)",J1024,IF(H1024="4)",J1024,IF(H1024="5)",J1024,IF(H1024="6)",J1024,IF(H1024="7)",J1024,IF(H1024="8)",J1024,0))))))))</f>
        <v/>
      </c>
    </row>
    <row r="1026">
      <c r="A1026" s="0" t="inlineStr">
        <is>
          <t>New</t>
        </is>
      </c>
      <c r="B1026" s="0" t="inlineStr">
        <is>
          <t>Item</t>
        </is>
      </c>
      <c r="C1026" s="0" t="inlineStr">
        <is>
          <t>Acquired</t>
        </is>
      </c>
      <c r="D1026" s="0" t="inlineStr">
        <is>
          <t>:</t>
        </is>
      </c>
      <c r="E1026" s="0" t="inlineStr">
        <is>
          <t>90.00K</t>
        </is>
      </c>
      <c r="F1026" s="0" t="inlineStr">
        <is>
          <t>(7,</t>
        </is>
      </c>
      <c r="G1026" s="0" t="inlineStr">
        <is>
          <t>10)</t>
        </is>
      </c>
      <c r="K1026" s="0">
        <f>IF(H1025="1)",1,IF(H1025="2)",2,IF(H1025="3)",3,IF(H1025="4)",4,IF(H1025="5)",5,IF(H1025="6)",6,IF(H1025="7)",7,IF(H1025="8)",8,0))))))))</f>
        <v/>
      </c>
      <c r="L1026" s="0">
        <f>IF(H1025="1)",J1025,IF(H1025="2)",J1025,IF(H1025="3)",J1025,IF(H1025="4)",J1025,IF(H1025="5)",J1025,IF(H1025="6)",J1025,IF(H1025="7)",J1025,IF(H1025="8)",J1025,0))))))))</f>
        <v/>
      </c>
    </row>
    <row r="1027">
      <c r="A1027" s="0" t="inlineStr">
        <is>
          <t>New</t>
        </is>
      </c>
      <c r="B1027" s="0" t="inlineStr">
        <is>
          <t>Item</t>
        </is>
      </c>
      <c r="C1027" s="0" t="inlineStr">
        <is>
          <t>Acquired</t>
        </is>
      </c>
      <c r="D1027" s="0" t="inlineStr">
        <is>
          <t>:</t>
        </is>
      </c>
      <c r="E1027" s="0" t="inlineStr">
        <is>
          <t>75.00K</t>
        </is>
      </c>
      <c r="F1027" s="0" t="inlineStr">
        <is>
          <t>(6,</t>
        </is>
      </c>
      <c r="G1027" s="0" t="inlineStr">
        <is>
          <t>4)</t>
        </is>
      </c>
      <c r="K1027" s="0">
        <f>IF(H1026="1)",1,IF(H1026="2)",2,IF(H1026="3)",3,IF(H1026="4)",4,IF(H1026="5)",5,IF(H1026="6)",6,IF(H1026="7)",7,IF(H1026="8)",8,0))))))))</f>
        <v/>
      </c>
      <c r="L1027" s="0">
        <f>IF(H1026="1)",J1026,IF(H1026="2)",J1026,IF(H1026="3)",J1026,IF(H1026="4)",J1026,IF(H1026="5)",J1026,IF(H1026="6)",J1026,IF(H1026="7)",J1026,IF(H1026="8)",J1026,0))))))))</f>
        <v/>
      </c>
    </row>
    <row r="1028">
      <c r="A1028" s="0" t="inlineStr">
        <is>
          <t>New</t>
        </is>
      </c>
      <c r="B1028" s="0" t="inlineStr">
        <is>
          <t>Item</t>
        </is>
      </c>
      <c r="C1028" s="0" t="inlineStr">
        <is>
          <t>Acquired</t>
        </is>
      </c>
      <c r="D1028" s="0" t="inlineStr">
        <is>
          <t>:</t>
        </is>
      </c>
      <c r="E1028" s="0" t="inlineStr">
        <is>
          <t>60.00K</t>
        </is>
      </c>
      <c r="F1028" s="0" t="inlineStr">
        <is>
          <t>(4,</t>
        </is>
      </c>
      <c r="G1028" s="0" t="inlineStr">
        <is>
          <t>18)</t>
        </is>
      </c>
      <c r="K1028" s="0">
        <f>IF(H1027="1)",1,IF(H1027="2)",2,IF(H1027="3)",3,IF(H1027="4)",4,IF(H1027="5)",5,IF(H1027="6)",6,IF(H1027="7)",7,IF(H1027="8)",8,0))))))))</f>
        <v/>
      </c>
      <c r="L1028" s="0">
        <f>IF(H1027="1)",J1027,IF(H1027="2)",J1027,IF(H1027="3)",J1027,IF(H1027="4)",J1027,IF(H1027="5)",J1027,IF(H1027="6)",J1027,IF(H1027="7)",J1027,IF(H1027="8)",J1027,0))))))))</f>
        <v/>
      </c>
    </row>
    <row r="1029">
      <c r="A1029" s="0" t="inlineStr">
        <is>
          <t>New</t>
        </is>
      </c>
      <c r="B1029" s="0" t="inlineStr">
        <is>
          <t>Item</t>
        </is>
      </c>
      <c r="C1029" s="0" t="inlineStr">
        <is>
          <t>Acquired</t>
        </is>
      </c>
      <c r="D1029" s="0" t="inlineStr">
        <is>
          <t>:</t>
        </is>
      </c>
      <c r="E1029" s="0" t="inlineStr">
        <is>
          <t>280.00K</t>
        </is>
      </c>
      <c r="F1029" s="0" t="inlineStr">
        <is>
          <t>(8,</t>
        </is>
      </c>
      <c r="G1029" s="0" t="inlineStr">
        <is>
          <t>17)</t>
        </is>
      </c>
      <c r="K1029" s="0">
        <f>IF(H1028="1)",1,IF(H1028="2)",2,IF(H1028="3)",3,IF(H1028="4)",4,IF(H1028="5)",5,IF(H1028="6)",6,IF(H1028="7)",7,IF(H1028="8)",8,0))))))))</f>
        <v/>
      </c>
      <c r="L1029" s="0">
        <f>IF(H1028="1)",J1028,IF(H1028="2)",J1028,IF(H1028="3)",J1028,IF(H1028="4)",J1028,IF(H1028="5)",J1028,IF(H1028="6)",J1028,IF(H1028="7)",J1028,IF(H1028="8)",J1028,0))))))))</f>
        <v/>
      </c>
    </row>
    <row r="1030">
      <c r="A1030" s="0" t="inlineStr">
        <is>
          <t>New</t>
        </is>
      </c>
      <c r="B1030" s="0" t="inlineStr">
        <is>
          <t>Item</t>
        </is>
      </c>
      <c r="C1030" s="0" t="inlineStr">
        <is>
          <t>Acquired</t>
        </is>
      </c>
      <c r="D1030" s="0" t="inlineStr">
        <is>
          <t>:</t>
        </is>
      </c>
      <c r="E1030" s="0" t="inlineStr">
        <is>
          <t>75.00K</t>
        </is>
      </c>
      <c r="F1030" s="0" t="inlineStr">
        <is>
          <t>(6,</t>
        </is>
      </c>
      <c r="G1030" s="0" t="inlineStr">
        <is>
          <t>2)</t>
        </is>
      </c>
      <c r="K1030" s="0">
        <f>IF(H1029="1)",1,IF(H1029="2)",2,IF(H1029="3)",3,IF(H1029="4)",4,IF(H1029="5)",5,IF(H1029="6)",6,IF(H1029="7)",7,IF(H1029="8)",8,0))))))))</f>
        <v/>
      </c>
      <c r="L1030" s="0">
        <f>IF(H1029="1)",J1029,IF(H1029="2)",J1029,IF(H1029="3)",J1029,IF(H1029="4)",J1029,IF(H1029="5)",J1029,IF(H1029="6)",J1029,IF(H1029="7)",J1029,IF(H1029="8)",J1029,0))))))))</f>
        <v/>
      </c>
    </row>
    <row r="1031">
      <c r="A1031" s="0" t="inlineStr">
        <is>
          <t>New</t>
        </is>
      </c>
      <c r="B1031" s="0" t="inlineStr">
        <is>
          <t>Item</t>
        </is>
      </c>
      <c r="C1031" s="0" t="inlineStr">
        <is>
          <t>Acquired</t>
        </is>
      </c>
      <c r="D1031" s="0" t="inlineStr">
        <is>
          <t>:</t>
        </is>
      </c>
      <c r="E1031" s="0" t="inlineStr">
        <is>
          <t>75.00K</t>
        </is>
      </c>
      <c r="F1031" s="0" t="inlineStr">
        <is>
          <t>(4,</t>
        </is>
      </c>
      <c r="G1031" s="0" t="inlineStr">
        <is>
          <t>12)</t>
        </is>
      </c>
      <c r="K1031" s="0">
        <f>IF(H1030="1)",1,IF(H1030="2)",2,IF(H1030="3)",3,IF(H1030="4)",4,IF(H1030="5)",5,IF(H1030="6)",6,IF(H1030="7)",7,IF(H1030="8)",8,0))))))))</f>
        <v/>
      </c>
      <c r="L1031" s="0">
        <f>IF(H1030="1)",J1030,IF(H1030="2)",J1030,IF(H1030="3)",J1030,IF(H1030="4)",J1030,IF(H1030="5)",J1030,IF(H1030="6)",J1030,IF(H1030="7)",J1030,IF(H1030="8)",J1030,0))))))))</f>
        <v/>
      </c>
    </row>
    <row r="1032">
      <c r="A1032" s="0" t="inlineStr">
        <is>
          <t>Line</t>
        </is>
      </c>
      <c r="B1032" s="0" t="inlineStr">
        <is>
          <t>Prize</t>
        </is>
      </c>
      <c r="C1032" s="0" t="inlineStr">
        <is>
          <t>Acquired</t>
        </is>
      </c>
      <c r="D1032" s="0" t="inlineStr">
        <is>
          <t>:</t>
        </is>
      </c>
      <c r="E1032" s="0" t="inlineStr">
        <is>
          <t>1.11M</t>
        </is>
      </c>
      <c r="F1032" s="0" t="inlineStr">
        <is>
          <t>(Stage</t>
        </is>
      </c>
      <c r="G1032" s="0" t="inlineStr">
        <is>
          <t>:</t>
        </is>
      </c>
      <c r="H1032" s="0" t="inlineStr">
        <is>
          <t>4)</t>
        </is>
      </c>
      <c r="I1032" s="0" t="inlineStr">
        <is>
          <t>-</t>
        </is>
      </c>
      <c r="J1032" s="0" t="n">
        <v>1115000</v>
      </c>
      <c r="K1032" s="0">
        <f>IF(H1031="1)",1,IF(H1031="2)",2,IF(H1031="3)",3,IF(H1031="4)",4,IF(H1031="5)",5,IF(H1031="6)",6,IF(H1031="7)",7,IF(H1031="8)",8,0))))))))</f>
        <v/>
      </c>
      <c r="L1032" s="0">
        <f>IF(H1031="1)",J1031,IF(H1031="2)",J1031,IF(H1031="3)",J1031,IF(H1031="4)",J1031,IF(H1031="5)",J1031,IF(H1031="6)",J1031,IF(H1031="7)",J1031,IF(H1031="8)",J1031,0))))))))</f>
        <v/>
      </c>
    </row>
    <row r="1033">
      <c r="A1033" s="0" t="inlineStr">
        <is>
          <t>Clear</t>
        </is>
      </c>
      <c r="B1033" s="0" t="inlineStr">
        <is>
          <t>Gem</t>
        </is>
      </c>
      <c r="C1033" s="0" t="inlineStr">
        <is>
          <t>Acquired</t>
        </is>
      </c>
      <c r="D1033" s="0" t="inlineStr">
        <is>
          <t>:</t>
        </is>
      </c>
      <c r="E1033" s="0" t="n">
        <v>6100</v>
      </c>
      <c r="F1033" s="0" t="inlineStr">
        <is>
          <t>-&gt;</t>
        </is>
      </c>
      <c r="G1033" s="0" t="n">
        <v>6200</v>
      </c>
      <c r="H1033" s="0" t="inlineStr">
        <is>
          <t>(Stage</t>
        </is>
      </c>
      <c r="I1033" s="0" t="inlineStr">
        <is>
          <t>:</t>
        </is>
      </c>
      <c r="J1033" s="0" t="inlineStr">
        <is>
          <t>4)</t>
        </is>
      </c>
      <c r="K1033" s="0">
        <f>IF(H1032="1)",1,IF(H1032="2)",2,IF(H1032="3)",3,IF(H1032="4)",4,IF(H1032="5)",5,IF(H1032="6)",6,IF(H1032="7)",7,IF(H1032="8)",8,0))))))))</f>
        <v/>
      </c>
      <c r="L1033" s="0">
        <f>IF(H1032="1)",J1032,IF(H1032="2)",J1032,IF(H1032="3)",J1032,IF(H1032="4)",J1032,IF(H1032="5)",J1032,IF(H1032="6)",J1032,IF(H1032="7)",J1032,IF(H1032="8)",J1032,0))))))))</f>
        <v/>
      </c>
    </row>
    <row r="1034">
      <c r="A1034" s="0" t="inlineStr">
        <is>
          <t>New</t>
        </is>
      </c>
      <c r="B1034" s="0" t="inlineStr">
        <is>
          <t>Item</t>
        </is>
      </c>
      <c r="C1034" s="0" t="inlineStr">
        <is>
          <t>Acquired</t>
        </is>
      </c>
      <c r="D1034" s="0" t="inlineStr">
        <is>
          <t>:</t>
        </is>
      </c>
      <c r="E1034" s="0" t="inlineStr">
        <is>
          <t>Mini</t>
        </is>
      </c>
      <c r="F1034" s="0" t="inlineStr">
        <is>
          <t>(7,</t>
        </is>
      </c>
      <c r="G1034" s="0" t="inlineStr">
        <is>
          <t>24)</t>
        </is>
      </c>
      <c r="K1034" s="0">
        <f>IF(H1033="1)",1,IF(H1033="2)",2,IF(H1033="3)",3,IF(H1033="4)",4,IF(H1033="5)",5,IF(H1033="6)",6,IF(H1033="7)",7,IF(H1033="8)",8,0))))))))</f>
        <v/>
      </c>
      <c r="L1034" s="0">
        <f>IF(H1033="1)",J1033,IF(H1033="2)",J1033,IF(H1033="3)",J1033,IF(H1033="4)",J1033,IF(H1033="5)",J1033,IF(H1033="6)",J1033,IF(H1033="7)",J1033,IF(H1033="8)",J1033,0))))))))</f>
        <v/>
      </c>
    </row>
    <row r="1035">
      <c r="A1035" s="0" t="inlineStr">
        <is>
          <t>New</t>
        </is>
      </c>
      <c r="B1035" s="0" t="inlineStr">
        <is>
          <t>Item</t>
        </is>
      </c>
      <c r="C1035" s="0" t="inlineStr">
        <is>
          <t>Acquired</t>
        </is>
      </c>
      <c r="D1035" s="0" t="inlineStr">
        <is>
          <t>:</t>
        </is>
      </c>
      <c r="E1035" s="0" t="inlineStr">
        <is>
          <t>50.00K</t>
        </is>
      </c>
      <c r="F1035" s="0" t="inlineStr">
        <is>
          <t>(1,</t>
        </is>
      </c>
      <c r="G1035" s="0" t="inlineStr">
        <is>
          <t>25)</t>
        </is>
      </c>
      <c r="K1035" s="0">
        <f>IF(H1034="1)",1,IF(H1034="2)",2,IF(H1034="3)",3,IF(H1034="4)",4,IF(H1034="5)",5,IF(H1034="6)",6,IF(H1034="7)",7,IF(H1034="8)",8,0))))))))</f>
        <v/>
      </c>
      <c r="L1035" s="0">
        <f>IF(H1034="1)",J1034,IF(H1034="2)",J1034,IF(H1034="3)",J1034,IF(H1034="4)",J1034,IF(H1034="5)",J1034,IF(H1034="6)",J1034,IF(H1034="7)",J1034,IF(H1034="8)",J1034,0))))))))</f>
        <v/>
      </c>
    </row>
    <row r="1036">
      <c r="A1036" s="0" t="inlineStr">
        <is>
          <t>New</t>
        </is>
      </c>
      <c r="B1036" s="0" t="inlineStr">
        <is>
          <t>Item</t>
        </is>
      </c>
      <c r="C1036" s="0" t="inlineStr">
        <is>
          <t>Acquired</t>
        </is>
      </c>
      <c r="D1036" s="0" t="inlineStr">
        <is>
          <t>:</t>
        </is>
      </c>
      <c r="E1036" s="0" t="inlineStr">
        <is>
          <t>120.00K</t>
        </is>
      </c>
      <c r="F1036" s="0" t="inlineStr">
        <is>
          <t>(8,</t>
        </is>
      </c>
      <c r="G1036" s="0" t="inlineStr">
        <is>
          <t>5)</t>
        </is>
      </c>
      <c r="K1036" s="0">
        <f>IF(H1035="1)",1,IF(H1035="2)",2,IF(H1035="3)",3,IF(H1035="4)",4,IF(H1035="5)",5,IF(H1035="6)",6,IF(H1035="7)",7,IF(H1035="8)",8,0))))))))</f>
        <v/>
      </c>
      <c r="L1036" s="0">
        <f>IF(H1035="1)",J1035,IF(H1035="2)",J1035,IF(H1035="3)",J1035,IF(H1035="4)",J1035,IF(H1035="5)",J1035,IF(H1035="6)",J1035,IF(H1035="7)",J1035,IF(H1035="8)",J1035,0))))))))</f>
        <v/>
      </c>
    </row>
    <row r="1037">
      <c r="A1037" s="0" t="inlineStr">
        <is>
          <t>New</t>
        </is>
      </c>
      <c r="B1037" s="0" t="inlineStr">
        <is>
          <t>Item</t>
        </is>
      </c>
      <c r="C1037" s="0" t="inlineStr">
        <is>
          <t>Acquired</t>
        </is>
      </c>
      <c r="D1037" s="0" t="inlineStr">
        <is>
          <t>:</t>
        </is>
      </c>
      <c r="E1037" s="0" t="inlineStr">
        <is>
          <t>75.00K</t>
        </is>
      </c>
      <c r="F1037" s="0" t="inlineStr">
        <is>
          <t>(3,</t>
        </is>
      </c>
      <c r="G1037" s="0" t="inlineStr">
        <is>
          <t>20)</t>
        </is>
      </c>
      <c r="K1037" s="0">
        <f>IF(H1036="1)",1,IF(H1036="2)",2,IF(H1036="3)",3,IF(H1036="4)",4,IF(H1036="5)",5,IF(H1036="6)",6,IF(H1036="7)",7,IF(H1036="8)",8,0))))))))</f>
        <v/>
      </c>
      <c r="L1037" s="0">
        <f>IF(H1036="1)",J1036,IF(H1036="2)",J1036,IF(H1036="3)",J1036,IF(H1036="4)",J1036,IF(H1036="5)",J1036,IF(H1036="6)",J1036,IF(H1036="7)",J1036,IF(H1036="8)",J1036,0))))))))</f>
        <v/>
      </c>
    </row>
    <row r="1038">
      <c r="A1038" s="0" t="inlineStr">
        <is>
          <t>Line</t>
        </is>
      </c>
      <c r="B1038" s="0" t="inlineStr">
        <is>
          <t>Prize</t>
        </is>
      </c>
      <c r="C1038" s="0" t="inlineStr">
        <is>
          <t>Acquired</t>
        </is>
      </c>
      <c r="D1038" s="0" t="inlineStr">
        <is>
          <t>:</t>
        </is>
      </c>
      <c r="E1038" s="0" t="inlineStr">
        <is>
          <t>345.00K</t>
        </is>
      </c>
      <c r="F1038" s="0" t="inlineStr">
        <is>
          <t>(Stage</t>
        </is>
      </c>
      <c r="G1038" s="0" t="inlineStr">
        <is>
          <t>:</t>
        </is>
      </c>
      <c r="H1038" s="0" t="inlineStr">
        <is>
          <t>3)</t>
        </is>
      </c>
      <c r="I1038" s="0" t="inlineStr">
        <is>
          <t>-</t>
        </is>
      </c>
      <c r="J1038" s="0" t="n">
        <v>345000</v>
      </c>
      <c r="K1038" s="0">
        <f>IF(H1037="1)",1,IF(H1037="2)",2,IF(H1037="3)",3,IF(H1037="4)",4,IF(H1037="5)",5,IF(H1037="6)",6,IF(H1037="7)",7,IF(H1037="8)",8,0))))))))</f>
        <v/>
      </c>
      <c r="L1038" s="0">
        <f>IF(H1037="1)",J1037,IF(H1037="2)",J1037,IF(H1037="3)",J1037,IF(H1037="4)",J1037,IF(H1037="5)",J1037,IF(H1037="6)",J1037,IF(H1037="7)",J1037,IF(H1037="8)",J1037,0))))))))</f>
        <v/>
      </c>
    </row>
    <row r="1039">
      <c r="A1039" s="0" t="inlineStr">
        <is>
          <t>Clear</t>
        </is>
      </c>
      <c r="B1039" s="0" t="inlineStr">
        <is>
          <t>Gem</t>
        </is>
      </c>
      <c r="C1039" s="0" t="inlineStr">
        <is>
          <t>Acquired</t>
        </is>
      </c>
      <c r="D1039" s="0" t="inlineStr">
        <is>
          <t>:</t>
        </is>
      </c>
      <c r="E1039" s="0" t="n">
        <v>6200</v>
      </c>
      <c r="F1039" s="0" t="inlineStr">
        <is>
          <t>-&gt;</t>
        </is>
      </c>
      <c r="G1039" s="0" t="n">
        <v>6300</v>
      </c>
      <c r="H1039" s="0" t="inlineStr">
        <is>
          <t>(Stage</t>
        </is>
      </c>
      <c r="I1039" s="0" t="inlineStr">
        <is>
          <t>:</t>
        </is>
      </c>
      <c r="J1039" s="0" t="inlineStr">
        <is>
          <t>3)</t>
        </is>
      </c>
      <c r="K1039" s="0">
        <f>IF(H1038="1)",1,IF(H1038="2)",2,IF(H1038="3)",3,IF(H1038="4)",4,IF(H1038="5)",5,IF(H1038="6)",6,IF(H1038="7)",7,IF(H1038="8)",8,0))))))))</f>
        <v/>
      </c>
      <c r="L1039" s="0">
        <f>IF(H1038="1)",J1038,IF(H1038="2)",J1038,IF(H1038="3)",J1038,IF(H1038="4)",J1038,IF(H1038="5)",J1038,IF(H1038="6)",J1038,IF(H1038="7)",J1038,IF(H1038="8)",J1038,0))))))))</f>
        <v/>
      </c>
    </row>
    <row r="1040">
      <c r="A1040" s="0" t="inlineStr">
        <is>
          <t>New</t>
        </is>
      </c>
      <c r="B1040" s="0" t="inlineStr">
        <is>
          <t>Item</t>
        </is>
      </c>
      <c r="C1040" s="0" t="inlineStr">
        <is>
          <t>Acquired</t>
        </is>
      </c>
      <c r="D1040" s="0" t="inlineStr">
        <is>
          <t>:</t>
        </is>
      </c>
      <c r="E1040" s="0" t="inlineStr">
        <is>
          <t>60.00K</t>
        </is>
      </c>
      <c r="F1040" s="0" t="inlineStr">
        <is>
          <t>(4,</t>
        </is>
      </c>
      <c r="G1040" s="0" t="inlineStr">
        <is>
          <t>6)</t>
        </is>
      </c>
      <c r="K1040" s="0">
        <f>IF(H1039="1)",1,IF(H1039="2)",2,IF(H1039="3)",3,IF(H1039="4)",4,IF(H1039="5)",5,IF(H1039="6)",6,IF(H1039="7)",7,IF(H1039="8)",8,0))))))))</f>
        <v/>
      </c>
      <c r="L1040" s="0">
        <f>IF(H1039="1)",J1039,IF(H1039="2)",J1039,IF(H1039="3)",J1039,IF(H1039="4)",J1039,IF(H1039="5)",J1039,IF(H1039="6)",J1039,IF(H1039="7)",J1039,IF(H1039="8)",J1039,0))))))))</f>
        <v/>
      </c>
    </row>
    <row r="1041">
      <c r="A1041" s="0" t="inlineStr">
        <is>
          <t>New</t>
        </is>
      </c>
      <c r="B1041" s="0" t="inlineStr">
        <is>
          <t>Item</t>
        </is>
      </c>
      <c r="C1041" s="0" t="inlineStr">
        <is>
          <t>Acquired</t>
        </is>
      </c>
      <c r="D1041" s="0" t="inlineStr">
        <is>
          <t>:</t>
        </is>
      </c>
      <c r="E1041" s="0" t="inlineStr">
        <is>
          <t>45.00K</t>
        </is>
      </c>
      <c r="F1041" s="0" t="inlineStr">
        <is>
          <t>(3,</t>
        </is>
      </c>
      <c r="G1041" s="0" t="inlineStr">
        <is>
          <t>23)</t>
        </is>
      </c>
      <c r="K1041" s="0">
        <f>IF(H1040="1)",1,IF(H1040="2)",2,IF(H1040="3)",3,IF(H1040="4)",4,IF(H1040="5)",5,IF(H1040="6)",6,IF(H1040="7)",7,IF(H1040="8)",8,0))))))))</f>
        <v/>
      </c>
      <c r="L1041" s="0">
        <f>IF(H1040="1)",J1040,IF(H1040="2)",J1040,IF(H1040="3)",J1040,IF(H1040="4)",J1040,IF(H1040="5)",J1040,IF(H1040="6)",J1040,IF(H1040="7)",J1040,IF(H1040="8)",J1040,0))))))))</f>
        <v/>
      </c>
    </row>
    <row r="1042">
      <c r="A1042" s="0" t="inlineStr">
        <is>
          <t>New</t>
        </is>
      </c>
      <c r="B1042" s="0" t="inlineStr">
        <is>
          <t>Item</t>
        </is>
      </c>
      <c r="C1042" s="0" t="inlineStr">
        <is>
          <t>Acquired</t>
        </is>
      </c>
      <c r="D1042" s="0" t="inlineStr">
        <is>
          <t>:</t>
        </is>
      </c>
      <c r="E1042" s="0" t="inlineStr">
        <is>
          <t>75.00K</t>
        </is>
      </c>
      <c r="F1042" s="0" t="inlineStr">
        <is>
          <t>(6,</t>
        </is>
      </c>
      <c r="G1042" s="0" t="inlineStr">
        <is>
          <t>10)</t>
        </is>
      </c>
      <c r="K1042" s="0">
        <f>IF(H1041="1)",1,IF(H1041="2)",2,IF(H1041="3)",3,IF(H1041="4)",4,IF(H1041="5)",5,IF(H1041="6)",6,IF(H1041="7)",7,IF(H1041="8)",8,0))))))))</f>
        <v/>
      </c>
      <c r="L1042" s="0">
        <f>IF(H1041="1)",J1041,IF(H1041="2)",J1041,IF(H1041="3)",J1041,IF(H1041="4)",J1041,IF(H1041="5)",J1041,IF(H1041="6)",J1041,IF(H1041="7)",J1041,IF(H1041="8)",J1041,0))))))))</f>
        <v/>
      </c>
    </row>
    <row r="1043">
      <c r="A1043" s="0" t="inlineStr">
        <is>
          <t>New</t>
        </is>
      </c>
      <c r="B1043" s="0" t="inlineStr">
        <is>
          <t>Item</t>
        </is>
      </c>
      <c r="C1043" s="0" t="inlineStr">
        <is>
          <t>Acquired</t>
        </is>
      </c>
      <c r="D1043" s="0" t="inlineStr">
        <is>
          <t>:</t>
        </is>
      </c>
      <c r="E1043" s="0" t="inlineStr">
        <is>
          <t>70.00K</t>
        </is>
      </c>
      <c r="F1043" s="0" t="inlineStr">
        <is>
          <t>(1,</t>
        </is>
      </c>
      <c r="G1043" s="0" t="inlineStr">
        <is>
          <t>3)</t>
        </is>
      </c>
      <c r="K1043" s="0">
        <f>IF(H1042="1)",1,IF(H1042="2)",2,IF(H1042="3)",3,IF(H1042="4)",4,IF(H1042="5)",5,IF(H1042="6)",6,IF(H1042="7)",7,IF(H1042="8)",8,0))))))))</f>
        <v/>
      </c>
      <c r="L1043" s="0">
        <f>IF(H1042="1)",J1042,IF(H1042="2)",J1042,IF(H1042="3)",J1042,IF(H1042="4)",J1042,IF(H1042="5)",J1042,IF(H1042="6)",J1042,IF(H1042="7)",J1042,IF(H1042="8)",J1042,0))))))))</f>
        <v/>
      </c>
    </row>
    <row r="1044">
      <c r="A1044" s="0" t="inlineStr">
        <is>
          <t>New</t>
        </is>
      </c>
      <c r="B1044" s="0" t="inlineStr">
        <is>
          <t>Item</t>
        </is>
      </c>
      <c r="C1044" s="0" t="inlineStr">
        <is>
          <t>Acquired</t>
        </is>
      </c>
      <c r="D1044" s="0" t="inlineStr">
        <is>
          <t>:</t>
        </is>
      </c>
      <c r="E1044" s="0" t="inlineStr">
        <is>
          <t>30.00K</t>
        </is>
      </c>
      <c r="F1044" s="0" t="inlineStr">
        <is>
          <t>(1,</t>
        </is>
      </c>
      <c r="G1044" s="0" t="inlineStr">
        <is>
          <t>22)</t>
        </is>
      </c>
      <c r="K1044" s="0">
        <f>IF(H1043="1)",1,IF(H1043="2)",2,IF(H1043="3)",3,IF(H1043="4)",4,IF(H1043="5)",5,IF(H1043="6)",6,IF(H1043="7)",7,IF(H1043="8)",8,0))))))))</f>
        <v/>
      </c>
      <c r="L1044" s="0">
        <f>IF(H1043="1)",J1043,IF(H1043="2)",J1043,IF(H1043="3)",J1043,IF(H1043="4)",J1043,IF(H1043="5)",J1043,IF(H1043="6)",J1043,IF(H1043="7)",J1043,IF(H1043="8)",J1043,0))))))))</f>
        <v/>
      </c>
    </row>
    <row r="1045">
      <c r="A1045" s="0" t="inlineStr">
        <is>
          <t>New</t>
        </is>
      </c>
      <c r="B1045" s="0" t="inlineStr">
        <is>
          <t>Item</t>
        </is>
      </c>
      <c r="C1045" s="0" t="inlineStr">
        <is>
          <t>Acquired</t>
        </is>
      </c>
      <c r="D1045" s="0" t="inlineStr">
        <is>
          <t>:</t>
        </is>
      </c>
      <c r="E1045" s="0" t="inlineStr">
        <is>
          <t>45.00K</t>
        </is>
      </c>
      <c r="F1045" s="0" t="inlineStr">
        <is>
          <t>(3,</t>
        </is>
      </c>
      <c r="G1045" s="0" t="inlineStr">
        <is>
          <t>24)</t>
        </is>
      </c>
      <c r="K1045" s="0">
        <f>IF(H1044="1)",1,IF(H1044="2)",2,IF(H1044="3)",3,IF(H1044="4)",4,IF(H1044="5)",5,IF(H1044="6)",6,IF(H1044="7)",7,IF(H1044="8)",8,0))))))))</f>
        <v/>
      </c>
      <c r="L1045" s="0">
        <f>IF(H1044="1)",J1044,IF(H1044="2)",J1044,IF(H1044="3)",J1044,IF(H1044="4)",J1044,IF(H1044="5)",J1044,IF(H1044="6)",J1044,IF(H1044="7)",J1044,IF(H1044="8)",J1044,0))))))))</f>
        <v/>
      </c>
    </row>
    <row r="1046">
      <c r="A1046" s="0" t="inlineStr">
        <is>
          <t>New</t>
        </is>
      </c>
      <c r="B1046" s="0" t="inlineStr">
        <is>
          <t>Item</t>
        </is>
      </c>
      <c r="C1046" s="0" t="inlineStr">
        <is>
          <t>Acquired</t>
        </is>
      </c>
      <c r="D1046" s="0" t="inlineStr">
        <is>
          <t>:</t>
        </is>
      </c>
      <c r="E1046" s="0" t="inlineStr">
        <is>
          <t>90.00K</t>
        </is>
      </c>
      <c r="F1046" s="0" t="inlineStr">
        <is>
          <t>(7,</t>
        </is>
      </c>
      <c r="G1046" s="0" t="inlineStr">
        <is>
          <t>2)</t>
        </is>
      </c>
      <c r="K1046" s="0">
        <f>IF(H1045="1)",1,IF(H1045="2)",2,IF(H1045="3)",3,IF(H1045="4)",4,IF(H1045="5)",5,IF(H1045="6)",6,IF(H1045="7)",7,IF(H1045="8)",8,0))))))))</f>
        <v/>
      </c>
      <c r="L1046" s="0">
        <f>IF(H1045="1)",J1045,IF(H1045="2)",J1045,IF(H1045="3)",J1045,IF(H1045="4)",J1045,IF(H1045="5)",J1045,IF(H1045="6)",J1045,IF(H1045="7)",J1045,IF(H1045="8)",J1045,0))))))))</f>
        <v/>
      </c>
    </row>
    <row r="1047">
      <c r="A1047" s="0" t="inlineStr">
        <is>
          <t>New</t>
        </is>
      </c>
      <c r="B1047" s="0" t="inlineStr">
        <is>
          <t>Item</t>
        </is>
      </c>
      <c r="C1047" s="0" t="inlineStr">
        <is>
          <t>Acquired</t>
        </is>
      </c>
      <c r="D1047" s="0" t="inlineStr">
        <is>
          <t>:</t>
        </is>
      </c>
      <c r="E1047" s="0" t="inlineStr">
        <is>
          <t>112.50K</t>
        </is>
      </c>
      <c r="F1047" s="0" t="inlineStr">
        <is>
          <t>(5,</t>
        </is>
      </c>
      <c r="G1047" s="0" t="inlineStr">
        <is>
          <t>19)</t>
        </is>
      </c>
      <c r="K1047" s="0">
        <f>IF(H1046="1)",1,IF(H1046="2)",2,IF(H1046="3)",3,IF(H1046="4)",4,IF(H1046="5)",5,IF(H1046="6)",6,IF(H1046="7)",7,IF(H1046="8)",8,0))))))))</f>
        <v/>
      </c>
      <c r="L1047" s="0">
        <f>IF(H1046="1)",J1046,IF(H1046="2)",J1046,IF(H1046="3)",J1046,IF(H1046="4)",J1046,IF(H1046="5)",J1046,IF(H1046="6)",J1046,IF(H1046="7)",J1046,IF(H1046="8)",J1046,0))))))))</f>
        <v/>
      </c>
    </row>
    <row r="1048">
      <c r="A1048" s="0" t="inlineStr">
        <is>
          <t>Item</t>
        </is>
      </c>
      <c r="B1048" s="0" t="inlineStr">
        <is>
          <t>ReSelect</t>
        </is>
      </c>
      <c r="C1048" s="0" t="inlineStr">
        <is>
          <t>Failed</t>
        </is>
      </c>
      <c r="D1048" s="0" t="inlineStr">
        <is>
          <t>:</t>
        </is>
      </c>
      <c r="E1048" s="0" t="inlineStr">
        <is>
          <t>Attempt</t>
        </is>
      </c>
      <c r="F1048" s="0" t="inlineStr">
        <is>
          <t>Count</t>
        </is>
      </c>
      <c r="G1048" s="0" t="inlineStr">
        <is>
          <t>-</t>
        </is>
      </c>
      <c r="H1048" s="0" t="n">
        <v>3</v>
      </c>
      <c r="K1048" s="0">
        <f>IF(H1047="1)",1,IF(H1047="2)",2,IF(H1047="3)",3,IF(H1047="4)",4,IF(H1047="5)",5,IF(H1047="6)",6,IF(H1047="7)",7,IF(H1047="8)",8,0))))))))</f>
        <v/>
      </c>
      <c r="L1048" s="0">
        <f>IF(H1047="1)",J1047,IF(H1047="2)",J1047,IF(H1047="3)",J1047,IF(H1047="4)",J1047,IF(H1047="5)",J1047,IF(H1047="6)",J1047,IF(H1047="7)",J1047,IF(H1047="8)",J1047,0))))))))</f>
        <v/>
      </c>
    </row>
    <row r="1049">
      <c r="A1049" s="0" t="inlineStr">
        <is>
          <t>New</t>
        </is>
      </c>
      <c r="B1049" s="0" t="inlineStr">
        <is>
          <t>Item</t>
        </is>
      </c>
      <c r="C1049" s="0" t="inlineStr">
        <is>
          <t>Acquired</t>
        </is>
      </c>
      <c r="D1049" s="0" t="inlineStr">
        <is>
          <t>:</t>
        </is>
      </c>
      <c r="E1049" s="0" t="inlineStr">
        <is>
          <t>Mini</t>
        </is>
      </c>
      <c r="F1049" s="0" t="inlineStr">
        <is>
          <t>(8,</t>
        </is>
      </c>
      <c r="G1049" s="0" t="inlineStr">
        <is>
          <t>11)</t>
        </is>
      </c>
      <c r="K1049" s="0">
        <f>IF(H1048="1)",1,IF(H1048="2)",2,IF(H1048="3)",3,IF(H1048="4)",4,IF(H1048="5)",5,IF(H1048="6)",6,IF(H1048="7)",7,IF(H1048="8)",8,0))))))))</f>
        <v/>
      </c>
      <c r="L1049" s="0">
        <f>IF(H1048="1)",J1048,IF(H1048="2)",J1048,IF(H1048="3)",J1048,IF(H1048="4)",J1048,IF(H1048="5)",J1048,IF(H1048="6)",J1048,IF(H1048="7)",J1048,IF(H1048="8)",J1048,0))))))))</f>
        <v/>
      </c>
    </row>
    <row r="1050">
      <c r="A1050" s="0" t="inlineStr">
        <is>
          <t>New</t>
        </is>
      </c>
      <c r="B1050" s="0" t="inlineStr">
        <is>
          <t>Item</t>
        </is>
      </c>
      <c r="C1050" s="0" t="inlineStr">
        <is>
          <t>Acquired</t>
        </is>
      </c>
      <c r="D1050" s="0" t="inlineStr">
        <is>
          <t>:</t>
        </is>
      </c>
      <c r="E1050" s="0" t="inlineStr">
        <is>
          <t>150.00K</t>
        </is>
      </c>
      <c r="F1050" s="0" t="inlineStr">
        <is>
          <t>(7,</t>
        </is>
      </c>
      <c r="G1050" s="0" t="inlineStr">
        <is>
          <t>16)</t>
        </is>
      </c>
      <c r="K1050" s="0">
        <f>IF(H1049="1)",1,IF(H1049="2)",2,IF(H1049="3)",3,IF(H1049="4)",4,IF(H1049="5)",5,IF(H1049="6)",6,IF(H1049="7)",7,IF(H1049="8)",8,0))))))))</f>
        <v/>
      </c>
      <c r="L1050" s="0">
        <f>IF(H1049="1)",J1049,IF(H1049="2)",J1049,IF(H1049="3)",J1049,IF(H1049="4)",J1049,IF(H1049="5)",J1049,IF(H1049="6)",J1049,IF(H1049="7)",J1049,IF(H1049="8)",J1049,0))))))))</f>
        <v/>
      </c>
    </row>
    <row r="1051">
      <c r="A1051" s="0" t="inlineStr">
        <is>
          <t>New</t>
        </is>
      </c>
      <c r="B1051" s="0" t="inlineStr">
        <is>
          <t>Item</t>
        </is>
      </c>
      <c r="C1051" s="0" t="inlineStr">
        <is>
          <t>Acquired</t>
        </is>
      </c>
      <c r="D1051" s="0" t="inlineStr">
        <is>
          <t>:</t>
        </is>
      </c>
      <c r="E1051" s="0" t="inlineStr">
        <is>
          <t>112.50K</t>
        </is>
      </c>
      <c r="F1051" s="0" t="inlineStr">
        <is>
          <t>(5,</t>
        </is>
      </c>
      <c r="G1051" s="0" t="inlineStr">
        <is>
          <t>7)</t>
        </is>
      </c>
      <c r="K1051" s="0">
        <f>IF(H1050="1)",1,IF(H1050="2)",2,IF(H1050="3)",3,IF(H1050="4)",4,IF(H1050="5)",5,IF(H1050="6)",6,IF(H1050="7)",7,IF(H1050="8)",8,0))))))))</f>
        <v/>
      </c>
      <c r="L1051" s="0">
        <f>IF(H1050="1)",J1050,IF(H1050="2)",J1050,IF(H1050="3)",J1050,IF(H1050="4)",J1050,IF(H1050="5)",J1050,IF(H1050="6)",J1050,IF(H1050="7)",J1050,IF(H1050="8)",J1050,0))))))))</f>
        <v/>
      </c>
    </row>
    <row r="1052">
      <c r="A1052" s="0" t="inlineStr">
        <is>
          <t>Line</t>
        </is>
      </c>
      <c r="B1052" s="0" t="inlineStr">
        <is>
          <t>Prize</t>
        </is>
      </c>
      <c r="C1052" s="0" t="inlineStr">
        <is>
          <t>Acquired</t>
        </is>
      </c>
      <c r="D1052" s="0" t="inlineStr">
        <is>
          <t>:</t>
        </is>
      </c>
      <c r="E1052" s="0" t="inlineStr">
        <is>
          <t>1.54M</t>
        </is>
      </c>
      <c r="F1052" s="0" t="inlineStr">
        <is>
          <t>(Stage</t>
        </is>
      </c>
      <c r="G1052" s="0" t="inlineStr">
        <is>
          <t>:</t>
        </is>
      </c>
      <c r="H1052" s="0" t="inlineStr">
        <is>
          <t>5)</t>
        </is>
      </c>
      <c r="I1052" s="0" t="inlineStr">
        <is>
          <t>-</t>
        </is>
      </c>
      <c r="J1052" s="0" t="n">
        <v>1540000</v>
      </c>
      <c r="K1052" s="0">
        <f>IF(H1051="1)",1,IF(H1051="2)",2,IF(H1051="3)",3,IF(H1051="4)",4,IF(H1051="5)",5,IF(H1051="6)",6,IF(H1051="7)",7,IF(H1051="8)",8,0))))))))</f>
        <v/>
      </c>
      <c r="L1052" s="0">
        <f>IF(H1051="1)",J1051,IF(H1051="2)",J1051,IF(H1051="3)",J1051,IF(H1051="4)",J1051,IF(H1051="5)",J1051,IF(H1051="6)",J1051,IF(H1051="7)",J1051,IF(H1051="8)",J1051,0))))))))</f>
        <v/>
      </c>
    </row>
    <row r="1053">
      <c r="A1053" s="0" t="inlineStr">
        <is>
          <t>Clear</t>
        </is>
      </c>
      <c r="B1053" s="0" t="inlineStr">
        <is>
          <t>Gem</t>
        </is>
      </c>
      <c r="C1053" s="0" t="inlineStr">
        <is>
          <t>Acquired</t>
        </is>
      </c>
      <c r="D1053" s="0" t="inlineStr">
        <is>
          <t>:</t>
        </is>
      </c>
      <c r="E1053" s="0" t="n">
        <v>6300</v>
      </c>
      <c r="F1053" s="0" t="inlineStr">
        <is>
          <t>-&gt;</t>
        </is>
      </c>
      <c r="G1053" s="0" t="n">
        <v>6400</v>
      </c>
      <c r="H1053" s="0" t="inlineStr">
        <is>
          <t>(Stage</t>
        </is>
      </c>
      <c r="I1053" s="0" t="inlineStr">
        <is>
          <t>:</t>
        </is>
      </c>
      <c r="J1053" s="0" t="inlineStr">
        <is>
          <t>5)</t>
        </is>
      </c>
      <c r="K1053" s="0">
        <f>IF(H1052="1)",1,IF(H1052="2)",2,IF(H1052="3)",3,IF(H1052="4)",4,IF(H1052="5)",5,IF(H1052="6)",6,IF(H1052="7)",7,IF(H1052="8)",8,0))))))))</f>
        <v/>
      </c>
      <c r="L1053" s="0">
        <f>IF(H1052="1)",J1052,IF(H1052="2)",J1052,IF(H1052="3)",J1052,IF(H1052="4)",J1052,IF(H1052="5)",J1052,IF(H1052="6)",J1052,IF(H1052="7)",J1052,IF(H1052="8)",J1052,0))))))))</f>
        <v/>
      </c>
    </row>
    <row r="1054">
      <c r="A1054" s="0" t="inlineStr">
        <is>
          <t>New</t>
        </is>
      </c>
      <c r="B1054" s="0" t="inlineStr">
        <is>
          <t>Item</t>
        </is>
      </c>
      <c r="C1054" s="0" t="inlineStr">
        <is>
          <t>Acquired</t>
        </is>
      </c>
      <c r="D1054" s="0" t="inlineStr">
        <is>
          <t>:</t>
        </is>
      </c>
      <c r="E1054" s="0" t="inlineStr">
        <is>
          <t>90.00K</t>
        </is>
      </c>
      <c r="F1054" s="0" t="inlineStr">
        <is>
          <t>(7,</t>
        </is>
      </c>
      <c r="G1054" s="0" t="inlineStr">
        <is>
          <t>15)</t>
        </is>
      </c>
      <c r="K1054" s="0">
        <f>IF(H1053="1)",1,IF(H1053="2)",2,IF(H1053="3)",3,IF(H1053="4)",4,IF(H1053="5)",5,IF(H1053="6)",6,IF(H1053="7)",7,IF(H1053="8)",8,0))))))))</f>
        <v/>
      </c>
      <c r="L1054" s="0">
        <f>IF(H1053="1)",J1053,IF(H1053="2)",J1053,IF(H1053="3)",J1053,IF(H1053="4)",J1053,IF(H1053="5)",J1053,IF(H1053="6)",J1053,IF(H1053="7)",J1053,IF(H1053="8)",J1053,0))))))))</f>
        <v/>
      </c>
    </row>
    <row r="1055">
      <c r="A1055" s="0" t="inlineStr">
        <is>
          <t>New</t>
        </is>
      </c>
      <c r="B1055" s="0" t="inlineStr">
        <is>
          <t>Item</t>
        </is>
      </c>
      <c r="C1055" s="0" t="inlineStr">
        <is>
          <t>Acquired</t>
        </is>
      </c>
      <c r="D1055" s="0" t="inlineStr">
        <is>
          <t>:</t>
        </is>
      </c>
      <c r="E1055" s="0" t="inlineStr">
        <is>
          <t>45.00K</t>
        </is>
      </c>
      <c r="F1055" s="0" t="inlineStr">
        <is>
          <t>(3,</t>
        </is>
      </c>
      <c r="G1055" s="0" t="inlineStr">
        <is>
          <t>6)</t>
        </is>
      </c>
      <c r="K1055" s="0">
        <f>IF(H1054="1)",1,IF(H1054="2)",2,IF(H1054="3)",3,IF(H1054="4)",4,IF(H1054="5)",5,IF(H1054="6)",6,IF(H1054="7)",7,IF(H1054="8)",8,0))))))))</f>
        <v/>
      </c>
      <c r="L1055" s="0">
        <f>IF(H1054="1)",J1054,IF(H1054="2)",J1054,IF(H1054="3)",J1054,IF(H1054="4)",J1054,IF(H1054="5)",J1054,IF(H1054="6)",J1054,IF(H1054="7)",J1054,IF(H1054="8)",J1054,0))))))))</f>
        <v/>
      </c>
    </row>
    <row r="1056">
      <c r="A1056" s="0" t="inlineStr">
        <is>
          <t>New</t>
        </is>
      </c>
      <c r="B1056" s="0" t="inlineStr">
        <is>
          <t>Item</t>
        </is>
      </c>
      <c r="C1056" s="0" t="inlineStr">
        <is>
          <t>Acquired</t>
        </is>
      </c>
      <c r="D1056" s="0" t="inlineStr">
        <is>
          <t>:</t>
        </is>
      </c>
      <c r="E1056" s="0" t="inlineStr">
        <is>
          <t>62.50K</t>
        </is>
      </c>
      <c r="F1056" s="0" t="inlineStr">
        <is>
          <t>(2,</t>
        </is>
      </c>
      <c r="G1056" s="0" t="inlineStr">
        <is>
          <t>14)</t>
        </is>
      </c>
      <c r="K1056" s="0">
        <f>IF(H1055="1)",1,IF(H1055="2)",2,IF(H1055="3)",3,IF(H1055="4)",4,IF(H1055="5)",5,IF(H1055="6)",6,IF(H1055="7)",7,IF(H1055="8)",8,0))))))))</f>
        <v/>
      </c>
      <c r="L1056" s="0">
        <f>IF(H1055="1)",J1055,IF(H1055="2)",J1055,IF(H1055="3)",J1055,IF(H1055="4)",J1055,IF(H1055="5)",J1055,IF(H1055="6)",J1055,IF(H1055="7)",J1055,IF(H1055="8)",J1055,0))))))))</f>
        <v/>
      </c>
    </row>
    <row r="1057">
      <c r="A1057" s="0" t="inlineStr">
        <is>
          <t>New</t>
        </is>
      </c>
      <c r="B1057" s="0" t="inlineStr">
        <is>
          <t>Item</t>
        </is>
      </c>
      <c r="C1057" s="0" t="inlineStr">
        <is>
          <t>Acquired</t>
        </is>
      </c>
      <c r="D1057" s="0" t="inlineStr">
        <is>
          <t>:</t>
        </is>
      </c>
      <c r="E1057" s="0" t="inlineStr">
        <is>
          <t>105.00K</t>
        </is>
      </c>
      <c r="F1057" s="0" t="inlineStr">
        <is>
          <t>(4,</t>
        </is>
      </c>
      <c r="G1057" s="0" t="inlineStr">
        <is>
          <t>9)</t>
        </is>
      </c>
      <c r="K1057" s="0">
        <f>IF(H1056="1)",1,IF(H1056="2)",2,IF(H1056="3)",3,IF(H1056="4)",4,IF(H1056="5)",5,IF(H1056="6)",6,IF(H1056="7)",7,IF(H1056="8)",8,0))))))))</f>
        <v/>
      </c>
      <c r="L1057" s="0">
        <f>IF(H1056="1)",J1056,IF(H1056="2)",J1056,IF(H1056="3)",J1056,IF(H1056="4)",J1056,IF(H1056="5)",J1056,IF(H1056="6)",J1056,IF(H1056="7)",J1056,IF(H1056="8)",J1056,0))))))))</f>
        <v/>
      </c>
    </row>
    <row r="1058">
      <c r="A1058" s="0" t="inlineStr">
        <is>
          <t>Item</t>
        </is>
      </c>
      <c r="B1058" s="0" t="inlineStr">
        <is>
          <t>ReSelect</t>
        </is>
      </c>
      <c r="C1058" s="0" t="inlineStr">
        <is>
          <t>Failed</t>
        </is>
      </c>
      <c r="D1058" s="0" t="inlineStr">
        <is>
          <t>:</t>
        </is>
      </c>
      <c r="E1058" s="0" t="inlineStr">
        <is>
          <t>Attempt</t>
        </is>
      </c>
      <c r="F1058" s="0" t="inlineStr">
        <is>
          <t>Count</t>
        </is>
      </c>
      <c r="G1058" s="0" t="inlineStr">
        <is>
          <t>-</t>
        </is>
      </c>
      <c r="H1058" s="0" t="n">
        <v>3</v>
      </c>
      <c r="K1058" s="0">
        <f>IF(H1057="1)",1,IF(H1057="2)",2,IF(H1057="3)",3,IF(H1057="4)",4,IF(H1057="5)",5,IF(H1057="6)",6,IF(H1057="7)",7,IF(H1057="8)",8,0))))))))</f>
        <v/>
      </c>
      <c r="L1058" s="0">
        <f>IF(H1057="1)",J1057,IF(H1057="2)",J1057,IF(H1057="3)",J1057,IF(H1057="4)",J1057,IF(H1057="5)",J1057,IF(H1057="6)",J1057,IF(H1057="7)",J1057,IF(H1057="8)",J1057,0))))))))</f>
        <v/>
      </c>
    </row>
    <row r="1059">
      <c r="A1059" s="0" t="inlineStr">
        <is>
          <t>New</t>
        </is>
      </c>
      <c r="B1059" s="0" t="inlineStr">
        <is>
          <t>Item</t>
        </is>
      </c>
      <c r="C1059" s="0" t="inlineStr">
        <is>
          <t>Acquired</t>
        </is>
      </c>
      <c r="D1059" s="0" t="inlineStr">
        <is>
          <t>:</t>
        </is>
      </c>
      <c r="E1059" s="0" t="inlineStr">
        <is>
          <t>Mini</t>
        </is>
      </c>
      <c r="F1059" s="0" t="inlineStr">
        <is>
          <t>(2,</t>
        </is>
      </c>
      <c r="G1059" s="0" t="inlineStr">
        <is>
          <t>4)</t>
        </is>
      </c>
      <c r="K1059" s="0">
        <f>IF(H1058="1)",1,IF(H1058="2)",2,IF(H1058="3)",3,IF(H1058="4)",4,IF(H1058="5)",5,IF(H1058="6)",6,IF(H1058="7)",7,IF(H1058="8)",8,0))))))))</f>
        <v/>
      </c>
      <c r="L1059" s="0">
        <f>IF(H1058="1)",J1058,IF(H1058="2)",J1058,IF(H1058="3)",J1058,IF(H1058="4)",J1058,IF(H1058="5)",J1058,IF(H1058="6)",J1058,IF(H1058="7)",J1058,IF(H1058="8)",J1058,0))))))))</f>
        <v/>
      </c>
    </row>
    <row r="1060">
      <c r="A1060" s="0" t="inlineStr">
        <is>
          <t>Line</t>
        </is>
      </c>
      <c r="B1060" s="0" t="inlineStr">
        <is>
          <t>Prize</t>
        </is>
      </c>
      <c r="C1060" s="0" t="inlineStr">
        <is>
          <t>Acquired</t>
        </is>
      </c>
      <c r="D1060" s="0" t="inlineStr">
        <is>
          <t>:</t>
        </is>
      </c>
      <c r="E1060" s="0" t="inlineStr">
        <is>
          <t>550.00K</t>
        </is>
      </c>
      <c r="F1060" s="0" t="inlineStr">
        <is>
          <t>(Stage</t>
        </is>
      </c>
      <c r="G1060" s="0" t="inlineStr">
        <is>
          <t>:</t>
        </is>
      </c>
      <c r="H1060" s="0" t="inlineStr">
        <is>
          <t>2)</t>
        </is>
      </c>
      <c r="I1060" s="0" t="inlineStr">
        <is>
          <t>-</t>
        </is>
      </c>
      <c r="J1060" s="0" t="n">
        <v>550000</v>
      </c>
      <c r="K1060" s="0">
        <f>IF(H1059="1)",1,IF(H1059="2)",2,IF(H1059="3)",3,IF(H1059="4)",4,IF(H1059="5)",5,IF(H1059="6)",6,IF(H1059="7)",7,IF(H1059="8)",8,0))))))))</f>
        <v/>
      </c>
      <c r="L1060" s="0">
        <f>IF(H1059="1)",J1059,IF(H1059="2)",J1059,IF(H1059="3)",J1059,IF(H1059="4)",J1059,IF(H1059="5)",J1059,IF(H1059="6)",J1059,IF(H1059="7)",J1059,IF(H1059="8)",J1059,0))))))))</f>
        <v/>
      </c>
    </row>
    <row r="1061">
      <c r="A1061" s="0" t="inlineStr">
        <is>
          <t>Clear</t>
        </is>
      </c>
      <c r="B1061" s="0" t="inlineStr">
        <is>
          <t>Gem</t>
        </is>
      </c>
      <c r="C1061" s="0" t="inlineStr">
        <is>
          <t>Acquired</t>
        </is>
      </c>
      <c r="D1061" s="0" t="inlineStr">
        <is>
          <t>:</t>
        </is>
      </c>
      <c r="E1061" s="0" t="n">
        <v>6400</v>
      </c>
      <c r="F1061" s="0" t="inlineStr">
        <is>
          <t>-&gt;</t>
        </is>
      </c>
      <c r="G1061" s="0" t="n">
        <v>6500</v>
      </c>
      <c r="H1061" s="0" t="inlineStr">
        <is>
          <t>(Stage</t>
        </is>
      </c>
      <c r="I1061" s="0" t="inlineStr">
        <is>
          <t>:</t>
        </is>
      </c>
      <c r="J1061" s="0" t="inlineStr">
        <is>
          <t>2)</t>
        </is>
      </c>
      <c r="K1061" s="0">
        <f>IF(H1060="1)",1,IF(H1060="2)",2,IF(H1060="3)",3,IF(H1060="4)",4,IF(H1060="5)",5,IF(H1060="6)",6,IF(H1060="7)",7,IF(H1060="8)",8,0))))))))</f>
        <v/>
      </c>
      <c r="L1061" s="0">
        <f>IF(H1060="1)",J1060,IF(H1060="2)",J1060,IF(H1060="3)",J1060,IF(H1060="4)",J1060,IF(H1060="5)",J1060,IF(H1060="6)",J1060,IF(H1060="7)",J1060,IF(H1060="8)",J1060,0))))))))</f>
        <v/>
      </c>
    </row>
    <row r="1062">
      <c r="A1062" s="0" t="inlineStr">
        <is>
          <t>New</t>
        </is>
      </c>
      <c r="B1062" s="0" t="inlineStr">
        <is>
          <t>Item</t>
        </is>
      </c>
      <c r="C1062" s="0" t="inlineStr">
        <is>
          <t>Acquired</t>
        </is>
      </c>
      <c r="D1062" s="0" t="inlineStr">
        <is>
          <t>:</t>
        </is>
      </c>
      <c r="E1062" s="0" t="inlineStr">
        <is>
          <t>30.00K</t>
        </is>
      </c>
      <c r="F1062" s="0" t="inlineStr">
        <is>
          <t>(1,</t>
        </is>
      </c>
      <c r="G1062" s="0" t="inlineStr">
        <is>
          <t>23)</t>
        </is>
      </c>
      <c r="K1062" s="0">
        <f>IF(H1061="1)",1,IF(H1061="2)",2,IF(H1061="3)",3,IF(H1061="4)",4,IF(H1061="5)",5,IF(H1061="6)",6,IF(H1061="7)",7,IF(H1061="8)",8,0))))))))</f>
        <v/>
      </c>
      <c r="L1062" s="0">
        <f>IF(H1061="1)",J1061,IF(H1061="2)",J1061,IF(H1061="3)",J1061,IF(H1061="4)",J1061,IF(H1061="5)",J1061,IF(H1061="6)",J1061,IF(H1061="7)",J1061,IF(H1061="8)",J1061,0))))))))</f>
        <v/>
      </c>
    </row>
    <row r="1063">
      <c r="A1063" s="0" t="inlineStr">
        <is>
          <t>New</t>
        </is>
      </c>
      <c r="B1063" s="0" t="inlineStr">
        <is>
          <t>Item</t>
        </is>
      </c>
      <c r="C1063" s="0" t="inlineStr">
        <is>
          <t>Acquired</t>
        </is>
      </c>
      <c r="D1063" s="0" t="inlineStr">
        <is>
          <t>:</t>
        </is>
      </c>
      <c r="E1063" s="0" t="inlineStr">
        <is>
          <t>37.50K</t>
        </is>
      </c>
      <c r="F1063" s="0" t="inlineStr">
        <is>
          <t>(2,</t>
        </is>
      </c>
      <c r="G1063" s="0" t="inlineStr">
        <is>
          <t>12)</t>
        </is>
      </c>
      <c r="K1063" s="0">
        <f>IF(H1062="1)",1,IF(H1062="2)",2,IF(H1062="3)",3,IF(H1062="4)",4,IF(H1062="5)",5,IF(H1062="6)",6,IF(H1062="7)",7,IF(H1062="8)",8,0))))))))</f>
        <v/>
      </c>
      <c r="L1063" s="0">
        <f>IF(H1062="1)",J1062,IF(H1062="2)",J1062,IF(H1062="3)",J1062,IF(H1062="4)",J1062,IF(H1062="5)",J1062,IF(H1062="6)",J1062,IF(H1062="7)",J1062,IF(H1062="8)",J1062,0))))))))</f>
        <v/>
      </c>
    </row>
    <row r="1064">
      <c r="A1064" s="0" t="inlineStr">
        <is>
          <t>New</t>
        </is>
      </c>
      <c r="B1064" s="0" t="inlineStr">
        <is>
          <t>Item</t>
        </is>
      </c>
      <c r="C1064" s="0" t="inlineStr">
        <is>
          <t>Acquired</t>
        </is>
      </c>
      <c r="D1064" s="0" t="inlineStr">
        <is>
          <t>:</t>
        </is>
      </c>
      <c r="E1064" s="0" t="inlineStr">
        <is>
          <t>75.00K</t>
        </is>
      </c>
      <c r="F1064" s="0" t="inlineStr">
        <is>
          <t>(3,</t>
        </is>
      </c>
      <c r="G1064" s="0" t="inlineStr">
        <is>
          <t>4)</t>
        </is>
      </c>
      <c r="K1064" s="0">
        <f>IF(H1063="1)",1,IF(H1063="2)",2,IF(H1063="3)",3,IF(H1063="4)",4,IF(H1063="5)",5,IF(H1063="6)",6,IF(H1063="7)",7,IF(H1063="8)",8,0))))))))</f>
        <v/>
      </c>
      <c r="L1064" s="0">
        <f>IF(H1063="1)",J1063,IF(H1063="2)",J1063,IF(H1063="3)",J1063,IF(H1063="4)",J1063,IF(H1063="5)",J1063,IF(H1063="6)",J1063,IF(H1063="7)",J1063,IF(H1063="8)",J1063,0))))))))</f>
        <v/>
      </c>
    </row>
    <row r="1065">
      <c r="A1065" s="0" t="inlineStr">
        <is>
          <t>New</t>
        </is>
      </c>
      <c r="B1065" s="0" t="inlineStr">
        <is>
          <t>Item</t>
        </is>
      </c>
      <c r="C1065" s="0" t="inlineStr">
        <is>
          <t>Acquired</t>
        </is>
      </c>
      <c r="D1065" s="0" t="inlineStr">
        <is>
          <t>:</t>
        </is>
      </c>
      <c r="E1065" s="0" t="inlineStr">
        <is>
          <t>45.00K</t>
        </is>
      </c>
      <c r="F1065" s="0" t="inlineStr">
        <is>
          <t>(3,</t>
        </is>
      </c>
      <c r="G1065" s="0" t="inlineStr">
        <is>
          <t>17)</t>
        </is>
      </c>
      <c r="K1065" s="0">
        <f>IF(H1064="1)",1,IF(H1064="2)",2,IF(H1064="3)",3,IF(H1064="4)",4,IF(H1064="5)",5,IF(H1064="6)",6,IF(H1064="7)",7,IF(H1064="8)",8,0))))))))</f>
        <v/>
      </c>
      <c r="L1065" s="0">
        <f>IF(H1064="1)",J1064,IF(H1064="2)",J1064,IF(H1064="3)",J1064,IF(H1064="4)",J1064,IF(H1064="5)",J1064,IF(H1064="6)",J1064,IF(H1064="7)",J1064,IF(H1064="8)",J1064,0))))))))</f>
        <v/>
      </c>
    </row>
    <row r="1066">
      <c r="A1066" s="0" t="inlineStr">
        <is>
          <t>New</t>
        </is>
      </c>
      <c r="B1066" s="0" t="inlineStr">
        <is>
          <t>Item</t>
        </is>
      </c>
      <c r="C1066" s="0" t="inlineStr">
        <is>
          <t>Acquired</t>
        </is>
      </c>
      <c r="D1066" s="0" t="inlineStr">
        <is>
          <t>:</t>
        </is>
      </c>
      <c r="E1066" s="0" t="inlineStr">
        <is>
          <t>75.00K</t>
        </is>
      </c>
      <c r="F1066" s="0" t="inlineStr">
        <is>
          <t>(4,</t>
        </is>
      </c>
      <c r="G1066" s="0" t="inlineStr">
        <is>
          <t>25)</t>
        </is>
      </c>
      <c r="K1066" s="0">
        <f>IF(H1065="1)",1,IF(H1065="2)",2,IF(H1065="3)",3,IF(H1065="4)",4,IF(H1065="5)",5,IF(H1065="6)",6,IF(H1065="7)",7,IF(H1065="8)",8,0))))))))</f>
        <v/>
      </c>
      <c r="L1066" s="0">
        <f>IF(H1065="1)",J1065,IF(H1065="2)",J1065,IF(H1065="3)",J1065,IF(H1065="4)",J1065,IF(H1065="5)",J1065,IF(H1065="6)",J1065,IF(H1065="7)",J1065,IF(H1065="8)",J1065,0))))))))</f>
        <v/>
      </c>
    </row>
    <row r="1067">
      <c r="A1067" s="0" t="inlineStr">
        <is>
          <t>New</t>
        </is>
      </c>
      <c r="B1067" s="0" t="inlineStr">
        <is>
          <t>Item</t>
        </is>
      </c>
      <c r="C1067" s="0" t="inlineStr">
        <is>
          <t>Acquired</t>
        </is>
      </c>
      <c r="D1067" s="0" t="inlineStr">
        <is>
          <t>:</t>
        </is>
      </c>
      <c r="E1067" s="0" t="inlineStr">
        <is>
          <t>90.00K</t>
        </is>
      </c>
      <c r="F1067" s="0" t="inlineStr">
        <is>
          <t>(7,</t>
        </is>
      </c>
      <c r="G1067" s="0" t="inlineStr">
        <is>
          <t>4)</t>
        </is>
      </c>
      <c r="K1067" s="0">
        <f>IF(H1066="1)",1,IF(H1066="2)",2,IF(H1066="3)",3,IF(H1066="4)",4,IF(H1066="5)",5,IF(H1066="6)",6,IF(H1066="7)",7,IF(H1066="8)",8,0))))))))</f>
        <v/>
      </c>
      <c r="L1067" s="0">
        <f>IF(H1066="1)",J1066,IF(H1066="2)",J1066,IF(H1066="3)",J1066,IF(H1066="4)",J1066,IF(H1066="5)",J1066,IF(H1066="6)",J1066,IF(H1066="7)",J1066,IF(H1066="8)",J1066,0))))))))</f>
        <v/>
      </c>
    </row>
    <row r="1068">
      <c r="A1068" s="0" t="inlineStr">
        <is>
          <t>New</t>
        </is>
      </c>
      <c r="B1068" s="0" t="inlineStr">
        <is>
          <t>Item</t>
        </is>
      </c>
      <c r="C1068" s="0" t="inlineStr">
        <is>
          <t>Acquired</t>
        </is>
      </c>
      <c r="D1068" s="0" t="inlineStr">
        <is>
          <t>:</t>
        </is>
      </c>
      <c r="E1068" s="0" t="inlineStr">
        <is>
          <t>Mini</t>
        </is>
      </c>
      <c r="F1068" s="0" t="inlineStr">
        <is>
          <t>(5,</t>
        </is>
      </c>
      <c r="G1068" s="0" t="inlineStr">
        <is>
          <t>19)</t>
        </is>
      </c>
      <c r="K1068" s="0">
        <f>IF(H1067="1)",1,IF(H1067="2)",2,IF(H1067="3)",3,IF(H1067="4)",4,IF(H1067="5)",5,IF(H1067="6)",6,IF(H1067="7)",7,IF(H1067="8)",8,0))))))))</f>
        <v/>
      </c>
      <c r="L1068" s="0">
        <f>IF(H1067="1)",J1067,IF(H1067="2)",J1067,IF(H1067="3)",J1067,IF(H1067="4)",J1067,IF(H1067="5)",J1067,IF(H1067="6)",J1067,IF(H1067="7)",J1067,IF(H1067="8)",J1067,0))))))))</f>
        <v/>
      </c>
    </row>
    <row r="1069">
      <c r="A1069" s="0" t="inlineStr">
        <is>
          <t>New</t>
        </is>
      </c>
      <c r="B1069" s="0" t="inlineStr">
        <is>
          <t>Item</t>
        </is>
      </c>
      <c r="C1069" s="0" t="inlineStr">
        <is>
          <t>Acquired</t>
        </is>
      </c>
      <c r="D1069" s="0" t="inlineStr">
        <is>
          <t>:</t>
        </is>
      </c>
      <c r="E1069" s="0" t="inlineStr">
        <is>
          <t>50.00K</t>
        </is>
      </c>
      <c r="F1069" s="0" t="inlineStr">
        <is>
          <t>(1,</t>
        </is>
      </c>
      <c r="G1069" s="0" t="inlineStr">
        <is>
          <t>17)</t>
        </is>
      </c>
      <c r="K1069" s="0">
        <f>IF(H1068="1)",1,IF(H1068="2)",2,IF(H1068="3)",3,IF(H1068="4)",4,IF(H1068="5)",5,IF(H1068="6)",6,IF(H1068="7)",7,IF(H1068="8)",8,0))))))))</f>
        <v/>
      </c>
      <c r="L1069" s="0">
        <f>IF(H1068="1)",J1068,IF(H1068="2)",J1068,IF(H1068="3)",J1068,IF(H1068="4)",J1068,IF(H1068="5)",J1068,IF(H1068="6)",J1068,IF(H1068="7)",J1068,IF(H1068="8)",J1068,0))))))))</f>
        <v/>
      </c>
    </row>
    <row r="1070">
      <c r="A1070" s="0" t="inlineStr">
        <is>
          <t>New</t>
        </is>
      </c>
      <c r="B1070" s="0" t="inlineStr">
        <is>
          <t>Item</t>
        </is>
      </c>
      <c r="C1070" s="0" t="inlineStr">
        <is>
          <t>Acquired</t>
        </is>
      </c>
      <c r="D1070" s="0" t="inlineStr">
        <is>
          <t>:</t>
        </is>
      </c>
      <c r="E1070" s="0" t="inlineStr">
        <is>
          <t>37.50K</t>
        </is>
      </c>
      <c r="F1070" s="0" t="inlineStr">
        <is>
          <t>(2,</t>
        </is>
      </c>
      <c r="G1070" s="0" t="inlineStr">
        <is>
          <t>1)</t>
        </is>
      </c>
      <c r="K1070" s="0">
        <f>IF(H1069="1)",1,IF(H1069="2)",2,IF(H1069="3)",3,IF(H1069="4)",4,IF(H1069="5)",5,IF(H1069="6)",6,IF(H1069="7)",7,IF(H1069="8)",8,0))))))))</f>
        <v/>
      </c>
      <c r="L1070" s="0">
        <f>IF(H1069="1)",J1069,IF(H1069="2)",J1069,IF(H1069="3)",J1069,IF(H1069="4)",J1069,IF(H1069="5)",J1069,IF(H1069="6)",J1069,IF(H1069="7)",J1069,IF(H1069="8)",J1069,0))))))))</f>
        <v/>
      </c>
    </row>
    <row r="1071">
      <c r="A1071" s="0" t="inlineStr">
        <is>
          <t>New</t>
        </is>
      </c>
      <c r="B1071" s="0" t="inlineStr">
        <is>
          <t>Item</t>
        </is>
      </c>
      <c r="C1071" s="0" t="inlineStr">
        <is>
          <t>Acquired</t>
        </is>
      </c>
      <c r="D1071" s="0" t="inlineStr">
        <is>
          <t>:</t>
        </is>
      </c>
      <c r="E1071" s="0" t="inlineStr">
        <is>
          <t>200.00K</t>
        </is>
      </c>
      <c r="F1071" s="0" t="inlineStr">
        <is>
          <t>(8,</t>
        </is>
      </c>
      <c r="G1071" s="0" t="inlineStr">
        <is>
          <t>14)</t>
        </is>
      </c>
      <c r="K1071" s="0">
        <f>IF(H1070="1)",1,IF(H1070="2)",2,IF(H1070="3)",3,IF(H1070="4)",4,IF(H1070="5)",5,IF(H1070="6)",6,IF(H1070="7)",7,IF(H1070="8)",8,0))))))))</f>
        <v/>
      </c>
      <c r="L1071" s="0">
        <f>IF(H1070="1)",J1070,IF(H1070="2)",J1070,IF(H1070="3)",J1070,IF(H1070="4)",J1070,IF(H1070="5)",J1070,IF(H1070="6)",J1070,IF(H1070="7)",J1070,IF(H1070="8)",J1070,0))))))))</f>
        <v/>
      </c>
    </row>
    <row r="1072">
      <c r="A1072" s="0" t="inlineStr">
        <is>
          <t>New</t>
        </is>
      </c>
      <c r="B1072" s="0" t="inlineStr">
        <is>
          <t>Item</t>
        </is>
      </c>
      <c r="C1072" s="0" t="inlineStr">
        <is>
          <t>Acquired</t>
        </is>
      </c>
      <c r="D1072" s="0" t="inlineStr">
        <is>
          <t>:</t>
        </is>
      </c>
      <c r="E1072" s="0" t="inlineStr">
        <is>
          <t>62.50K</t>
        </is>
      </c>
      <c r="F1072" s="0" t="inlineStr">
        <is>
          <t>(2,</t>
        </is>
      </c>
      <c r="G1072" s="0" t="inlineStr">
        <is>
          <t>9)</t>
        </is>
      </c>
      <c r="K1072" s="0">
        <f>IF(H1071="1)",1,IF(H1071="2)",2,IF(H1071="3)",3,IF(H1071="4)",4,IF(H1071="5)",5,IF(H1071="6)",6,IF(H1071="7)",7,IF(H1071="8)",8,0))))))))</f>
        <v/>
      </c>
      <c r="L1072" s="0">
        <f>IF(H1071="1)",J1071,IF(H1071="2)",J1071,IF(H1071="3)",J1071,IF(H1071="4)",J1071,IF(H1071="5)",J1071,IF(H1071="6)",J1071,IF(H1071="7)",J1071,IF(H1071="8)",J1071,0))))))))</f>
        <v/>
      </c>
    </row>
    <row r="1073">
      <c r="A1073" s="0" t="inlineStr">
        <is>
          <t>New</t>
        </is>
      </c>
      <c r="B1073" s="0" t="inlineStr">
        <is>
          <t>Item</t>
        </is>
      </c>
      <c r="C1073" s="0" t="inlineStr">
        <is>
          <t>Acquired</t>
        </is>
      </c>
      <c r="D1073" s="0" t="inlineStr">
        <is>
          <t>:</t>
        </is>
      </c>
      <c r="E1073" s="0" t="inlineStr">
        <is>
          <t>30.00K</t>
        </is>
      </c>
      <c r="F1073" s="0" t="inlineStr">
        <is>
          <t>(1,</t>
        </is>
      </c>
      <c r="G1073" s="0" t="inlineStr">
        <is>
          <t>24)</t>
        </is>
      </c>
      <c r="K1073" s="0">
        <f>IF(H1072="1)",1,IF(H1072="2)",2,IF(H1072="3)",3,IF(H1072="4)",4,IF(H1072="5)",5,IF(H1072="6)",6,IF(H1072="7)",7,IF(H1072="8)",8,0))))))))</f>
        <v/>
      </c>
      <c r="L1073" s="0">
        <f>IF(H1072="1)",J1072,IF(H1072="2)",J1072,IF(H1072="3)",J1072,IF(H1072="4)",J1072,IF(H1072="5)",J1072,IF(H1072="6)",J1072,IF(H1072="7)",J1072,IF(H1072="8)",J1072,0))))))))</f>
        <v/>
      </c>
    </row>
    <row r="1074">
      <c r="A1074" s="0" t="inlineStr">
        <is>
          <t>New</t>
        </is>
      </c>
      <c r="B1074" s="0" t="inlineStr">
        <is>
          <t>Item</t>
        </is>
      </c>
      <c r="C1074" s="0" t="inlineStr">
        <is>
          <t>Acquired</t>
        </is>
      </c>
      <c r="D1074" s="0" t="inlineStr">
        <is>
          <t>:</t>
        </is>
      </c>
      <c r="E1074" s="0" t="inlineStr">
        <is>
          <t>67.50K</t>
        </is>
      </c>
      <c r="F1074" s="0" t="inlineStr">
        <is>
          <t>(5,</t>
        </is>
      </c>
      <c r="G1074" s="0" t="inlineStr">
        <is>
          <t>24)</t>
        </is>
      </c>
      <c r="K1074" s="0">
        <f>IF(H1073="1)",1,IF(H1073="2)",2,IF(H1073="3)",3,IF(H1073="4)",4,IF(H1073="5)",5,IF(H1073="6)",6,IF(H1073="7)",7,IF(H1073="8)",8,0))))))))</f>
        <v/>
      </c>
      <c r="L1074" s="0">
        <f>IF(H1073="1)",J1073,IF(H1073="2)",J1073,IF(H1073="3)",J1073,IF(H1073="4)",J1073,IF(H1073="5)",J1073,IF(H1073="6)",J1073,IF(H1073="7)",J1073,IF(H1073="8)",J1073,0))))))))</f>
        <v/>
      </c>
    </row>
    <row r="1075">
      <c r="A1075" s="0" t="inlineStr">
        <is>
          <t>New</t>
        </is>
      </c>
      <c r="B1075" s="0" t="inlineStr">
        <is>
          <t>Item</t>
        </is>
      </c>
      <c r="C1075" s="0" t="inlineStr">
        <is>
          <t>Acquired</t>
        </is>
      </c>
      <c r="D1075" s="0" t="inlineStr">
        <is>
          <t>:</t>
        </is>
      </c>
      <c r="E1075" s="0" t="inlineStr">
        <is>
          <t>Mini</t>
        </is>
      </c>
      <c r="F1075" s="0" t="inlineStr">
        <is>
          <t>(8,</t>
        </is>
      </c>
      <c r="G1075" s="0" t="inlineStr">
        <is>
          <t>3)</t>
        </is>
      </c>
      <c r="K1075" s="0">
        <f>IF(H1074="1)",1,IF(H1074="2)",2,IF(H1074="3)",3,IF(H1074="4)",4,IF(H1074="5)",5,IF(H1074="6)",6,IF(H1074="7)",7,IF(H1074="8)",8,0))))))))</f>
        <v/>
      </c>
      <c r="L1075" s="0">
        <f>IF(H1074="1)",J1074,IF(H1074="2)",J1074,IF(H1074="3)",J1074,IF(H1074="4)",J1074,IF(H1074="5)",J1074,IF(H1074="6)",J1074,IF(H1074="7)",J1074,IF(H1074="8)",J1074,0))))))))</f>
        <v/>
      </c>
    </row>
    <row r="1076">
      <c r="A1076" s="0" t="inlineStr">
        <is>
          <t>Item</t>
        </is>
      </c>
      <c r="B1076" s="0" t="inlineStr">
        <is>
          <t>ReSelect</t>
        </is>
      </c>
      <c r="C1076" s="0" t="inlineStr">
        <is>
          <t>Failed</t>
        </is>
      </c>
      <c r="D1076" s="0" t="inlineStr">
        <is>
          <t>:</t>
        </is>
      </c>
      <c r="E1076" s="0" t="inlineStr">
        <is>
          <t>Attempt</t>
        </is>
      </c>
      <c r="F1076" s="0" t="inlineStr">
        <is>
          <t>Count</t>
        </is>
      </c>
      <c r="G1076" s="0" t="inlineStr">
        <is>
          <t>-</t>
        </is>
      </c>
      <c r="H1076" s="0" t="n">
        <v>3</v>
      </c>
      <c r="K1076" s="0">
        <f>IF(H1075="1)",1,IF(H1075="2)",2,IF(H1075="3)",3,IF(H1075="4)",4,IF(H1075="5)",5,IF(H1075="6)",6,IF(H1075="7)",7,IF(H1075="8)",8,0))))))))</f>
        <v/>
      </c>
      <c r="L1076" s="0">
        <f>IF(H1075="1)",J1075,IF(H1075="2)",J1075,IF(H1075="3)",J1075,IF(H1075="4)",J1075,IF(H1075="5)",J1075,IF(H1075="6)",J1075,IF(H1075="7)",J1075,IF(H1075="8)",J1075,0))))))))</f>
        <v/>
      </c>
    </row>
    <row r="1077">
      <c r="A1077" s="0" t="inlineStr">
        <is>
          <t>New</t>
        </is>
      </c>
      <c r="B1077" s="0" t="inlineStr">
        <is>
          <t>Item</t>
        </is>
      </c>
      <c r="C1077" s="0" t="inlineStr">
        <is>
          <t>Acquired</t>
        </is>
      </c>
      <c r="D1077" s="0" t="inlineStr">
        <is>
          <t>:</t>
        </is>
      </c>
      <c r="E1077" s="0" t="inlineStr">
        <is>
          <t>37.50K</t>
        </is>
      </c>
      <c r="F1077" s="0" t="inlineStr">
        <is>
          <t>(2,</t>
        </is>
      </c>
      <c r="G1077" s="0" t="inlineStr">
        <is>
          <t>8)</t>
        </is>
      </c>
      <c r="K1077" s="0">
        <f>IF(H1076="1)",1,IF(H1076="2)",2,IF(H1076="3)",3,IF(H1076="4)",4,IF(H1076="5)",5,IF(H1076="6)",6,IF(H1076="7)",7,IF(H1076="8)",8,0))))))))</f>
        <v/>
      </c>
      <c r="L1077" s="0">
        <f>IF(H1076="1)",J1076,IF(H1076="2)",J1076,IF(H1076="3)",J1076,IF(H1076="4)",J1076,IF(H1076="5)",J1076,IF(H1076="6)",J1076,IF(H1076="7)",J1076,IF(H1076="8)",J1076,0))))))))</f>
        <v/>
      </c>
    </row>
    <row r="1078">
      <c r="A1078" s="0" t="inlineStr">
        <is>
          <t>New</t>
        </is>
      </c>
      <c r="B1078" s="0" t="inlineStr">
        <is>
          <t>Item</t>
        </is>
      </c>
      <c r="C1078" s="0" t="inlineStr">
        <is>
          <t>Acquired</t>
        </is>
      </c>
      <c r="D1078" s="0" t="inlineStr">
        <is>
          <t>:</t>
        </is>
      </c>
      <c r="E1078" s="0" t="inlineStr">
        <is>
          <t>90.00K</t>
        </is>
      </c>
      <c r="F1078" s="0" t="inlineStr">
        <is>
          <t>(7,</t>
        </is>
      </c>
      <c r="G1078" s="0" t="inlineStr">
        <is>
          <t>23)</t>
        </is>
      </c>
      <c r="K1078" s="0">
        <f>IF(H1077="1)",1,IF(H1077="2)",2,IF(H1077="3)",3,IF(H1077="4)",4,IF(H1077="5)",5,IF(H1077="6)",6,IF(H1077="7)",7,IF(H1077="8)",8,0))))))))</f>
        <v/>
      </c>
      <c r="L1078" s="0">
        <f>IF(H1077="1)",J1077,IF(H1077="2)",J1077,IF(H1077="3)",J1077,IF(H1077="4)",J1077,IF(H1077="5)",J1077,IF(H1077="6)",J1077,IF(H1077="7)",J1077,IF(H1077="8)",J1077,0))))))))</f>
        <v/>
      </c>
    </row>
    <row r="1079">
      <c r="A1079" s="0" t="inlineStr">
        <is>
          <t>New</t>
        </is>
      </c>
      <c r="B1079" s="0" t="inlineStr">
        <is>
          <t>Item</t>
        </is>
      </c>
      <c r="C1079" s="0" t="inlineStr">
        <is>
          <t>Acquired</t>
        </is>
      </c>
      <c r="D1079" s="0" t="inlineStr">
        <is>
          <t>:</t>
        </is>
      </c>
      <c r="E1079" s="0" t="inlineStr">
        <is>
          <t>Minor</t>
        </is>
      </c>
      <c r="F1079" s="0" t="inlineStr">
        <is>
          <t>(6,</t>
        </is>
      </c>
      <c r="G1079" s="0" t="inlineStr">
        <is>
          <t>3)</t>
        </is>
      </c>
      <c r="K1079" s="0">
        <f>IF(H1078="1)",1,IF(H1078="2)",2,IF(H1078="3)",3,IF(H1078="4)",4,IF(H1078="5)",5,IF(H1078="6)",6,IF(H1078="7)",7,IF(H1078="8)",8,0))))))))</f>
        <v/>
      </c>
      <c r="L1079" s="0">
        <f>IF(H1078="1)",J1078,IF(H1078="2)",J1078,IF(H1078="3)",J1078,IF(H1078="4)",J1078,IF(H1078="5)",J1078,IF(H1078="6)",J1078,IF(H1078="7)",J1078,IF(H1078="8)",J1078,0))))))))</f>
        <v/>
      </c>
    </row>
    <row r="1080">
      <c r="A1080" s="0" t="inlineStr">
        <is>
          <t>New</t>
        </is>
      </c>
      <c r="B1080" s="0" t="inlineStr">
        <is>
          <t>Item</t>
        </is>
      </c>
      <c r="C1080" s="0" t="inlineStr">
        <is>
          <t>Acquired</t>
        </is>
      </c>
      <c r="D1080" s="0" t="inlineStr">
        <is>
          <t>:</t>
        </is>
      </c>
      <c r="E1080" s="0" t="inlineStr">
        <is>
          <t>45.00K</t>
        </is>
      </c>
      <c r="F1080" s="0" t="inlineStr">
        <is>
          <t>(3,</t>
        </is>
      </c>
      <c r="G1080" s="0" t="inlineStr">
        <is>
          <t>2)</t>
        </is>
      </c>
      <c r="K1080" s="0">
        <f>IF(H1079="1)",1,IF(H1079="2)",2,IF(H1079="3)",3,IF(H1079="4)",4,IF(H1079="5)",5,IF(H1079="6)",6,IF(H1079="7)",7,IF(H1079="8)",8,0))))))))</f>
        <v/>
      </c>
      <c r="L1080" s="0">
        <f>IF(H1079="1)",J1079,IF(H1079="2)",J1079,IF(H1079="3)",J1079,IF(H1079="4)",J1079,IF(H1079="5)",J1079,IF(H1079="6)",J1079,IF(H1079="7)",J1079,IF(H1079="8)",J1079,0))))))))</f>
        <v/>
      </c>
    </row>
    <row r="1081">
      <c r="A1081" s="0" t="inlineStr">
        <is>
          <t>New</t>
        </is>
      </c>
      <c r="B1081" s="0" t="inlineStr">
        <is>
          <t>Item</t>
        </is>
      </c>
      <c r="C1081" s="0" t="inlineStr">
        <is>
          <t>Acquired</t>
        </is>
      </c>
      <c r="D1081" s="0" t="inlineStr">
        <is>
          <t>:</t>
        </is>
      </c>
      <c r="E1081" s="0" t="inlineStr">
        <is>
          <t>112.50K</t>
        </is>
      </c>
      <c r="F1081" s="0" t="inlineStr">
        <is>
          <t>(5,</t>
        </is>
      </c>
      <c r="G1081" s="0" t="inlineStr">
        <is>
          <t>21)</t>
        </is>
      </c>
      <c r="K1081" s="0">
        <f>IF(H1080="1)",1,IF(H1080="2)",2,IF(H1080="3)",3,IF(H1080="4)",4,IF(H1080="5)",5,IF(H1080="6)",6,IF(H1080="7)",7,IF(H1080="8)",8,0))))))))</f>
        <v/>
      </c>
      <c r="L1081" s="0">
        <f>IF(H1080="1)",J1080,IF(H1080="2)",J1080,IF(H1080="3)",J1080,IF(H1080="4)",J1080,IF(H1080="5)",J1080,IF(H1080="6)",J1080,IF(H1080="7)",J1080,IF(H1080="8)",J1080,0))))))))</f>
        <v/>
      </c>
    </row>
    <row r="1082">
      <c r="A1082" s="0" t="inlineStr">
        <is>
          <t>New</t>
        </is>
      </c>
      <c r="B1082" s="0" t="inlineStr">
        <is>
          <t>Item</t>
        </is>
      </c>
      <c r="C1082" s="0" t="inlineStr">
        <is>
          <t>Acquired</t>
        </is>
      </c>
      <c r="D1082" s="0" t="inlineStr">
        <is>
          <t>:</t>
        </is>
      </c>
      <c r="E1082" s="0" t="inlineStr">
        <is>
          <t>75.00K</t>
        </is>
      </c>
      <c r="F1082" s="0" t="inlineStr">
        <is>
          <t>(6,</t>
        </is>
      </c>
      <c r="G1082" s="0" t="inlineStr">
        <is>
          <t>11)</t>
        </is>
      </c>
      <c r="K1082" s="0">
        <f>IF(H1081="1)",1,IF(H1081="2)",2,IF(H1081="3)",3,IF(H1081="4)",4,IF(H1081="5)",5,IF(H1081="6)",6,IF(H1081="7)",7,IF(H1081="8)",8,0))))))))</f>
        <v/>
      </c>
      <c r="L1082" s="0">
        <f>IF(H1081="1)",J1081,IF(H1081="2)",J1081,IF(H1081="3)",J1081,IF(H1081="4)",J1081,IF(H1081="5)",J1081,IF(H1081="6)",J1081,IF(H1081="7)",J1081,IF(H1081="8)",J1081,0))))))))</f>
        <v/>
      </c>
    </row>
    <row r="1083">
      <c r="A1083" s="0" t="inlineStr">
        <is>
          <t>New</t>
        </is>
      </c>
      <c r="B1083" s="0" t="inlineStr">
        <is>
          <t>Item</t>
        </is>
      </c>
      <c r="C1083" s="0" t="inlineStr">
        <is>
          <t>Acquired</t>
        </is>
      </c>
      <c r="D1083" s="0" t="inlineStr">
        <is>
          <t>:</t>
        </is>
      </c>
      <c r="E1083" s="0" t="inlineStr">
        <is>
          <t>157.50K</t>
        </is>
      </c>
      <c r="F1083" s="0" t="inlineStr">
        <is>
          <t>(5,</t>
        </is>
      </c>
      <c r="G1083" s="0" t="inlineStr">
        <is>
          <t>2)</t>
        </is>
      </c>
      <c r="K1083" s="0">
        <f>IF(H1082="1)",1,IF(H1082="2)",2,IF(H1082="3)",3,IF(H1082="4)",4,IF(H1082="5)",5,IF(H1082="6)",6,IF(H1082="7)",7,IF(H1082="8)",8,0))))))))</f>
        <v/>
      </c>
      <c r="L1083" s="0">
        <f>IF(H1082="1)",J1082,IF(H1082="2)",J1082,IF(H1082="3)",J1082,IF(H1082="4)",J1082,IF(H1082="5)",J1082,IF(H1082="6)",J1082,IF(H1082="7)",J1082,IF(H1082="8)",J1082,0))))))))</f>
        <v/>
      </c>
    </row>
    <row r="1084">
      <c r="A1084" s="0" t="inlineStr">
        <is>
          <t>New</t>
        </is>
      </c>
      <c r="B1084" s="0" t="inlineStr">
        <is>
          <t>Item</t>
        </is>
      </c>
      <c r="C1084" s="0" t="inlineStr">
        <is>
          <t>Acquired</t>
        </is>
      </c>
      <c r="D1084" s="0" t="inlineStr">
        <is>
          <t>:</t>
        </is>
      </c>
      <c r="E1084" s="0" t="inlineStr">
        <is>
          <t>75.00K</t>
        </is>
      </c>
      <c r="F1084" s="0" t="inlineStr">
        <is>
          <t>(3,</t>
        </is>
      </c>
      <c r="G1084" s="0" t="inlineStr">
        <is>
          <t>9)</t>
        </is>
      </c>
      <c r="K1084" s="0">
        <f>IF(H1083="1)",1,IF(H1083="2)",2,IF(H1083="3)",3,IF(H1083="4)",4,IF(H1083="5)",5,IF(H1083="6)",6,IF(H1083="7)",7,IF(H1083="8)",8,0))))))))</f>
        <v/>
      </c>
      <c r="L1084" s="0">
        <f>IF(H1083="1)",J1083,IF(H1083="2)",J1083,IF(H1083="3)",J1083,IF(H1083="4)",J1083,IF(H1083="5)",J1083,IF(H1083="6)",J1083,IF(H1083="7)",J1083,IF(H1083="8)",J1083,0))))))))</f>
        <v/>
      </c>
    </row>
    <row r="1085">
      <c r="A1085" s="0" t="inlineStr">
        <is>
          <t>New</t>
        </is>
      </c>
      <c r="B1085" s="0" t="inlineStr">
        <is>
          <t>Item</t>
        </is>
      </c>
      <c r="C1085" s="0" t="inlineStr">
        <is>
          <t>Acquired</t>
        </is>
      </c>
      <c r="D1085" s="0" t="inlineStr">
        <is>
          <t>:</t>
        </is>
      </c>
      <c r="E1085" s="0" t="inlineStr">
        <is>
          <t>Mini</t>
        </is>
      </c>
      <c r="F1085" s="0" t="inlineStr">
        <is>
          <t>(6,</t>
        </is>
      </c>
      <c r="G1085" s="0" t="inlineStr">
        <is>
          <t>22)</t>
        </is>
      </c>
      <c r="K1085" s="0">
        <f>IF(H1084="1)",1,IF(H1084="2)",2,IF(H1084="3)",3,IF(H1084="4)",4,IF(H1084="5)",5,IF(H1084="6)",6,IF(H1084="7)",7,IF(H1084="8)",8,0))))))))</f>
        <v/>
      </c>
      <c r="L1085" s="0">
        <f>IF(H1084="1)",J1084,IF(H1084="2)",J1084,IF(H1084="3)",J1084,IF(H1084="4)",J1084,IF(H1084="5)",J1084,IF(H1084="6)",J1084,IF(H1084="7)",J1084,IF(H1084="8)",J1084,0))))))))</f>
        <v/>
      </c>
    </row>
    <row r="1086">
      <c r="A1086" s="0" t="inlineStr">
        <is>
          <t>New</t>
        </is>
      </c>
      <c r="B1086" s="0" t="inlineStr">
        <is>
          <t>Item</t>
        </is>
      </c>
      <c r="C1086" s="0" t="inlineStr">
        <is>
          <t>Acquired</t>
        </is>
      </c>
      <c r="D1086" s="0" t="inlineStr">
        <is>
          <t>:</t>
        </is>
      </c>
      <c r="E1086" s="0" t="inlineStr">
        <is>
          <t>150.00K</t>
        </is>
      </c>
      <c r="F1086" s="0" t="inlineStr">
        <is>
          <t>(7,</t>
        </is>
      </c>
      <c r="G1086" s="0" t="inlineStr">
        <is>
          <t>17)</t>
        </is>
      </c>
      <c r="K1086" s="0">
        <f>IF(H1085="1)",1,IF(H1085="2)",2,IF(H1085="3)",3,IF(H1085="4)",4,IF(H1085="5)",5,IF(H1085="6)",6,IF(H1085="7)",7,IF(H1085="8)",8,0))))))))</f>
        <v/>
      </c>
      <c r="L1086" s="0">
        <f>IF(H1085="1)",J1085,IF(H1085="2)",J1085,IF(H1085="3)",J1085,IF(H1085="4)",J1085,IF(H1085="5)",J1085,IF(H1085="6)",J1085,IF(H1085="7)",J1085,IF(H1085="8)",J1085,0))))))))</f>
        <v/>
      </c>
    </row>
    <row r="1087">
      <c r="A1087" s="0" t="inlineStr">
        <is>
          <t>New</t>
        </is>
      </c>
      <c r="B1087" s="0" t="inlineStr">
        <is>
          <t>Item</t>
        </is>
      </c>
      <c r="C1087" s="0" t="inlineStr">
        <is>
          <t>Acquired</t>
        </is>
      </c>
      <c r="D1087" s="0" t="inlineStr">
        <is>
          <t>:</t>
        </is>
      </c>
      <c r="E1087" s="0" t="inlineStr">
        <is>
          <t>75.00K</t>
        </is>
      </c>
      <c r="F1087" s="0" t="inlineStr">
        <is>
          <t>(6,</t>
        </is>
      </c>
      <c r="G1087" s="0" t="inlineStr">
        <is>
          <t>20)</t>
        </is>
      </c>
      <c r="K1087" s="0">
        <f>IF(H1086="1)",1,IF(H1086="2)",2,IF(H1086="3)",3,IF(H1086="4)",4,IF(H1086="5)",5,IF(H1086="6)",6,IF(H1086="7)",7,IF(H1086="8)",8,0))))))))</f>
        <v/>
      </c>
      <c r="L1087" s="0">
        <f>IF(H1086="1)",J1086,IF(H1086="2)",J1086,IF(H1086="3)",J1086,IF(H1086="4)",J1086,IF(H1086="5)",J1086,IF(H1086="6)",J1086,IF(H1086="7)",J1086,IF(H1086="8)",J1086,0))))))))</f>
        <v/>
      </c>
    </row>
    <row r="1088">
      <c r="A1088" s="0" t="inlineStr">
        <is>
          <t>New</t>
        </is>
      </c>
      <c r="B1088" s="0" t="inlineStr">
        <is>
          <t>Item</t>
        </is>
      </c>
      <c r="C1088" s="0" t="inlineStr">
        <is>
          <t>Acquired</t>
        </is>
      </c>
      <c r="D1088" s="0" t="inlineStr">
        <is>
          <t>:</t>
        </is>
      </c>
      <c r="E1088" s="0" t="inlineStr">
        <is>
          <t>45.00K</t>
        </is>
      </c>
      <c r="F1088" s="0" t="inlineStr">
        <is>
          <t>(3,</t>
        </is>
      </c>
      <c r="G1088" s="0" t="inlineStr">
        <is>
          <t>15)</t>
        </is>
      </c>
      <c r="K1088" s="0">
        <f>IF(H1087="1)",1,IF(H1087="2)",2,IF(H1087="3)",3,IF(H1087="4)",4,IF(H1087="5)",5,IF(H1087="6)",6,IF(H1087="7)",7,IF(H1087="8)",8,0))))))))</f>
        <v/>
      </c>
      <c r="L1088" s="0">
        <f>IF(H1087="1)",J1087,IF(H1087="2)",J1087,IF(H1087="3)",J1087,IF(H1087="4)",J1087,IF(H1087="5)",J1087,IF(H1087="6)",J1087,IF(H1087="7)",J1087,IF(H1087="8)",J1087,0))))))))</f>
        <v/>
      </c>
    </row>
    <row r="1089">
      <c r="A1089" s="0" t="inlineStr">
        <is>
          <t>New</t>
        </is>
      </c>
      <c r="B1089" s="0" t="inlineStr">
        <is>
          <t>Item</t>
        </is>
      </c>
      <c r="C1089" s="0" t="inlineStr">
        <is>
          <t>Acquired</t>
        </is>
      </c>
      <c r="D1089" s="0" t="inlineStr">
        <is>
          <t>:</t>
        </is>
      </c>
      <c r="E1089" s="0" t="inlineStr">
        <is>
          <t>150.00K</t>
        </is>
      </c>
      <c r="F1089" s="0" t="inlineStr">
        <is>
          <t>(7,</t>
        </is>
      </c>
      <c r="G1089" s="0" t="inlineStr">
        <is>
          <t>1)</t>
        </is>
      </c>
      <c r="K1089" s="0">
        <f>IF(H1088="1)",1,IF(H1088="2)",2,IF(H1088="3)",3,IF(H1088="4)",4,IF(H1088="5)",5,IF(H1088="6)",6,IF(H1088="7)",7,IF(H1088="8)",8,0))))))))</f>
        <v/>
      </c>
      <c r="L1089" s="0">
        <f>IF(H1088="1)",J1088,IF(H1088="2)",J1088,IF(H1088="3)",J1088,IF(H1088="4)",J1088,IF(H1088="5)",J1088,IF(H1088="6)",J1088,IF(H1088="7)",J1088,IF(H1088="8)",J1088,0))))))))</f>
        <v/>
      </c>
    </row>
    <row r="1090">
      <c r="A1090" s="0" t="inlineStr">
        <is>
          <t>New</t>
        </is>
      </c>
      <c r="B1090" s="0" t="inlineStr">
        <is>
          <t>Item</t>
        </is>
      </c>
      <c r="C1090" s="0" t="inlineStr">
        <is>
          <t>Acquired</t>
        </is>
      </c>
      <c r="D1090" s="0" t="inlineStr">
        <is>
          <t>:</t>
        </is>
      </c>
      <c r="E1090" s="0" t="inlineStr">
        <is>
          <t>67.50K</t>
        </is>
      </c>
      <c r="F1090" s="0" t="inlineStr">
        <is>
          <t>(5,</t>
        </is>
      </c>
      <c r="G1090" s="0" t="inlineStr">
        <is>
          <t>7)</t>
        </is>
      </c>
      <c r="K1090" s="0">
        <f>IF(H1089="1)",1,IF(H1089="2)",2,IF(H1089="3)",3,IF(H1089="4)",4,IF(H1089="5)",5,IF(H1089="6)",6,IF(H1089="7)",7,IF(H1089="8)",8,0))))))))</f>
        <v/>
      </c>
      <c r="L1090" s="0">
        <f>IF(H1089="1)",J1089,IF(H1089="2)",J1089,IF(H1089="3)",J1089,IF(H1089="4)",J1089,IF(H1089="5)",J1089,IF(H1089="6)",J1089,IF(H1089="7)",J1089,IF(H1089="8)",J1089,0))))))))</f>
        <v/>
      </c>
    </row>
    <row r="1091">
      <c r="A1091" s="0" t="inlineStr">
        <is>
          <t>New</t>
        </is>
      </c>
      <c r="B1091" s="0" t="inlineStr">
        <is>
          <t>Item</t>
        </is>
      </c>
      <c r="C1091" s="0" t="inlineStr">
        <is>
          <t>Acquired</t>
        </is>
      </c>
      <c r="D1091" s="0" t="inlineStr">
        <is>
          <t>:</t>
        </is>
      </c>
      <c r="E1091" s="0" t="inlineStr">
        <is>
          <t>67.50K</t>
        </is>
      </c>
      <c r="F1091" s="0" t="inlineStr">
        <is>
          <t>(5,</t>
        </is>
      </c>
      <c r="G1091" s="0" t="inlineStr">
        <is>
          <t>10)</t>
        </is>
      </c>
      <c r="K1091" s="0">
        <f>IF(H1090="1)",1,IF(H1090="2)",2,IF(H1090="3)",3,IF(H1090="4)",4,IF(H1090="5)",5,IF(H1090="6)",6,IF(H1090="7)",7,IF(H1090="8)",8,0))))))))</f>
        <v/>
      </c>
      <c r="L1091" s="0">
        <f>IF(H1090="1)",J1090,IF(H1090="2)",J1090,IF(H1090="3)",J1090,IF(H1090="4)",J1090,IF(H1090="5)",J1090,IF(H1090="6)",J1090,IF(H1090="7)",J1090,IF(H1090="8)",J1090,0))))))))</f>
        <v/>
      </c>
    </row>
    <row r="1092">
      <c r="A1092" s="0" t="inlineStr">
        <is>
          <t>New</t>
        </is>
      </c>
      <c r="B1092" s="0" t="inlineStr">
        <is>
          <t>Item</t>
        </is>
      </c>
      <c r="C1092" s="0" t="inlineStr">
        <is>
          <t>Acquired</t>
        </is>
      </c>
      <c r="D1092" s="0" t="inlineStr">
        <is>
          <t>:</t>
        </is>
      </c>
      <c r="E1092" s="0" t="inlineStr">
        <is>
          <t>Major</t>
        </is>
      </c>
      <c r="F1092" s="0" t="inlineStr">
        <is>
          <t>(6,</t>
        </is>
      </c>
      <c r="G1092" s="0" t="inlineStr">
        <is>
          <t>12)</t>
        </is>
      </c>
      <c r="K1092" s="0">
        <f>IF(H1091="1)",1,IF(H1091="2)",2,IF(H1091="3)",3,IF(H1091="4)",4,IF(H1091="5)",5,IF(H1091="6)",6,IF(H1091="7)",7,IF(H1091="8)",8,0))))))))</f>
        <v/>
      </c>
      <c r="L1092" s="0">
        <f>IF(H1091="1)",J1091,IF(H1091="2)",J1091,IF(H1091="3)",J1091,IF(H1091="4)",J1091,IF(H1091="5)",J1091,IF(H1091="6)",J1091,IF(H1091="7)",J1091,IF(H1091="8)",J1091,0))))))))</f>
        <v/>
      </c>
    </row>
    <row r="1093">
      <c r="A1093" s="0" t="inlineStr">
        <is>
          <t>New</t>
        </is>
      </c>
      <c r="B1093" s="0" t="inlineStr">
        <is>
          <t>Item</t>
        </is>
      </c>
      <c r="C1093" s="0" t="inlineStr">
        <is>
          <t>Acquired</t>
        </is>
      </c>
      <c r="D1093" s="0" t="inlineStr">
        <is>
          <t>:</t>
        </is>
      </c>
      <c r="E1093" s="0" t="inlineStr">
        <is>
          <t>Minor</t>
        </is>
      </c>
      <c r="F1093" s="0" t="inlineStr">
        <is>
          <t>(8,</t>
        </is>
      </c>
      <c r="G1093" s="0" t="inlineStr">
        <is>
          <t>24)</t>
        </is>
      </c>
      <c r="K1093" s="0">
        <f>IF(H1092="1)",1,IF(H1092="2)",2,IF(H1092="3)",3,IF(H1092="4)",4,IF(H1092="5)",5,IF(H1092="6)",6,IF(H1092="7)",7,IF(H1092="8)",8,0))))))))</f>
        <v/>
      </c>
      <c r="L1093" s="0">
        <f>IF(H1092="1)",J1092,IF(H1092="2)",J1092,IF(H1092="3)",J1092,IF(H1092="4)",J1092,IF(H1092="5)",J1092,IF(H1092="6)",J1092,IF(H1092="7)",J1092,IF(H1092="8)",J1092,0))))))))</f>
        <v/>
      </c>
    </row>
    <row r="1094">
      <c r="A1094" s="0" t="inlineStr">
        <is>
          <t>New</t>
        </is>
      </c>
      <c r="B1094" s="0" t="inlineStr">
        <is>
          <t>Item</t>
        </is>
      </c>
      <c r="C1094" s="0" t="inlineStr">
        <is>
          <t>Acquired</t>
        </is>
      </c>
      <c r="D1094" s="0" t="inlineStr">
        <is>
          <t>:</t>
        </is>
      </c>
      <c r="E1094" s="0" t="inlineStr">
        <is>
          <t>62.50K</t>
        </is>
      </c>
      <c r="F1094" s="0" t="inlineStr">
        <is>
          <t>(2,</t>
        </is>
      </c>
      <c r="G1094" s="0" t="inlineStr">
        <is>
          <t>10)</t>
        </is>
      </c>
      <c r="K1094" s="0">
        <f>IF(H1093="1)",1,IF(H1093="2)",2,IF(H1093="3)",3,IF(H1093="4)",4,IF(H1093="5)",5,IF(H1093="6)",6,IF(H1093="7)",7,IF(H1093="8)",8,0))))))))</f>
        <v/>
      </c>
      <c r="L1094" s="0">
        <f>IF(H1093="1)",J1093,IF(H1093="2)",J1093,IF(H1093="3)",J1093,IF(H1093="4)",J1093,IF(H1093="5)",J1093,IF(H1093="6)",J1093,IF(H1093="7)",J1093,IF(H1093="8)",J1093,0))))))))</f>
        <v/>
      </c>
    </row>
    <row r="1095">
      <c r="A1095" s="0" t="inlineStr">
        <is>
          <t>New</t>
        </is>
      </c>
      <c r="B1095" s="0" t="inlineStr">
        <is>
          <t>Item</t>
        </is>
      </c>
      <c r="C1095" s="0" t="inlineStr">
        <is>
          <t>Acquired</t>
        </is>
      </c>
      <c r="D1095" s="0" t="inlineStr">
        <is>
          <t>:</t>
        </is>
      </c>
      <c r="E1095" s="0" t="inlineStr">
        <is>
          <t>37.50K</t>
        </is>
      </c>
      <c r="F1095" s="0" t="inlineStr">
        <is>
          <t>(2,</t>
        </is>
      </c>
      <c r="G1095" s="0" t="inlineStr">
        <is>
          <t>3)</t>
        </is>
      </c>
      <c r="K1095" s="0">
        <f>IF(H1094="1)",1,IF(H1094="2)",2,IF(H1094="3)",3,IF(H1094="4)",4,IF(H1094="5)",5,IF(H1094="6)",6,IF(H1094="7)",7,IF(H1094="8)",8,0))))))))</f>
        <v/>
      </c>
      <c r="L1095" s="0">
        <f>IF(H1094="1)",J1094,IF(H1094="2)",J1094,IF(H1094="3)",J1094,IF(H1094="4)",J1094,IF(H1094="5)",J1094,IF(H1094="6)",J1094,IF(H1094="7)",J1094,IF(H1094="8)",J1094,0))))))))</f>
        <v/>
      </c>
    </row>
    <row r="1096">
      <c r="A1096" s="0" t="inlineStr">
        <is>
          <t>New</t>
        </is>
      </c>
      <c r="B1096" s="0" t="inlineStr">
        <is>
          <t>Item</t>
        </is>
      </c>
      <c r="C1096" s="0" t="inlineStr">
        <is>
          <t>Acquired</t>
        </is>
      </c>
      <c r="D1096" s="0" t="inlineStr">
        <is>
          <t>:</t>
        </is>
      </c>
      <c r="E1096" s="0" t="inlineStr">
        <is>
          <t>67.50K</t>
        </is>
      </c>
      <c r="F1096" s="0" t="inlineStr">
        <is>
          <t>(5,</t>
        </is>
      </c>
      <c r="G1096" s="0" t="inlineStr">
        <is>
          <t>16)</t>
        </is>
      </c>
      <c r="K1096" s="0">
        <f>IF(H1095="1)",1,IF(H1095="2)",2,IF(H1095="3)",3,IF(H1095="4)",4,IF(H1095="5)",5,IF(H1095="6)",6,IF(H1095="7)",7,IF(H1095="8)",8,0))))))))</f>
        <v/>
      </c>
      <c r="L1096" s="0">
        <f>IF(H1095="1)",J1095,IF(H1095="2)",J1095,IF(H1095="3)",J1095,IF(H1095="4)",J1095,IF(H1095="5)",J1095,IF(H1095="6)",J1095,IF(H1095="7)",J1095,IF(H1095="8)",J1095,0))))))))</f>
        <v/>
      </c>
    </row>
    <row r="1097">
      <c r="A1097" s="0" t="inlineStr">
        <is>
          <t>New</t>
        </is>
      </c>
      <c r="B1097" s="0" t="inlineStr">
        <is>
          <t>Item</t>
        </is>
      </c>
      <c r="C1097" s="0" t="inlineStr">
        <is>
          <t>Acquired</t>
        </is>
      </c>
      <c r="D1097" s="0" t="inlineStr">
        <is>
          <t>:</t>
        </is>
      </c>
      <c r="E1097" s="0" t="inlineStr">
        <is>
          <t>Mini</t>
        </is>
      </c>
      <c r="F1097" s="0" t="inlineStr">
        <is>
          <t>(4,</t>
        </is>
      </c>
      <c r="G1097" s="0" t="inlineStr">
        <is>
          <t>18)</t>
        </is>
      </c>
      <c r="K1097" s="0">
        <f>IF(H1096="1)",1,IF(H1096="2)",2,IF(H1096="3)",3,IF(H1096="4)",4,IF(H1096="5)",5,IF(H1096="6)",6,IF(H1096="7)",7,IF(H1096="8)",8,0))))))))</f>
        <v/>
      </c>
      <c r="L1097" s="0">
        <f>IF(H1096="1)",J1096,IF(H1096="2)",J1096,IF(H1096="3)",J1096,IF(H1096="4)",J1096,IF(H1096="5)",J1096,IF(H1096="6)",J1096,IF(H1096="7)",J1096,IF(H1096="8)",J1096,0))))))))</f>
        <v/>
      </c>
    </row>
    <row r="1098">
      <c r="A1098" s="0" t="inlineStr">
        <is>
          <t>New</t>
        </is>
      </c>
      <c r="B1098" s="0" t="inlineStr">
        <is>
          <t>Item</t>
        </is>
      </c>
      <c r="C1098" s="0" t="inlineStr">
        <is>
          <t>Acquired</t>
        </is>
      </c>
      <c r="D1098" s="0" t="inlineStr">
        <is>
          <t>:</t>
        </is>
      </c>
      <c r="E1098" s="0" t="inlineStr">
        <is>
          <t>175.00K</t>
        </is>
      </c>
      <c r="F1098" s="0" t="inlineStr">
        <is>
          <t>(6,</t>
        </is>
      </c>
      <c r="G1098" s="0" t="inlineStr">
        <is>
          <t>5)</t>
        </is>
      </c>
      <c r="K1098" s="0">
        <f>IF(H1097="1)",1,IF(H1097="2)",2,IF(H1097="3)",3,IF(H1097="4)",4,IF(H1097="5)",5,IF(H1097="6)",6,IF(H1097="7)",7,IF(H1097="8)",8,0))))))))</f>
        <v/>
      </c>
      <c r="L1098" s="0">
        <f>IF(H1097="1)",J1097,IF(H1097="2)",J1097,IF(H1097="3)",J1097,IF(H1097="4)",J1097,IF(H1097="5)",J1097,IF(H1097="6)",J1097,IF(H1097="7)",J1097,IF(H1097="8)",J1097,0))))))))</f>
        <v/>
      </c>
    </row>
    <row r="1099">
      <c r="A1099" s="0" t="inlineStr">
        <is>
          <t>New</t>
        </is>
      </c>
      <c r="B1099" s="0" t="inlineStr">
        <is>
          <t>Item</t>
        </is>
      </c>
      <c r="C1099" s="0" t="inlineStr">
        <is>
          <t>Acquired</t>
        </is>
      </c>
      <c r="D1099" s="0" t="inlineStr">
        <is>
          <t>:</t>
        </is>
      </c>
      <c r="E1099" s="0" t="inlineStr">
        <is>
          <t>45.00K</t>
        </is>
      </c>
      <c r="F1099" s="0" t="inlineStr">
        <is>
          <t>(3,</t>
        </is>
      </c>
      <c r="G1099" s="0" t="inlineStr">
        <is>
          <t>19)</t>
        </is>
      </c>
      <c r="K1099" s="0">
        <f>IF(H1098="1)",1,IF(H1098="2)",2,IF(H1098="3)",3,IF(H1098="4)",4,IF(H1098="5)",5,IF(H1098="6)",6,IF(H1098="7)",7,IF(H1098="8)",8,0))))))))</f>
        <v/>
      </c>
      <c r="L1099" s="0">
        <f>IF(H1098="1)",J1098,IF(H1098="2)",J1098,IF(H1098="3)",J1098,IF(H1098="4)",J1098,IF(H1098="5)",J1098,IF(H1098="6)",J1098,IF(H1098="7)",J1098,IF(H1098="8)",J1098,0))))))))</f>
        <v/>
      </c>
    </row>
    <row r="1100">
      <c r="A1100" s="0" t="inlineStr">
        <is>
          <t>New</t>
        </is>
      </c>
      <c r="B1100" s="0" t="inlineStr">
        <is>
          <t>Item</t>
        </is>
      </c>
      <c r="C1100" s="0" t="inlineStr">
        <is>
          <t>Acquired</t>
        </is>
      </c>
      <c r="D1100" s="0" t="inlineStr">
        <is>
          <t>:</t>
        </is>
      </c>
      <c r="E1100" s="0" t="inlineStr">
        <is>
          <t>87.50K</t>
        </is>
      </c>
      <c r="F1100" s="0" t="inlineStr">
        <is>
          <t>(2,</t>
        </is>
      </c>
      <c r="G1100" s="0" t="inlineStr">
        <is>
          <t>17)</t>
        </is>
      </c>
      <c r="K1100" s="0">
        <f>IF(H1099="1)",1,IF(H1099="2)",2,IF(H1099="3)",3,IF(H1099="4)",4,IF(H1099="5)",5,IF(H1099="6)",6,IF(H1099="7)",7,IF(H1099="8)",8,0))))))))</f>
        <v/>
      </c>
      <c r="L1100" s="0">
        <f>IF(H1099="1)",J1099,IF(H1099="2)",J1099,IF(H1099="3)",J1099,IF(H1099="4)",J1099,IF(H1099="5)",J1099,IF(H1099="6)",J1099,IF(H1099="7)",J1099,IF(H1099="8)",J1099,0))))))))</f>
        <v/>
      </c>
    </row>
    <row r="1101">
      <c r="A1101" s="0" t="inlineStr">
        <is>
          <t>New</t>
        </is>
      </c>
      <c r="B1101" s="0" t="inlineStr">
        <is>
          <t>Item</t>
        </is>
      </c>
      <c r="C1101" s="0" t="inlineStr">
        <is>
          <t>Acquired</t>
        </is>
      </c>
      <c r="D1101" s="0" t="inlineStr">
        <is>
          <t>:</t>
        </is>
      </c>
      <c r="E1101" s="0" t="inlineStr">
        <is>
          <t>105.00K</t>
        </is>
      </c>
      <c r="F1101" s="0" t="inlineStr">
        <is>
          <t>(3,</t>
        </is>
      </c>
      <c r="G1101" s="0" t="inlineStr">
        <is>
          <t>8)</t>
        </is>
      </c>
      <c r="K1101" s="0">
        <f>IF(H1100="1)",1,IF(H1100="2)",2,IF(H1100="3)",3,IF(H1100="4)",4,IF(H1100="5)",5,IF(H1100="6)",6,IF(H1100="7)",7,IF(H1100="8)",8,0))))))))</f>
        <v/>
      </c>
      <c r="L1101" s="0">
        <f>IF(H1100="1)",J1100,IF(H1100="2)",J1100,IF(H1100="3)",J1100,IF(H1100="4)",J1100,IF(H1100="5)",J1100,IF(H1100="6)",J1100,IF(H1100="7)",J1100,IF(H1100="8)",J1100,0))))))))</f>
        <v/>
      </c>
    </row>
    <row r="1102">
      <c r="A1102" s="0" t="inlineStr">
        <is>
          <t>New</t>
        </is>
      </c>
      <c r="B1102" s="0" t="inlineStr">
        <is>
          <t>Item</t>
        </is>
      </c>
      <c r="C1102" s="0" t="inlineStr">
        <is>
          <t>Acquired</t>
        </is>
      </c>
      <c r="D1102" s="0" t="inlineStr">
        <is>
          <t>:</t>
        </is>
      </c>
      <c r="E1102" s="0" t="inlineStr">
        <is>
          <t>150.00K</t>
        </is>
      </c>
      <c r="F1102" s="0" t="inlineStr">
        <is>
          <t>(7,</t>
        </is>
      </c>
      <c r="G1102" s="0" t="inlineStr">
        <is>
          <t>18)</t>
        </is>
      </c>
      <c r="K1102" s="0">
        <f>IF(H1101="1)",1,IF(H1101="2)",2,IF(H1101="3)",3,IF(H1101="4)",4,IF(H1101="5)",5,IF(H1101="6)",6,IF(H1101="7)",7,IF(H1101="8)",8,0))))))))</f>
        <v/>
      </c>
      <c r="L1102" s="0">
        <f>IF(H1101="1)",J1101,IF(H1101="2)",J1101,IF(H1101="3)",J1101,IF(H1101="4)",J1101,IF(H1101="5)",J1101,IF(H1101="6)",J1101,IF(H1101="7)",J1101,IF(H1101="8)",J1101,0))))))))</f>
        <v/>
      </c>
    </row>
    <row r="1103">
      <c r="A1103" s="0" t="inlineStr">
        <is>
          <t>New</t>
        </is>
      </c>
      <c r="B1103" s="0" t="inlineStr">
        <is>
          <t>Item</t>
        </is>
      </c>
      <c r="C1103" s="0" t="inlineStr">
        <is>
          <t>Acquired</t>
        </is>
      </c>
      <c r="D1103" s="0" t="inlineStr">
        <is>
          <t>:</t>
        </is>
      </c>
      <c r="E1103" s="0" t="inlineStr">
        <is>
          <t>280.00K</t>
        </is>
      </c>
      <c r="F1103" s="0" t="inlineStr">
        <is>
          <t>(8,</t>
        </is>
      </c>
      <c r="G1103" s="0" t="inlineStr">
        <is>
          <t>2)</t>
        </is>
      </c>
      <c r="K1103" s="0">
        <f>IF(H1102="1)",1,IF(H1102="2)",2,IF(H1102="3)",3,IF(H1102="4)",4,IF(H1102="5)",5,IF(H1102="6)",6,IF(H1102="7)",7,IF(H1102="8)",8,0))))))))</f>
        <v/>
      </c>
      <c r="L1103" s="0">
        <f>IF(H1102="1)",J1102,IF(H1102="2)",J1102,IF(H1102="3)",J1102,IF(H1102="4)",J1102,IF(H1102="5)",J1102,IF(H1102="6)",J1102,IF(H1102="7)",J1102,IF(H1102="8)",J1102,0))))))))</f>
        <v/>
      </c>
    </row>
    <row r="1104">
      <c r="A1104" s="0" t="inlineStr">
        <is>
          <t>New</t>
        </is>
      </c>
      <c r="B1104" s="0" t="inlineStr">
        <is>
          <t>Item</t>
        </is>
      </c>
      <c r="C1104" s="0" t="inlineStr">
        <is>
          <t>Acquired</t>
        </is>
      </c>
      <c r="D1104" s="0" t="inlineStr">
        <is>
          <t>:</t>
        </is>
      </c>
      <c r="E1104" s="0" t="inlineStr">
        <is>
          <t>150.00K</t>
        </is>
      </c>
      <c r="F1104" s="0" t="inlineStr">
        <is>
          <t>(7,</t>
        </is>
      </c>
      <c r="G1104" s="0" t="inlineStr">
        <is>
          <t>21)</t>
        </is>
      </c>
      <c r="K1104" s="0">
        <f>IF(H1103="1)",1,IF(H1103="2)",2,IF(H1103="3)",3,IF(H1103="4)",4,IF(H1103="5)",5,IF(H1103="6)",6,IF(H1103="7)",7,IF(H1103="8)",8,0))))))))</f>
        <v/>
      </c>
      <c r="L1104" s="0">
        <f>IF(H1103="1)",J1103,IF(H1103="2)",J1103,IF(H1103="3)",J1103,IF(H1103="4)",J1103,IF(H1103="5)",J1103,IF(H1103="6)",J1103,IF(H1103="7)",J1103,IF(H1103="8)",J1103,0))))))))</f>
        <v/>
      </c>
    </row>
    <row r="1105">
      <c r="A1105" s="0" t="inlineStr">
        <is>
          <t>New</t>
        </is>
      </c>
      <c r="B1105" s="0" t="inlineStr">
        <is>
          <t>Item</t>
        </is>
      </c>
      <c r="C1105" s="0" t="inlineStr">
        <is>
          <t>Acquired</t>
        </is>
      </c>
      <c r="D1105" s="0" t="inlineStr">
        <is>
          <t>:</t>
        </is>
      </c>
      <c r="E1105" s="0" t="inlineStr">
        <is>
          <t>Mini</t>
        </is>
      </c>
      <c r="F1105" s="0" t="inlineStr">
        <is>
          <t>(5,</t>
        </is>
      </c>
      <c r="G1105" s="0" t="inlineStr">
        <is>
          <t>22)</t>
        </is>
      </c>
      <c r="K1105" s="0">
        <f>IF(H1104="1)",1,IF(H1104="2)",2,IF(H1104="3)",3,IF(H1104="4)",4,IF(H1104="5)",5,IF(H1104="6)",6,IF(H1104="7)",7,IF(H1104="8)",8,0))))))))</f>
        <v/>
      </c>
      <c r="L1105" s="0">
        <f>IF(H1104="1)",J1104,IF(H1104="2)",J1104,IF(H1104="3)",J1104,IF(H1104="4)",J1104,IF(H1104="5)",J1104,IF(H1104="6)",J1104,IF(H1104="7)",J1104,IF(H1104="8)",J1104,0))))))))</f>
        <v/>
      </c>
    </row>
    <row r="1106">
      <c r="A1106" s="0" t="inlineStr">
        <is>
          <t>New</t>
        </is>
      </c>
      <c r="B1106" s="0" t="inlineStr">
        <is>
          <t>Item</t>
        </is>
      </c>
      <c r="C1106" s="0" t="inlineStr">
        <is>
          <t>Acquired</t>
        </is>
      </c>
      <c r="D1106" s="0" t="inlineStr">
        <is>
          <t>:</t>
        </is>
      </c>
      <c r="E1106" s="0" t="inlineStr">
        <is>
          <t>67.50K</t>
        </is>
      </c>
      <c r="F1106" s="0" t="inlineStr">
        <is>
          <t>(5,</t>
        </is>
      </c>
      <c r="G1106" s="0" t="inlineStr">
        <is>
          <t>15)</t>
        </is>
      </c>
      <c r="K1106" s="0">
        <f>IF(H1105="1)",1,IF(H1105="2)",2,IF(H1105="3)",3,IF(H1105="4)",4,IF(H1105="5)",5,IF(H1105="6)",6,IF(H1105="7)",7,IF(H1105="8)",8,0))))))))</f>
        <v/>
      </c>
      <c r="L1106" s="0">
        <f>IF(H1105="1)",J1105,IF(H1105="2)",J1105,IF(H1105="3)",J1105,IF(H1105="4)",J1105,IF(H1105="5)",J1105,IF(H1105="6)",J1105,IF(H1105="7)",J1105,IF(H1105="8)",J1105,0))))))))</f>
        <v/>
      </c>
    </row>
    <row r="1107">
      <c r="A1107" s="0" t="inlineStr">
        <is>
          <t>New</t>
        </is>
      </c>
      <c r="B1107" s="0" t="inlineStr">
        <is>
          <t>Item</t>
        </is>
      </c>
      <c r="C1107" s="0" t="inlineStr">
        <is>
          <t>Acquired</t>
        </is>
      </c>
      <c r="D1107" s="0" t="inlineStr">
        <is>
          <t>:</t>
        </is>
      </c>
      <c r="E1107" s="0" t="inlineStr">
        <is>
          <t>105.00K</t>
        </is>
      </c>
      <c r="F1107" s="0" t="inlineStr">
        <is>
          <t>(3,</t>
        </is>
      </c>
      <c r="G1107" s="0" t="inlineStr">
        <is>
          <t>5)</t>
        </is>
      </c>
      <c r="K1107" s="0">
        <f>IF(H1106="1)",1,IF(H1106="2)",2,IF(H1106="3)",3,IF(H1106="4)",4,IF(H1106="5)",5,IF(H1106="6)",6,IF(H1106="7)",7,IF(H1106="8)",8,0))))))))</f>
        <v/>
      </c>
      <c r="L1107" s="0">
        <f>IF(H1106="1)",J1106,IF(H1106="2)",J1106,IF(H1106="3)",J1106,IF(H1106="4)",J1106,IF(H1106="5)",J1106,IF(H1106="6)",J1106,IF(H1106="7)",J1106,IF(H1106="8)",J1106,0))))))))</f>
        <v/>
      </c>
    </row>
    <row r="1108">
      <c r="A1108" s="0" t="inlineStr">
        <is>
          <t>New</t>
        </is>
      </c>
      <c r="B1108" s="0" t="inlineStr">
        <is>
          <t>Item</t>
        </is>
      </c>
      <c r="C1108" s="0" t="inlineStr">
        <is>
          <t>Acquired</t>
        </is>
      </c>
      <c r="D1108" s="0" t="inlineStr">
        <is>
          <t>:</t>
        </is>
      </c>
      <c r="E1108" s="0" t="inlineStr">
        <is>
          <t>75.00K</t>
        </is>
      </c>
      <c r="F1108" s="0" t="inlineStr">
        <is>
          <t>(3,</t>
        </is>
      </c>
      <c r="G1108" s="0" t="inlineStr">
        <is>
          <t>18)</t>
        </is>
      </c>
      <c r="K1108" s="0">
        <f>IF(H1107="1)",1,IF(H1107="2)",2,IF(H1107="3)",3,IF(H1107="4)",4,IF(H1107="5)",5,IF(H1107="6)",6,IF(H1107="7)",7,IF(H1107="8)",8,0))))))))</f>
        <v/>
      </c>
      <c r="L1108" s="0">
        <f>IF(H1107="1)",J1107,IF(H1107="2)",J1107,IF(H1107="3)",J1107,IF(H1107="4)",J1107,IF(H1107="5)",J1107,IF(H1107="6)",J1107,IF(H1107="7)",J1107,IF(H1107="8)",J1107,0))))))))</f>
        <v/>
      </c>
    </row>
    <row r="1109">
      <c r="A1109" s="0" t="inlineStr">
        <is>
          <t>Item</t>
        </is>
      </c>
      <c r="B1109" s="0" t="inlineStr">
        <is>
          <t>ReSelect</t>
        </is>
      </c>
      <c r="C1109" s="0" t="inlineStr">
        <is>
          <t>Failed</t>
        </is>
      </c>
      <c r="D1109" s="0" t="inlineStr">
        <is>
          <t>:</t>
        </is>
      </c>
      <c r="E1109" s="0" t="inlineStr">
        <is>
          <t>Attempt</t>
        </is>
      </c>
      <c r="F1109" s="0" t="inlineStr">
        <is>
          <t>Count</t>
        </is>
      </c>
      <c r="G1109" s="0" t="inlineStr">
        <is>
          <t>-</t>
        </is>
      </c>
      <c r="H1109" s="0" t="n">
        <v>3</v>
      </c>
      <c r="K1109" s="0">
        <f>IF(H1108="1)",1,IF(H1108="2)",2,IF(H1108="3)",3,IF(H1108="4)",4,IF(H1108="5)",5,IF(H1108="6)",6,IF(H1108="7)",7,IF(H1108="8)",8,0))))))))</f>
        <v/>
      </c>
      <c r="L1109" s="0">
        <f>IF(H1108="1)",J1108,IF(H1108="2)",J1108,IF(H1108="3)",J1108,IF(H1108="4)",J1108,IF(H1108="5)",J1108,IF(H1108="6)",J1108,IF(H1108="7)",J1108,IF(H1108="8)",J1108,0))))))))</f>
        <v/>
      </c>
    </row>
    <row r="1110">
      <c r="A1110" s="0" t="inlineStr">
        <is>
          <t>Item</t>
        </is>
      </c>
      <c r="B1110" s="0" t="inlineStr">
        <is>
          <t>ReSelect</t>
        </is>
      </c>
      <c r="C1110" s="0" t="inlineStr">
        <is>
          <t>Failed</t>
        </is>
      </c>
      <c r="D1110" s="0" t="inlineStr">
        <is>
          <t>:</t>
        </is>
      </c>
      <c r="E1110" s="0" t="inlineStr">
        <is>
          <t>Attempt</t>
        </is>
      </c>
      <c r="F1110" s="0" t="inlineStr">
        <is>
          <t>Count</t>
        </is>
      </c>
      <c r="G1110" s="0" t="inlineStr">
        <is>
          <t>-</t>
        </is>
      </c>
      <c r="H1110" s="0" t="n">
        <v>3</v>
      </c>
      <c r="K1110" s="0">
        <f>IF(H1109="1)",1,IF(H1109="2)",2,IF(H1109="3)",3,IF(H1109="4)",4,IF(H1109="5)",5,IF(H1109="6)",6,IF(H1109="7)",7,IF(H1109="8)",8,0))))))))</f>
        <v/>
      </c>
      <c r="L1110" s="0">
        <f>IF(H1109="1)",J1109,IF(H1109="2)",J1109,IF(H1109="3)",J1109,IF(H1109="4)",J1109,IF(H1109="5)",J1109,IF(H1109="6)",J1109,IF(H1109="7)",J1109,IF(H1109="8)",J1109,0))))))))</f>
        <v/>
      </c>
    </row>
    <row r="1111">
      <c r="A1111" s="0" t="inlineStr">
        <is>
          <t>New</t>
        </is>
      </c>
      <c r="B1111" s="0" t="inlineStr">
        <is>
          <t>Item</t>
        </is>
      </c>
      <c r="C1111" s="0" t="inlineStr">
        <is>
          <t>Acquired</t>
        </is>
      </c>
      <c r="D1111" s="0" t="inlineStr">
        <is>
          <t>:</t>
        </is>
      </c>
      <c r="E1111" s="0" t="inlineStr">
        <is>
          <t>75.00K</t>
        </is>
      </c>
      <c r="F1111" s="0" t="inlineStr">
        <is>
          <t>(3,</t>
        </is>
      </c>
      <c r="G1111" s="0" t="inlineStr">
        <is>
          <t>14)</t>
        </is>
      </c>
      <c r="K1111" s="0">
        <f>IF(H1110="1)",1,IF(H1110="2)",2,IF(H1110="3)",3,IF(H1110="4)",4,IF(H1110="5)",5,IF(H1110="6)",6,IF(H1110="7)",7,IF(H1110="8)",8,0))))))))</f>
        <v/>
      </c>
      <c r="L1111" s="0">
        <f>IF(H1110="1)",J1110,IF(H1110="2)",J1110,IF(H1110="3)",J1110,IF(H1110="4)",J1110,IF(H1110="5)",J1110,IF(H1110="6)",J1110,IF(H1110="7)",J1110,IF(H1110="8)",J1110,0))))))))</f>
        <v/>
      </c>
    </row>
    <row r="1112">
      <c r="A1112" s="0" t="inlineStr">
        <is>
          <t>Line</t>
        </is>
      </c>
      <c r="B1112" s="0" t="inlineStr">
        <is>
          <t>Prize</t>
        </is>
      </c>
      <c r="C1112" s="0" t="inlineStr">
        <is>
          <t>Acquired</t>
        </is>
      </c>
      <c r="D1112" s="0" t="inlineStr">
        <is>
          <t>:</t>
        </is>
      </c>
      <c r="E1112" s="0" t="inlineStr">
        <is>
          <t>315.00K</t>
        </is>
      </c>
      <c r="F1112" s="0" t="inlineStr">
        <is>
          <t>(Stage</t>
        </is>
      </c>
      <c r="G1112" s="0" t="inlineStr">
        <is>
          <t>:</t>
        </is>
      </c>
      <c r="H1112" s="0" t="inlineStr">
        <is>
          <t>3)</t>
        </is>
      </c>
      <c r="I1112" s="0" t="inlineStr">
        <is>
          <t>-</t>
        </is>
      </c>
      <c r="J1112" s="0" t="n">
        <v>315000</v>
      </c>
      <c r="K1112" s="0">
        <f>IF(H1111="1)",1,IF(H1111="2)",2,IF(H1111="3)",3,IF(H1111="4)",4,IF(H1111="5)",5,IF(H1111="6)",6,IF(H1111="7)",7,IF(H1111="8)",8,0))))))))</f>
        <v/>
      </c>
      <c r="L1112" s="0">
        <f>IF(H1111="1)",J1111,IF(H1111="2)",J1111,IF(H1111="3)",J1111,IF(H1111="4)",J1111,IF(H1111="5)",J1111,IF(H1111="6)",J1111,IF(H1111="7)",J1111,IF(H1111="8)",J1111,0))))))))</f>
        <v/>
      </c>
    </row>
    <row r="1113">
      <c r="A1113" s="0" t="inlineStr">
        <is>
          <t>Clear</t>
        </is>
      </c>
      <c r="B1113" s="0" t="inlineStr">
        <is>
          <t>Gem</t>
        </is>
      </c>
      <c r="C1113" s="0" t="inlineStr">
        <is>
          <t>Acquired</t>
        </is>
      </c>
      <c r="D1113" s="0" t="inlineStr">
        <is>
          <t>:</t>
        </is>
      </c>
      <c r="E1113" s="0" t="n">
        <v>6500</v>
      </c>
      <c r="F1113" s="0" t="inlineStr">
        <is>
          <t>-&gt;</t>
        </is>
      </c>
      <c r="G1113" s="0" t="n">
        <v>6600</v>
      </c>
      <c r="H1113" s="0" t="inlineStr">
        <is>
          <t>(Stage</t>
        </is>
      </c>
      <c r="I1113" s="0" t="inlineStr">
        <is>
          <t>:</t>
        </is>
      </c>
      <c r="J1113" s="0" t="inlineStr">
        <is>
          <t>3)</t>
        </is>
      </c>
      <c r="K1113" s="0">
        <f>IF(H1112="1)",1,IF(H1112="2)",2,IF(H1112="3)",3,IF(H1112="4)",4,IF(H1112="5)",5,IF(H1112="6)",6,IF(H1112="7)",7,IF(H1112="8)",8,0))))))))</f>
        <v/>
      </c>
      <c r="L1113" s="0">
        <f>IF(H1112="1)",J1112,IF(H1112="2)",J1112,IF(H1112="3)",J1112,IF(H1112="4)",J1112,IF(H1112="5)",J1112,IF(H1112="6)",J1112,IF(H1112="7)",J1112,IF(H1112="8)",J1112,0))))))))</f>
        <v/>
      </c>
    </row>
    <row r="1114">
      <c r="A1114" s="0" t="inlineStr">
        <is>
          <t>New</t>
        </is>
      </c>
      <c r="B1114" s="0" t="inlineStr">
        <is>
          <t>Item</t>
        </is>
      </c>
      <c r="C1114" s="0" t="inlineStr">
        <is>
          <t>Acquired</t>
        </is>
      </c>
      <c r="D1114" s="0" t="inlineStr">
        <is>
          <t>:</t>
        </is>
      </c>
      <c r="E1114" s="0" t="inlineStr">
        <is>
          <t>62.50K</t>
        </is>
      </c>
      <c r="F1114" s="0" t="inlineStr">
        <is>
          <t>(2,</t>
        </is>
      </c>
      <c r="G1114" s="0" t="inlineStr">
        <is>
          <t>4)</t>
        </is>
      </c>
      <c r="K1114" s="0">
        <f>IF(H1113="1)",1,IF(H1113="2)",2,IF(H1113="3)",3,IF(H1113="4)",4,IF(H1113="5)",5,IF(H1113="6)",6,IF(H1113="7)",7,IF(H1113="8)",8,0))))))))</f>
        <v/>
      </c>
      <c r="L1114" s="0">
        <f>IF(H1113="1)",J1113,IF(H1113="2)",J1113,IF(H1113="3)",J1113,IF(H1113="4)",J1113,IF(H1113="5)",J1113,IF(H1113="6)",J1113,IF(H1113="7)",J1113,IF(H1113="8)",J1113,0))))))))</f>
        <v/>
      </c>
    </row>
    <row r="1115">
      <c r="A1115" s="0" t="inlineStr">
        <is>
          <t>New</t>
        </is>
      </c>
      <c r="B1115" s="0" t="inlineStr">
        <is>
          <t>Item</t>
        </is>
      </c>
      <c r="C1115" s="0" t="inlineStr">
        <is>
          <t>Acquired</t>
        </is>
      </c>
      <c r="D1115" s="0" t="inlineStr">
        <is>
          <t>:</t>
        </is>
      </c>
      <c r="E1115" s="0" t="inlineStr">
        <is>
          <t>67.50K</t>
        </is>
      </c>
      <c r="F1115" s="0" t="inlineStr">
        <is>
          <t>(5,</t>
        </is>
      </c>
      <c r="G1115" s="0" t="inlineStr">
        <is>
          <t>20)</t>
        </is>
      </c>
      <c r="K1115" s="0">
        <f>IF(H1114="1)",1,IF(H1114="2)",2,IF(H1114="3)",3,IF(H1114="4)",4,IF(H1114="5)",5,IF(H1114="6)",6,IF(H1114="7)",7,IF(H1114="8)",8,0))))))))</f>
        <v/>
      </c>
      <c r="L1115" s="0">
        <f>IF(H1114="1)",J1114,IF(H1114="2)",J1114,IF(H1114="3)",J1114,IF(H1114="4)",J1114,IF(H1114="5)",J1114,IF(H1114="6)",J1114,IF(H1114="7)",J1114,IF(H1114="8)",J1114,0))))))))</f>
        <v/>
      </c>
    </row>
    <row r="1116">
      <c r="A1116" s="0" t="inlineStr">
        <is>
          <t>New</t>
        </is>
      </c>
      <c r="B1116" s="0" t="inlineStr">
        <is>
          <t>Item</t>
        </is>
      </c>
      <c r="C1116" s="0" t="inlineStr">
        <is>
          <t>Acquired</t>
        </is>
      </c>
      <c r="D1116" s="0" t="inlineStr">
        <is>
          <t>:</t>
        </is>
      </c>
      <c r="E1116" s="0" t="inlineStr">
        <is>
          <t>50.00K</t>
        </is>
      </c>
      <c r="F1116" s="0" t="inlineStr">
        <is>
          <t>(1,</t>
        </is>
      </c>
      <c r="G1116" s="0" t="inlineStr">
        <is>
          <t>2)</t>
        </is>
      </c>
      <c r="K1116" s="0">
        <f>IF(H1115="1)",1,IF(H1115="2)",2,IF(H1115="3)",3,IF(H1115="4)",4,IF(H1115="5)",5,IF(H1115="6)",6,IF(H1115="7)",7,IF(H1115="8)",8,0))))))))</f>
        <v/>
      </c>
      <c r="L1116" s="0">
        <f>IF(H1115="1)",J1115,IF(H1115="2)",J1115,IF(H1115="3)",J1115,IF(H1115="4)",J1115,IF(H1115="5)",J1115,IF(H1115="6)",J1115,IF(H1115="7)",J1115,IF(H1115="8)",J1115,0))))))))</f>
        <v/>
      </c>
    </row>
    <row r="1117">
      <c r="A1117" s="0" t="inlineStr">
        <is>
          <t>New</t>
        </is>
      </c>
      <c r="B1117" s="0" t="inlineStr">
        <is>
          <t>Item</t>
        </is>
      </c>
      <c r="C1117" s="0" t="inlineStr">
        <is>
          <t>Acquired</t>
        </is>
      </c>
      <c r="D1117" s="0" t="inlineStr">
        <is>
          <t>:</t>
        </is>
      </c>
      <c r="E1117" s="0" t="inlineStr">
        <is>
          <t>105.00K</t>
        </is>
      </c>
      <c r="F1117" s="0" t="inlineStr">
        <is>
          <t>(3,</t>
        </is>
      </c>
      <c r="G1117" s="0" t="inlineStr">
        <is>
          <t>2)</t>
        </is>
      </c>
      <c r="K1117" s="0">
        <f>IF(H1116="1)",1,IF(H1116="2)",2,IF(H1116="3)",3,IF(H1116="4)",4,IF(H1116="5)",5,IF(H1116="6)",6,IF(H1116="7)",7,IF(H1116="8)",8,0))))))))</f>
        <v/>
      </c>
      <c r="L1117" s="0">
        <f>IF(H1116="1)",J1116,IF(H1116="2)",J1116,IF(H1116="3)",J1116,IF(H1116="4)",J1116,IF(H1116="5)",J1116,IF(H1116="6)",J1116,IF(H1116="7)",J1116,IF(H1116="8)",J1116,0))))))))</f>
        <v/>
      </c>
    </row>
    <row r="1118">
      <c r="A1118" s="0" t="inlineStr">
        <is>
          <t>New</t>
        </is>
      </c>
      <c r="B1118" s="0" t="inlineStr">
        <is>
          <t>Item</t>
        </is>
      </c>
      <c r="C1118" s="0" t="inlineStr">
        <is>
          <t>Acquired</t>
        </is>
      </c>
      <c r="D1118" s="0" t="inlineStr">
        <is>
          <t>:</t>
        </is>
      </c>
      <c r="E1118" s="0" t="inlineStr">
        <is>
          <t>125.00K</t>
        </is>
      </c>
      <c r="F1118" s="0" t="inlineStr">
        <is>
          <t>(6,</t>
        </is>
      </c>
      <c r="G1118" s="0" t="inlineStr">
        <is>
          <t>1)</t>
        </is>
      </c>
      <c r="K1118" s="0">
        <f>IF(H1117="1)",1,IF(H1117="2)",2,IF(H1117="3)",3,IF(H1117="4)",4,IF(H1117="5)",5,IF(H1117="6)",6,IF(H1117="7)",7,IF(H1117="8)",8,0))))))))</f>
        <v/>
      </c>
      <c r="L1118" s="0">
        <f>IF(H1117="1)",J1117,IF(H1117="2)",J1117,IF(H1117="3)",J1117,IF(H1117="4)",J1117,IF(H1117="5)",J1117,IF(H1117="6)",J1117,IF(H1117="7)",J1117,IF(H1117="8)",J1117,0))))))))</f>
        <v/>
      </c>
    </row>
    <row r="1119">
      <c r="A1119" s="0" t="inlineStr">
        <is>
          <t>Line</t>
        </is>
      </c>
      <c r="B1119" s="0" t="inlineStr">
        <is>
          <t>Prize</t>
        </is>
      </c>
      <c r="C1119" s="0" t="inlineStr">
        <is>
          <t>Acquired</t>
        </is>
      </c>
      <c r="D1119" s="0" t="inlineStr">
        <is>
          <t>:</t>
        </is>
      </c>
      <c r="E1119" s="0" t="inlineStr">
        <is>
          <t>1.20M</t>
        </is>
      </c>
      <c r="F1119" s="0" t="inlineStr">
        <is>
          <t>(Stage</t>
        </is>
      </c>
      <c r="G1119" s="0" t="inlineStr">
        <is>
          <t>:</t>
        </is>
      </c>
      <c r="H1119" s="0" t="inlineStr">
        <is>
          <t>6)</t>
        </is>
      </c>
      <c r="I1119" s="0" t="inlineStr">
        <is>
          <t>-</t>
        </is>
      </c>
      <c r="J1119" s="0" t="n">
        <v>1200000</v>
      </c>
      <c r="K1119" s="0">
        <f>IF(H1118="1)",1,IF(H1118="2)",2,IF(H1118="3)",3,IF(H1118="4)",4,IF(H1118="5)",5,IF(H1118="6)",6,IF(H1118="7)",7,IF(H1118="8)",8,0))))))))</f>
        <v/>
      </c>
      <c r="L1119" s="0">
        <f>IF(H1118="1)",J1118,IF(H1118="2)",J1118,IF(H1118="3)",J1118,IF(H1118="4)",J1118,IF(H1118="5)",J1118,IF(H1118="6)",J1118,IF(H1118="7)",J1118,IF(H1118="8)",J1118,0))))))))</f>
        <v/>
      </c>
    </row>
    <row r="1120">
      <c r="A1120" s="0" t="inlineStr">
        <is>
          <t>Clear</t>
        </is>
      </c>
      <c r="B1120" s="0" t="inlineStr">
        <is>
          <t>Gem</t>
        </is>
      </c>
      <c r="C1120" s="0" t="inlineStr">
        <is>
          <t>Acquired</t>
        </is>
      </c>
      <c r="D1120" s="0" t="inlineStr">
        <is>
          <t>:</t>
        </is>
      </c>
      <c r="E1120" s="0" t="n">
        <v>6600</v>
      </c>
      <c r="F1120" s="0" t="inlineStr">
        <is>
          <t>-&gt;</t>
        </is>
      </c>
      <c r="G1120" s="0" t="n">
        <v>6700</v>
      </c>
      <c r="H1120" s="0" t="inlineStr">
        <is>
          <t>(Stage</t>
        </is>
      </c>
      <c r="I1120" s="0" t="inlineStr">
        <is>
          <t>:</t>
        </is>
      </c>
      <c r="J1120" s="0" t="inlineStr">
        <is>
          <t>6)</t>
        </is>
      </c>
      <c r="K1120" s="0">
        <f>IF(H1119="1)",1,IF(H1119="2)",2,IF(H1119="3)",3,IF(H1119="4)",4,IF(H1119="5)",5,IF(H1119="6)",6,IF(H1119="7)",7,IF(H1119="8)",8,0))))))))</f>
        <v/>
      </c>
      <c r="L1120" s="0">
        <f>IF(H1119="1)",J1119,IF(H1119="2)",J1119,IF(H1119="3)",J1119,IF(H1119="4)",J1119,IF(H1119="5)",J1119,IF(H1119="6)",J1119,IF(H1119="7)",J1119,IF(H1119="8)",J1119,0))))))))</f>
        <v/>
      </c>
    </row>
    <row r="1121">
      <c r="A1121" s="0" t="inlineStr">
        <is>
          <t>New</t>
        </is>
      </c>
      <c r="B1121" s="0" t="inlineStr">
        <is>
          <t>Item</t>
        </is>
      </c>
      <c r="C1121" s="0" t="inlineStr">
        <is>
          <t>Acquired</t>
        </is>
      </c>
      <c r="D1121" s="0" t="inlineStr">
        <is>
          <t>:</t>
        </is>
      </c>
      <c r="E1121" s="0" t="inlineStr">
        <is>
          <t>75.00K</t>
        </is>
      </c>
      <c r="F1121" s="0" t="inlineStr">
        <is>
          <t>(6,</t>
        </is>
      </c>
      <c r="G1121" s="0" t="inlineStr">
        <is>
          <t>22)</t>
        </is>
      </c>
      <c r="K1121" s="0">
        <f>IF(H1120="1)",1,IF(H1120="2)",2,IF(H1120="3)",3,IF(H1120="4)",4,IF(H1120="5)",5,IF(H1120="6)",6,IF(H1120="7)",7,IF(H1120="8)",8,0))))))))</f>
        <v/>
      </c>
      <c r="L1121" s="0">
        <f>IF(H1120="1)",J1120,IF(H1120="2)",J1120,IF(H1120="3)",J1120,IF(H1120="4)",J1120,IF(H1120="5)",J1120,IF(H1120="6)",J1120,IF(H1120="7)",J1120,IF(H1120="8)",J1120,0))))))))</f>
        <v/>
      </c>
    </row>
    <row r="1122">
      <c r="A1122" s="0" t="inlineStr">
        <is>
          <t>New</t>
        </is>
      </c>
      <c r="B1122" s="0" t="inlineStr">
        <is>
          <t>Item</t>
        </is>
      </c>
      <c r="C1122" s="0" t="inlineStr">
        <is>
          <t>Acquired</t>
        </is>
      </c>
      <c r="D1122" s="0" t="inlineStr">
        <is>
          <t>:</t>
        </is>
      </c>
      <c r="E1122" s="0" t="inlineStr">
        <is>
          <t>105.00K</t>
        </is>
      </c>
      <c r="F1122" s="0" t="inlineStr">
        <is>
          <t>(4,</t>
        </is>
      </c>
      <c r="G1122" s="0" t="inlineStr">
        <is>
          <t>20)</t>
        </is>
      </c>
      <c r="K1122" s="0">
        <f>IF(H1121="1)",1,IF(H1121="2)",2,IF(H1121="3)",3,IF(H1121="4)",4,IF(H1121="5)",5,IF(H1121="6)",6,IF(H1121="7)",7,IF(H1121="8)",8,0))))))))</f>
        <v/>
      </c>
      <c r="L1122" s="0">
        <f>IF(H1121="1)",J1121,IF(H1121="2)",J1121,IF(H1121="3)",J1121,IF(H1121="4)",J1121,IF(H1121="5)",J1121,IF(H1121="6)",J1121,IF(H1121="7)",J1121,IF(H1121="8)",J1121,0))))))))</f>
        <v/>
      </c>
    </row>
    <row r="1123">
      <c r="A1123" s="0" t="inlineStr">
        <is>
          <t>New</t>
        </is>
      </c>
      <c r="B1123" s="0" t="inlineStr">
        <is>
          <t>Item</t>
        </is>
      </c>
      <c r="C1123" s="0" t="inlineStr">
        <is>
          <t>Acquired</t>
        </is>
      </c>
      <c r="D1123" s="0" t="inlineStr">
        <is>
          <t>:</t>
        </is>
      </c>
      <c r="E1123" s="0" t="inlineStr">
        <is>
          <t>60.00K</t>
        </is>
      </c>
      <c r="F1123" s="0" t="inlineStr">
        <is>
          <t>(4,</t>
        </is>
      </c>
      <c r="G1123" s="0" t="inlineStr">
        <is>
          <t>16)</t>
        </is>
      </c>
      <c r="K1123" s="0">
        <f>IF(H1122="1)",1,IF(H1122="2)",2,IF(H1122="3)",3,IF(H1122="4)",4,IF(H1122="5)",5,IF(H1122="6)",6,IF(H1122="7)",7,IF(H1122="8)",8,0))))))))</f>
        <v/>
      </c>
      <c r="L1123" s="0">
        <f>IF(H1122="1)",J1122,IF(H1122="2)",J1122,IF(H1122="3)",J1122,IF(H1122="4)",J1122,IF(H1122="5)",J1122,IF(H1122="6)",J1122,IF(H1122="7)",J1122,IF(H1122="8)",J1122,0))))))))</f>
        <v/>
      </c>
    </row>
    <row r="1124">
      <c r="A1124" s="0" t="inlineStr">
        <is>
          <t>New</t>
        </is>
      </c>
      <c r="B1124" s="0" t="inlineStr">
        <is>
          <t>Item</t>
        </is>
      </c>
      <c r="C1124" s="0" t="inlineStr">
        <is>
          <t>Acquired</t>
        </is>
      </c>
      <c r="D1124" s="0" t="inlineStr">
        <is>
          <t>:</t>
        </is>
      </c>
      <c r="E1124" s="0" t="inlineStr">
        <is>
          <t>45.00K</t>
        </is>
      </c>
      <c r="F1124" s="0" t="inlineStr">
        <is>
          <t>(3,</t>
        </is>
      </c>
      <c r="G1124" s="0" t="inlineStr">
        <is>
          <t>22)</t>
        </is>
      </c>
      <c r="K1124" s="0">
        <f>IF(H1123="1)",1,IF(H1123="2)",2,IF(H1123="3)",3,IF(H1123="4)",4,IF(H1123="5)",5,IF(H1123="6)",6,IF(H1123="7)",7,IF(H1123="8)",8,0))))))))</f>
        <v/>
      </c>
      <c r="L1124" s="0">
        <f>IF(H1123="1)",J1123,IF(H1123="2)",J1123,IF(H1123="3)",J1123,IF(H1123="4)",J1123,IF(H1123="5)",J1123,IF(H1123="6)",J1123,IF(H1123="7)",J1123,IF(H1123="8)",J1123,0))))))))</f>
        <v/>
      </c>
    </row>
    <row r="1125">
      <c r="A1125" s="0" t="inlineStr">
        <is>
          <t>New</t>
        </is>
      </c>
      <c r="B1125" s="0" t="inlineStr">
        <is>
          <t>Item</t>
        </is>
      </c>
      <c r="C1125" s="0" t="inlineStr">
        <is>
          <t>Acquired</t>
        </is>
      </c>
      <c r="D1125" s="0" t="inlineStr">
        <is>
          <t>:</t>
        </is>
      </c>
      <c r="E1125" s="0" t="inlineStr">
        <is>
          <t>37.50K</t>
        </is>
      </c>
      <c r="F1125" s="0" t="inlineStr">
        <is>
          <t>(2,</t>
        </is>
      </c>
      <c r="G1125" s="0" t="inlineStr">
        <is>
          <t>23)</t>
        </is>
      </c>
      <c r="K1125" s="0">
        <f>IF(H1124="1)",1,IF(H1124="2)",2,IF(H1124="3)",3,IF(H1124="4)",4,IF(H1124="5)",5,IF(H1124="6)",6,IF(H1124="7)",7,IF(H1124="8)",8,0))))))))</f>
        <v/>
      </c>
      <c r="L1125" s="0">
        <f>IF(H1124="1)",J1124,IF(H1124="2)",J1124,IF(H1124="3)",J1124,IF(H1124="4)",J1124,IF(H1124="5)",J1124,IF(H1124="6)",J1124,IF(H1124="7)",J1124,IF(H1124="8)",J1124,0))))))))</f>
        <v/>
      </c>
    </row>
    <row r="1126">
      <c r="A1126" s="0" t="inlineStr">
        <is>
          <t>New</t>
        </is>
      </c>
      <c r="B1126" s="0" t="inlineStr">
        <is>
          <t>Item</t>
        </is>
      </c>
      <c r="C1126" s="0" t="inlineStr">
        <is>
          <t>Acquired</t>
        </is>
      </c>
      <c r="D1126" s="0" t="inlineStr">
        <is>
          <t>:</t>
        </is>
      </c>
      <c r="E1126" s="0" t="inlineStr">
        <is>
          <t>120.00K</t>
        </is>
      </c>
      <c r="F1126" s="0" t="inlineStr">
        <is>
          <t>(8,</t>
        </is>
      </c>
      <c r="G1126" s="0" t="inlineStr">
        <is>
          <t>12)</t>
        </is>
      </c>
      <c r="K1126" s="0">
        <f>IF(H1125="1)",1,IF(H1125="2)",2,IF(H1125="3)",3,IF(H1125="4)",4,IF(H1125="5)",5,IF(H1125="6)",6,IF(H1125="7)",7,IF(H1125="8)",8,0))))))))</f>
        <v/>
      </c>
      <c r="L1126" s="0">
        <f>IF(H1125="1)",J1125,IF(H1125="2)",J1125,IF(H1125="3)",J1125,IF(H1125="4)",J1125,IF(H1125="5)",J1125,IF(H1125="6)",J1125,IF(H1125="7)",J1125,IF(H1125="8)",J1125,0))))))))</f>
        <v/>
      </c>
    </row>
    <row r="1127">
      <c r="A1127" s="0" t="inlineStr">
        <is>
          <t>Line</t>
        </is>
      </c>
      <c r="B1127" s="0" t="inlineStr">
        <is>
          <t>Prize</t>
        </is>
      </c>
      <c r="C1127" s="0" t="inlineStr">
        <is>
          <t>Acquired</t>
        </is>
      </c>
      <c r="D1127" s="0" t="inlineStr">
        <is>
          <t>:</t>
        </is>
      </c>
      <c r="E1127" s="0" t="inlineStr">
        <is>
          <t>3.92M</t>
        </is>
      </c>
      <c r="F1127" s="0" t="inlineStr">
        <is>
          <t>(Stage</t>
        </is>
      </c>
      <c r="G1127" s="0" t="inlineStr">
        <is>
          <t>:</t>
        </is>
      </c>
      <c r="H1127" s="0" t="inlineStr">
        <is>
          <t>8)</t>
        </is>
      </c>
      <c r="I1127" s="0" t="inlineStr">
        <is>
          <t>-</t>
        </is>
      </c>
      <c r="J1127" s="0" t="n">
        <v>3920000</v>
      </c>
      <c r="K1127" s="0">
        <f>IF(H1126="1)",1,IF(H1126="2)",2,IF(H1126="3)",3,IF(H1126="4)",4,IF(H1126="5)",5,IF(H1126="6)",6,IF(H1126="7)",7,IF(H1126="8)",8,0))))))))</f>
        <v/>
      </c>
      <c r="L1127" s="0">
        <f>IF(H1126="1)",J1126,IF(H1126="2)",J1126,IF(H1126="3)",J1126,IF(H1126="4)",J1126,IF(H1126="5)",J1126,IF(H1126="6)",J1126,IF(H1126="7)",J1126,IF(H1126="8)",J1126,0))))))))</f>
        <v/>
      </c>
    </row>
    <row r="1128">
      <c r="A1128" s="0" t="inlineStr">
        <is>
          <t>Clear</t>
        </is>
      </c>
      <c r="B1128" s="0" t="inlineStr">
        <is>
          <t>Gem</t>
        </is>
      </c>
      <c r="C1128" s="0" t="inlineStr">
        <is>
          <t>Acquired</t>
        </is>
      </c>
      <c r="D1128" s="0" t="inlineStr">
        <is>
          <t>:</t>
        </is>
      </c>
      <c r="E1128" s="0" t="n">
        <v>6700</v>
      </c>
      <c r="F1128" s="0" t="inlineStr">
        <is>
          <t>-&gt;</t>
        </is>
      </c>
      <c r="G1128" s="0" t="n">
        <v>6800</v>
      </c>
      <c r="H1128" s="0" t="inlineStr">
        <is>
          <t>(Stage</t>
        </is>
      </c>
      <c r="I1128" s="0" t="inlineStr">
        <is>
          <t>:</t>
        </is>
      </c>
      <c r="J1128" s="0" t="inlineStr">
        <is>
          <t>8)</t>
        </is>
      </c>
      <c r="K1128" s="0">
        <f>IF(H1127="1)",1,IF(H1127="2)",2,IF(H1127="3)",3,IF(H1127="4)",4,IF(H1127="5)",5,IF(H1127="6)",6,IF(H1127="7)",7,IF(H1127="8)",8,0))))))))</f>
        <v/>
      </c>
      <c r="L1128" s="0">
        <f>IF(H1127="1)",J1127,IF(H1127="2)",J1127,IF(H1127="3)",J1127,IF(H1127="4)",J1127,IF(H1127="5)",J1127,IF(H1127="6)",J1127,IF(H1127="7)",J1127,IF(H1127="8)",J1127,0))))))))</f>
        <v/>
      </c>
    </row>
    <row r="1129">
      <c r="A1129" s="0" t="inlineStr">
        <is>
          <t>New</t>
        </is>
      </c>
      <c r="B1129" s="0" t="inlineStr">
        <is>
          <t>Item</t>
        </is>
      </c>
      <c r="C1129" s="0" t="inlineStr">
        <is>
          <t>Acquired</t>
        </is>
      </c>
      <c r="D1129" s="0" t="inlineStr">
        <is>
          <t>:</t>
        </is>
      </c>
      <c r="E1129" s="0" t="inlineStr">
        <is>
          <t>50.00K</t>
        </is>
      </c>
      <c r="F1129" s="0" t="inlineStr">
        <is>
          <t>(1,</t>
        </is>
      </c>
      <c r="G1129" s="0" t="inlineStr">
        <is>
          <t>6)</t>
        </is>
      </c>
      <c r="K1129" s="0">
        <f>IF(H1128="1)",1,IF(H1128="2)",2,IF(H1128="3)",3,IF(H1128="4)",4,IF(H1128="5)",5,IF(H1128="6)",6,IF(H1128="7)",7,IF(H1128="8)",8,0))))))))</f>
        <v/>
      </c>
      <c r="L1129" s="0">
        <f>IF(H1128="1)",J1128,IF(H1128="2)",J1128,IF(H1128="3)",J1128,IF(H1128="4)",J1128,IF(H1128="5)",J1128,IF(H1128="6)",J1128,IF(H1128="7)",J1128,IF(H1128="8)",J1128,0))))))))</f>
        <v/>
      </c>
    </row>
    <row r="1130">
      <c r="A1130" s="0" t="inlineStr">
        <is>
          <t>New</t>
        </is>
      </c>
      <c r="B1130" s="0" t="inlineStr">
        <is>
          <t>Item</t>
        </is>
      </c>
      <c r="C1130" s="0" t="inlineStr">
        <is>
          <t>Acquired</t>
        </is>
      </c>
      <c r="D1130" s="0" t="inlineStr">
        <is>
          <t>:</t>
        </is>
      </c>
      <c r="E1130" s="0" t="inlineStr">
        <is>
          <t>75.00K</t>
        </is>
      </c>
      <c r="F1130" s="0" t="inlineStr">
        <is>
          <t>(6,</t>
        </is>
      </c>
      <c r="G1130" s="0" t="inlineStr">
        <is>
          <t>10)</t>
        </is>
      </c>
      <c r="K1130" s="0">
        <f>IF(H1129="1)",1,IF(H1129="2)",2,IF(H1129="3)",3,IF(H1129="4)",4,IF(H1129="5)",5,IF(H1129="6)",6,IF(H1129="7)",7,IF(H1129="8)",8,0))))))))</f>
        <v/>
      </c>
      <c r="L1130" s="0">
        <f>IF(H1129="1)",J1129,IF(H1129="2)",J1129,IF(H1129="3)",J1129,IF(H1129="4)",J1129,IF(H1129="5)",J1129,IF(H1129="6)",J1129,IF(H1129="7)",J1129,IF(H1129="8)",J1129,0))))))))</f>
        <v/>
      </c>
    </row>
    <row r="1131">
      <c r="A1131" s="0" t="inlineStr">
        <is>
          <t>New</t>
        </is>
      </c>
      <c r="B1131" s="0" t="inlineStr">
        <is>
          <t>Item</t>
        </is>
      </c>
      <c r="C1131" s="0" t="inlineStr">
        <is>
          <t>Acquired</t>
        </is>
      </c>
      <c r="D1131" s="0" t="inlineStr">
        <is>
          <t>:</t>
        </is>
      </c>
      <c r="E1131" s="0" t="inlineStr">
        <is>
          <t>Major</t>
        </is>
      </c>
      <c r="F1131" s="0" t="inlineStr">
        <is>
          <t>(2,</t>
        </is>
      </c>
      <c r="G1131" s="0" t="inlineStr">
        <is>
          <t>19)</t>
        </is>
      </c>
      <c r="K1131" s="0">
        <f>IF(H1130="1)",1,IF(H1130="2)",2,IF(H1130="3)",3,IF(H1130="4)",4,IF(H1130="5)",5,IF(H1130="6)",6,IF(H1130="7)",7,IF(H1130="8)",8,0))))))))</f>
        <v/>
      </c>
      <c r="L1131" s="0">
        <f>IF(H1130="1)",J1130,IF(H1130="2)",J1130,IF(H1130="3)",J1130,IF(H1130="4)",J1130,IF(H1130="5)",J1130,IF(H1130="6)",J1130,IF(H1130="7)",J1130,IF(H1130="8)",J1130,0))))))))</f>
        <v/>
      </c>
    </row>
    <row r="1132">
      <c r="A1132" s="0" t="inlineStr">
        <is>
          <t>New</t>
        </is>
      </c>
      <c r="B1132" s="0" t="inlineStr">
        <is>
          <t>Item</t>
        </is>
      </c>
      <c r="C1132" s="0" t="inlineStr">
        <is>
          <t>Acquired</t>
        </is>
      </c>
      <c r="D1132" s="0" t="inlineStr">
        <is>
          <t>:</t>
        </is>
      </c>
      <c r="E1132" s="0" t="inlineStr">
        <is>
          <t>112.50K</t>
        </is>
      </c>
      <c r="F1132" s="0" t="inlineStr">
        <is>
          <t>(5,</t>
        </is>
      </c>
      <c r="G1132" s="0" t="inlineStr">
        <is>
          <t>14)</t>
        </is>
      </c>
      <c r="K1132" s="0">
        <f>IF(H1131="1)",1,IF(H1131="2)",2,IF(H1131="3)",3,IF(H1131="4)",4,IF(H1131="5)",5,IF(H1131="6)",6,IF(H1131="7)",7,IF(H1131="8)",8,0))))))))</f>
        <v/>
      </c>
      <c r="L1132" s="0">
        <f>IF(H1131="1)",J1131,IF(H1131="2)",J1131,IF(H1131="3)",J1131,IF(H1131="4)",J1131,IF(H1131="5)",J1131,IF(H1131="6)",J1131,IF(H1131="7)",J1131,IF(H1131="8)",J1131,0))))))))</f>
        <v/>
      </c>
    </row>
    <row r="1133">
      <c r="A1133" s="0" t="inlineStr">
        <is>
          <t>Item</t>
        </is>
      </c>
      <c r="B1133" s="0" t="inlineStr">
        <is>
          <t>ReSelect</t>
        </is>
      </c>
      <c r="C1133" s="0" t="inlineStr">
        <is>
          <t>Failed</t>
        </is>
      </c>
      <c r="D1133" s="0" t="inlineStr">
        <is>
          <t>:</t>
        </is>
      </c>
      <c r="E1133" s="0" t="inlineStr">
        <is>
          <t>Attempt</t>
        </is>
      </c>
      <c r="F1133" s="0" t="inlineStr">
        <is>
          <t>Count</t>
        </is>
      </c>
      <c r="G1133" s="0" t="inlineStr">
        <is>
          <t>-</t>
        </is>
      </c>
      <c r="H1133" s="0" t="n">
        <v>3</v>
      </c>
      <c r="K1133" s="0">
        <f>IF(H1132="1)",1,IF(H1132="2)",2,IF(H1132="3)",3,IF(H1132="4)",4,IF(H1132="5)",5,IF(H1132="6)",6,IF(H1132="7)",7,IF(H1132="8)",8,0))))))))</f>
        <v/>
      </c>
      <c r="L1133" s="0">
        <f>IF(H1132="1)",J1132,IF(H1132="2)",J1132,IF(H1132="3)",J1132,IF(H1132="4)",J1132,IF(H1132="5)",J1132,IF(H1132="6)",J1132,IF(H1132="7)",J1132,IF(H1132="8)",J1132,0))))))))</f>
        <v/>
      </c>
    </row>
    <row r="1134">
      <c r="A1134" s="0" t="inlineStr">
        <is>
          <t>New</t>
        </is>
      </c>
      <c r="B1134" s="0" t="inlineStr">
        <is>
          <t>Item</t>
        </is>
      </c>
      <c r="C1134" s="0" t="inlineStr">
        <is>
          <t>Acquired</t>
        </is>
      </c>
      <c r="D1134" s="0" t="inlineStr">
        <is>
          <t>:</t>
        </is>
      </c>
      <c r="E1134" s="0" t="inlineStr">
        <is>
          <t>Mini</t>
        </is>
      </c>
      <c r="F1134" s="0" t="inlineStr">
        <is>
          <t>(7,</t>
        </is>
      </c>
      <c r="G1134" s="0" t="inlineStr">
        <is>
          <t>25)</t>
        </is>
      </c>
      <c r="K1134" s="0">
        <f>IF(H1133="1)",1,IF(H1133="2)",2,IF(H1133="3)",3,IF(H1133="4)",4,IF(H1133="5)",5,IF(H1133="6)",6,IF(H1133="7)",7,IF(H1133="8)",8,0))))))))</f>
        <v/>
      </c>
      <c r="L1134" s="0">
        <f>IF(H1133="1)",J1133,IF(H1133="2)",J1133,IF(H1133="3)",J1133,IF(H1133="4)",J1133,IF(H1133="5)",J1133,IF(H1133="6)",J1133,IF(H1133="7)",J1133,IF(H1133="8)",J1133,0))))))))</f>
        <v/>
      </c>
    </row>
    <row r="1135">
      <c r="A1135" s="0" t="inlineStr">
        <is>
          <t>Line</t>
        </is>
      </c>
      <c r="B1135" s="0" t="inlineStr">
        <is>
          <t>Prize</t>
        </is>
      </c>
      <c r="C1135" s="0" t="inlineStr">
        <is>
          <t>Acquired</t>
        </is>
      </c>
      <c r="D1135" s="0" t="inlineStr">
        <is>
          <t>:</t>
        </is>
      </c>
      <c r="E1135" s="0" t="inlineStr">
        <is>
          <t>1.65M</t>
        </is>
      </c>
      <c r="F1135" s="0" t="inlineStr">
        <is>
          <t>(Stage</t>
        </is>
      </c>
      <c r="G1135" s="0" t="inlineStr">
        <is>
          <t>:</t>
        </is>
      </c>
      <c r="H1135" s="0" t="inlineStr">
        <is>
          <t>7)</t>
        </is>
      </c>
      <c r="I1135" s="0" t="inlineStr">
        <is>
          <t>-</t>
        </is>
      </c>
      <c r="J1135" s="0" t="n">
        <v>1650000</v>
      </c>
      <c r="K1135" s="0">
        <f>IF(H1134="1)",1,IF(H1134="2)",2,IF(H1134="3)",3,IF(H1134="4)",4,IF(H1134="5)",5,IF(H1134="6)",6,IF(H1134="7)",7,IF(H1134="8)",8,0))))))))</f>
        <v/>
      </c>
      <c r="L1135" s="0">
        <f>IF(H1134="1)",J1134,IF(H1134="2)",J1134,IF(H1134="3)",J1134,IF(H1134="4)",J1134,IF(H1134="5)",J1134,IF(H1134="6)",J1134,IF(H1134="7)",J1134,IF(H1134="8)",J1134,0))))))))</f>
        <v/>
      </c>
    </row>
    <row r="1136">
      <c r="A1136" s="0" t="inlineStr">
        <is>
          <t>Clear</t>
        </is>
      </c>
      <c r="B1136" s="0" t="inlineStr">
        <is>
          <t>Gem</t>
        </is>
      </c>
      <c r="C1136" s="0" t="inlineStr">
        <is>
          <t>Acquired</t>
        </is>
      </c>
      <c r="D1136" s="0" t="inlineStr">
        <is>
          <t>:</t>
        </is>
      </c>
      <c r="E1136" s="0" t="n">
        <v>6800</v>
      </c>
      <c r="F1136" s="0" t="inlineStr">
        <is>
          <t>-&gt;</t>
        </is>
      </c>
      <c r="G1136" s="0" t="n">
        <v>6900</v>
      </c>
      <c r="H1136" s="0" t="inlineStr">
        <is>
          <t>(Stage</t>
        </is>
      </c>
      <c r="I1136" s="0" t="inlineStr">
        <is>
          <t>:</t>
        </is>
      </c>
      <c r="J1136" s="0" t="inlineStr">
        <is>
          <t>7)</t>
        </is>
      </c>
      <c r="K1136" s="0">
        <f>IF(H1135="1)",1,IF(H1135="2)",2,IF(H1135="3)",3,IF(H1135="4)",4,IF(H1135="5)",5,IF(H1135="6)",6,IF(H1135="7)",7,IF(H1135="8)",8,0))))))))</f>
        <v/>
      </c>
      <c r="L1136" s="0">
        <f>IF(H1135="1)",J1135,IF(H1135="2)",J1135,IF(H1135="3)",J1135,IF(H1135="4)",J1135,IF(H1135="5)",J1135,IF(H1135="6)",J1135,IF(H1135="7)",J1135,IF(H1135="8)",J1135,0))))))))</f>
        <v/>
      </c>
    </row>
    <row r="1137">
      <c r="A1137" s="0" t="inlineStr">
        <is>
          <t>New</t>
        </is>
      </c>
      <c r="B1137" s="0" t="inlineStr">
        <is>
          <t>Item</t>
        </is>
      </c>
      <c r="C1137" s="0" t="inlineStr">
        <is>
          <t>Acquired</t>
        </is>
      </c>
      <c r="D1137" s="0" t="inlineStr">
        <is>
          <t>:</t>
        </is>
      </c>
      <c r="E1137" s="0" t="inlineStr">
        <is>
          <t>120.00K</t>
        </is>
      </c>
      <c r="F1137" s="0" t="inlineStr">
        <is>
          <t>(8,</t>
        </is>
      </c>
      <c r="G1137" s="0" t="inlineStr">
        <is>
          <t>18)</t>
        </is>
      </c>
      <c r="K1137" s="0">
        <f>IF(H1136="1)",1,IF(H1136="2)",2,IF(H1136="3)",3,IF(H1136="4)",4,IF(H1136="5)",5,IF(H1136="6)",6,IF(H1136="7)",7,IF(H1136="8)",8,0))))))))</f>
        <v/>
      </c>
      <c r="L1137" s="0">
        <f>IF(H1136="1)",J1136,IF(H1136="2)",J1136,IF(H1136="3)",J1136,IF(H1136="4)",J1136,IF(H1136="5)",J1136,IF(H1136="6)",J1136,IF(H1136="7)",J1136,IF(H1136="8)",J1136,0))))))))</f>
        <v/>
      </c>
    </row>
    <row r="1138">
      <c r="A1138" s="0" t="inlineStr">
        <is>
          <t>New</t>
        </is>
      </c>
      <c r="B1138" s="0" t="inlineStr">
        <is>
          <t>Item</t>
        </is>
      </c>
      <c r="C1138" s="0" t="inlineStr">
        <is>
          <t>Acquired</t>
        </is>
      </c>
      <c r="D1138" s="0" t="inlineStr">
        <is>
          <t>:</t>
        </is>
      </c>
      <c r="E1138" s="0" t="inlineStr">
        <is>
          <t>90.00K</t>
        </is>
      </c>
      <c r="F1138" s="0" t="inlineStr">
        <is>
          <t>(7,</t>
        </is>
      </c>
      <c r="G1138" s="0" t="inlineStr">
        <is>
          <t>25)</t>
        </is>
      </c>
      <c r="K1138" s="0">
        <f>IF(H1137="1)",1,IF(H1137="2)",2,IF(H1137="3)",3,IF(H1137="4)",4,IF(H1137="5)",5,IF(H1137="6)",6,IF(H1137="7)",7,IF(H1137="8)",8,0))))))))</f>
        <v/>
      </c>
      <c r="L1138" s="0">
        <f>IF(H1137="1)",J1137,IF(H1137="2)",J1137,IF(H1137="3)",J1137,IF(H1137="4)",J1137,IF(H1137="5)",J1137,IF(H1137="6)",J1137,IF(H1137="7)",J1137,IF(H1137="8)",J1137,0))))))))</f>
        <v/>
      </c>
    </row>
    <row r="1139">
      <c r="A1139" s="0" t="inlineStr">
        <is>
          <t>New</t>
        </is>
      </c>
      <c r="B1139" s="0" t="inlineStr">
        <is>
          <t>Item</t>
        </is>
      </c>
      <c r="C1139" s="0" t="inlineStr">
        <is>
          <t>Acquired</t>
        </is>
      </c>
      <c r="D1139" s="0" t="inlineStr">
        <is>
          <t>:</t>
        </is>
      </c>
      <c r="E1139" s="0" t="inlineStr">
        <is>
          <t>175.00K</t>
        </is>
      </c>
      <c r="F1139" s="0" t="inlineStr">
        <is>
          <t>(6,</t>
        </is>
      </c>
      <c r="G1139" s="0" t="inlineStr">
        <is>
          <t>9)</t>
        </is>
      </c>
      <c r="K1139" s="0">
        <f>IF(H1138="1)",1,IF(H1138="2)",2,IF(H1138="3)",3,IF(H1138="4)",4,IF(H1138="5)",5,IF(H1138="6)",6,IF(H1138="7)",7,IF(H1138="8)",8,0))))))))</f>
        <v/>
      </c>
      <c r="L1139" s="0">
        <f>IF(H1138="1)",J1138,IF(H1138="2)",J1138,IF(H1138="3)",J1138,IF(H1138="4)",J1138,IF(H1138="5)",J1138,IF(H1138="6)",J1138,IF(H1138="7)",J1138,IF(H1138="8)",J1138,0))))))))</f>
        <v/>
      </c>
    </row>
    <row r="1140">
      <c r="A1140" s="0" t="inlineStr">
        <is>
          <t>New</t>
        </is>
      </c>
      <c r="B1140" s="0" t="inlineStr">
        <is>
          <t>Item</t>
        </is>
      </c>
      <c r="C1140" s="0" t="inlineStr">
        <is>
          <t>Acquired</t>
        </is>
      </c>
      <c r="D1140" s="0" t="inlineStr">
        <is>
          <t>:</t>
        </is>
      </c>
      <c r="E1140" s="0" t="inlineStr">
        <is>
          <t>120.00K</t>
        </is>
      </c>
      <c r="F1140" s="0" t="inlineStr">
        <is>
          <t>(8,</t>
        </is>
      </c>
      <c r="G1140" s="0" t="inlineStr">
        <is>
          <t>23)</t>
        </is>
      </c>
      <c r="K1140" s="0">
        <f>IF(H1139="1)",1,IF(H1139="2)",2,IF(H1139="3)",3,IF(H1139="4)",4,IF(H1139="5)",5,IF(H1139="6)",6,IF(H1139="7)",7,IF(H1139="8)",8,0))))))))</f>
        <v/>
      </c>
      <c r="L1140" s="0">
        <f>IF(H1139="1)",J1139,IF(H1139="2)",J1139,IF(H1139="3)",J1139,IF(H1139="4)",J1139,IF(H1139="5)",J1139,IF(H1139="6)",J1139,IF(H1139="7)",J1139,IF(H1139="8)",J1139,0))))))))</f>
        <v/>
      </c>
    </row>
    <row r="1141">
      <c r="A1141" s="0" t="inlineStr">
        <is>
          <t>New</t>
        </is>
      </c>
      <c r="B1141" s="0" t="inlineStr">
        <is>
          <t>Item</t>
        </is>
      </c>
      <c r="C1141" s="0" t="inlineStr">
        <is>
          <t>Acquired</t>
        </is>
      </c>
      <c r="D1141" s="0" t="inlineStr">
        <is>
          <t>:</t>
        </is>
      </c>
      <c r="E1141" s="0" t="inlineStr">
        <is>
          <t>30.00K</t>
        </is>
      </c>
      <c r="F1141" s="0" t="inlineStr">
        <is>
          <t>(1,</t>
        </is>
      </c>
      <c r="G1141" s="0" t="inlineStr">
        <is>
          <t>12)</t>
        </is>
      </c>
      <c r="K1141" s="0">
        <f>IF(H1140="1)",1,IF(H1140="2)",2,IF(H1140="3)",3,IF(H1140="4)",4,IF(H1140="5)",5,IF(H1140="6)",6,IF(H1140="7)",7,IF(H1140="8)",8,0))))))))</f>
        <v/>
      </c>
      <c r="L1141" s="0">
        <f>IF(H1140="1)",J1140,IF(H1140="2)",J1140,IF(H1140="3)",J1140,IF(H1140="4)",J1140,IF(H1140="5)",J1140,IF(H1140="6)",J1140,IF(H1140="7)",J1140,IF(H1140="8)",J1140,0))))))))</f>
        <v/>
      </c>
    </row>
    <row r="1142">
      <c r="A1142" s="0" t="inlineStr">
        <is>
          <t>New</t>
        </is>
      </c>
      <c r="B1142" s="0" t="inlineStr">
        <is>
          <t>Item</t>
        </is>
      </c>
      <c r="C1142" s="0" t="inlineStr">
        <is>
          <t>Acquired</t>
        </is>
      </c>
      <c r="D1142" s="0" t="inlineStr">
        <is>
          <t>:</t>
        </is>
      </c>
      <c r="E1142" s="0" t="inlineStr">
        <is>
          <t>175.00K</t>
        </is>
      </c>
      <c r="F1142" s="0" t="inlineStr">
        <is>
          <t>(6,</t>
        </is>
      </c>
      <c r="G1142" s="0" t="inlineStr">
        <is>
          <t>14)</t>
        </is>
      </c>
      <c r="K1142" s="0">
        <f>IF(H1141="1)",1,IF(H1141="2)",2,IF(H1141="3)",3,IF(H1141="4)",4,IF(H1141="5)",5,IF(H1141="6)",6,IF(H1141="7)",7,IF(H1141="8)",8,0))))))))</f>
        <v/>
      </c>
      <c r="L1142" s="0">
        <f>IF(H1141="1)",J1141,IF(H1141="2)",J1141,IF(H1141="3)",J1141,IF(H1141="4)",J1141,IF(H1141="5)",J1141,IF(H1141="6)",J1141,IF(H1141="7)",J1141,IF(H1141="8)",J1141,0))))))))</f>
        <v/>
      </c>
    </row>
    <row r="1143">
      <c r="A1143" s="0" t="inlineStr">
        <is>
          <t>New</t>
        </is>
      </c>
      <c r="B1143" s="0" t="inlineStr">
        <is>
          <t>Item</t>
        </is>
      </c>
      <c r="C1143" s="0" t="inlineStr">
        <is>
          <t>Acquired</t>
        </is>
      </c>
      <c r="D1143" s="0" t="inlineStr">
        <is>
          <t>:</t>
        </is>
      </c>
      <c r="E1143" s="0" t="inlineStr">
        <is>
          <t>67.50K</t>
        </is>
      </c>
      <c r="F1143" s="0" t="inlineStr">
        <is>
          <t>(5,</t>
        </is>
      </c>
      <c r="G1143" s="0" t="inlineStr">
        <is>
          <t>8)</t>
        </is>
      </c>
      <c r="K1143" s="0">
        <f>IF(H1142="1)",1,IF(H1142="2)",2,IF(H1142="3)",3,IF(H1142="4)",4,IF(H1142="5)",5,IF(H1142="6)",6,IF(H1142="7)",7,IF(H1142="8)",8,0))))))))</f>
        <v/>
      </c>
      <c r="L1143" s="0">
        <f>IF(H1142="1)",J1142,IF(H1142="2)",J1142,IF(H1142="3)",J1142,IF(H1142="4)",J1142,IF(H1142="5)",J1142,IF(H1142="6)",J1142,IF(H1142="7)",J1142,IF(H1142="8)",J1142,0))))))))</f>
        <v/>
      </c>
    </row>
    <row r="1144">
      <c r="A1144" s="0" t="inlineStr">
        <is>
          <t>New</t>
        </is>
      </c>
      <c r="B1144" s="0" t="inlineStr">
        <is>
          <t>Item</t>
        </is>
      </c>
      <c r="C1144" s="0" t="inlineStr">
        <is>
          <t>Acquired</t>
        </is>
      </c>
      <c r="D1144" s="0" t="inlineStr">
        <is>
          <t>:</t>
        </is>
      </c>
      <c r="E1144" s="0" t="inlineStr">
        <is>
          <t>Major</t>
        </is>
      </c>
      <c r="F1144" s="0" t="inlineStr">
        <is>
          <t>(7,</t>
        </is>
      </c>
      <c r="G1144" s="0" t="inlineStr">
        <is>
          <t>12)</t>
        </is>
      </c>
      <c r="K1144" s="0">
        <f>IF(H1143="1)",1,IF(H1143="2)",2,IF(H1143="3)",3,IF(H1143="4)",4,IF(H1143="5)",5,IF(H1143="6)",6,IF(H1143="7)",7,IF(H1143="8)",8,0))))))))</f>
        <v/>
      </c>
      <c r="L1144" s="0">
        <f>IF(H1143="1)",J1143,IF(H1143="2)",J1143,IF(H1143="3)",J1143,IF(H1143="4)",J1143,IF(H1143="5)",J1143,IF(H1143="6)",J1143,IF(H1143="7)",J1143,IF(H1143="8)",J1143,0))))))))</f>
        <v/>
      </c>
    </row>
    <row r="1145">
      <c r="A1145" s="0" t="inlineStr">
        <is>
          <t>New</t>
        </is>
      </c>
      <c r="B1145" s="0" t="inlineStr">
        <is>
          <t>Item</t>
        </is>
      </c>
      <c r="C1145" s="0" t="inlineStr">
        <is>
          <t>Acquired</t>
        </is>
      </c>
      <c r="D1145" s="0" t="inlineStr">
        <is>
          <t>:</t>
        </is>
      </c>
      <c r="E1145" s="0" t="inlineStr">
        <is>
          <t>150.00K</t>
        </is>
      </c>
      <c r="F1145" s="0" t="inlineStr">
        <is>
          <t>(7,</t>
        </is>
      </c>
      <c r="G1145" s="0" t="inlineStr">
        <is>
          <t>11)</t>
        </is>
      </c>
      <c r="K1145" s="0">
        <f>IF(H1144="1)",1,IF(H1144="2)",2,IF(H1144="3)",3,IF(H1144="4)",4,IF(H1144="5)",5,IF(H1144="6)",6,IF(H1144="7)",7,IF(H1144="8)",8,0))))))))</f>
        <v/>
      </c>
      <c r="L1145" s="0">
        <f>IF(H1144="1)",J1144,IF(H1144="2)",J1144,IF(H1144="3)",J1144,IF(H1144="4)",J1144,IF(H1144="5)",J1144,IF(H1144="6)",J1144,IF(H1144="7)",J1144,IF(H1144="8)",J1144,0))))))))</f>
        <v/>
      </c>
    </row>
    <row r="1146">
      <c r="A1146" s="0" t="inlineStr">
        <is>
          <t>New</t>
        </is>
      </c>
      <c r="B1146" s="0" t="inlineStr">
        <is>
          <t>Item</t>
        </is>
      </c>
      <c r="C1146" s="0" t="inlineStr">
        <is>
          <t>Acquired</t>
        </is>
      </c>
      <c r="D1146" s="0" t="inlineStr">
        <is>
          <t>:</t>
        </is>
      </c>
      <c r="E1146" s="0" t="inlineStr">
        <is>
          <t>75.00K</t>
        </is>
      </c>
      <c r="F1146" s="0" t="inlineStr">
        <is>
          <t>(6,</t>
        </is>
      </c>
      <c r="G1146" s="0" t="inlineStr">
        <is>
          <t>6)</t>
        </is>
      </c>
      <c r="K1146" s="0">
        <f>IF(H1145="1)",1,IF(H1145="2)",2,IF(H1145="3)",3,IF(H1145="4)",4,IF(H1145="5)",5,IF(H1145="6)",6,IF(H1145="7)",7,IF(H1145="8)",8,0))))))))</f>
        <v/>
      </c>
      <c r="L1146" s="0">
        <f>IF(H1145="1)",J1145,IF(H1145="2)",J1145,IF(H1145="3)",J1145,IF(H1145="4)",J1145,IF(H1145="5)",J1145,IF(H1145="6)",J1145,IF(H1145="7)",J1145,IF(H1145="8)",J1145,0))))))))</f>
        <v/>
      </c>
    </row>
    <row r="1147">
      <c r="A1147" s="0" t="inlineStr">
        <is>
          <t>New</t>
        </is>
      </c>
      <c r="B1147" s="0" t="inlineStr">
        <is>
          <t>Item</t>
        </is>
      </c>
      <c r="C1147" s="0" t="inlineStr">
        <is>
          <t>Acquired</t>
        </is>
      </c>
      <c r="D1147" s="0" t="inlineStr">
        <is>
          <t>:</t>
        </is>
      </c>
      <c r="E1147" s="0" t="inlineStr">
        <is>
          <t>175.00K</t>
        </is>
      </c>
      <c r="F1147" s="0" t="inlineStr">
        <is>
          <t>(6,</t>
        </is>
      </c>
      <c r="G1147" s="0" t="inlineStr">
        <is>
          <t>1)</t>
        </is>
      </c>
      <c r="K1147" s="0">
        <f>IF(H1146="1)",1,IF(H1146="2)",2,IF(H1146="3)",3,IF(H1146="4)",4,IF(H1146="5)",5,IF(H1146="6)",6,IF(H1146="7)",7,IF(H1146="8)",8,0))))))))</f>
        <v/>
      </c>
      <c r="L1147" s="0">
        <f>IF(H1146="1)",J1146,IF(H1146="2)",J1146,IF(H1146="3)",J1146,IF(H1146="4)",J1146,IF(H1146="5)",J1146,IF(H1146="6)",J1146,IF(H1146="7)",J1146,IF(H1146="8)",J1146,0))))))))</f>
        <v/>
      </c>
    </row>
    <row r="1148">
      <c r="A1148" s="0" t="inlineStr">
        <is>
          <t>New</t>
        </is>
      </c>
      <c r="B1148" s="0" t="inlineStr">
        <is>
          <t>Item</t>
        </is>
      </c>
      <c r="C1148" s="0" t="inlineStr">
        <is>
          <t>Acquired</t>
        </is>
      </c>
      <c r="D1148" s="0" t="inlineStr">
        <is>
          <t>:</t>
        </is>
      </c>
      <c r="E1148" s="0" t="inlineStr">
        <is>
          <t>Minor</t>
        </is>
      </c>
      <c r="F1148" s="0" t="inlineStr">
        <is>
          <t>(3,</t>
        </is>
      </c>
      <c r="G1148" s="0" t="inlineStr">
        <is>
          <t>24)</t>
        </is>
      </c>
      <c r="K1148" s="0">
        <f>IF(H1147="1)",1,IF(H1147="2)",2,IF(H1147="3)",3,IF(H1147="4)",4,IF(H1147="5)",5,IF(H1147="6)",6,IF(H1147="7)",7,IF(H1147="8)",8,0))))))))</f>
        <v/>
      </c>
      <c r="L1148" s="0">
        <f>IF(H1147="1)",J1147,IF(H1147="2)",J1147,IF(H1147="3)",J1147,IF(H1147="4)",J1147,IF(H1147="5)",J1147,IF(H1147="6)",J1147,IF(H1147="7)",J1147,IF(H1147="8)",J1147,0))))))))</f>
        <v/>
      </c>
    </row>
    <row r="1149">
      <c r="A1149" s="0" t="inlineStr">
        <is>
          <t>Item</t>
        </is>
      </c>
      <c r="B1149" s="0" t="inlineStr">
        <is>
          <t>ReSelect</t>
        </is>
      </c>
      <c r="C1149" s="0" t="inlineStr">
        <is>
          <t>Failed</t>
        </is>
      </c>
      <c r="D1149" s="0" t="inlineStr">
        <is>
          <t>:</t>
        </is>
      </c>
      <c r="E1149" s="0" t="inlineStr">
        <is>
          <t>Attempt</t>
        </is>
      </c>
      <c r="F1149" s="0" t="inlineStr">
        <is>
          <t>Count</t>
        </is>
      </c>
      <c r="G1149" s="0" t="inlineStr">
        <is>
          <t>-</t>
        </is>
      </c>
      <c r="H1149" s="0" t="n">
        <v>3</v>
      </c>
      <c r="K1149" s="0">
        <f>IF(H1148="1)",1,IF(H1148="2)",2,IF(H1148="3)",3,IF(H1148="4)",4,IF(H1148="5)",5,IF(H1148="6)",6,IF(H1148="7)",7,IF(H1148="8)",8,0))))))))</f>
        <v/>
      </c>
      <c r="L1149" s="0">
        <f>IF(H1148="1)",J1148,IF(H1148="2)",J1148,IF(H1148="3)",J1148,IF(H1148="4)",J1148,IF(H1148="5)",J1148,IF(H1148="6)",J1148,IF(H1148="7)",J1148,IF(H1148="8)",J1148,0))))))))</f>
        <v/>
      </c>
    </row>
    <row r="1150">
      <c r="A1150" s="0" t="inlineStr">
        <is>
          <t>New</t>
        </is>
      </c>
      <c r="B1150" s="0" t="inlineStr">
        <is>
          <t>Item</t>
        </is>
      </c>
      <c r="C1150" s="0" t="inlineStr">
        <is>
          <t>Acquired</t>
        </is>
      </c>
      <c r="D1150" s="0" t="inlineStr">
        <is>
          <t>:</t>
        </is>
      </c>
      <c r="E1150" s="0" t="inlineStr">
        <is>
          <t>105.00K</t>
        </is>
      </c>
      <c r="F1150" s="0" t="inlineStr">
        <is>
          <t>(3,</t>
        </is>
      </c>
      <c r="G1150" s="0" t="inlineStr">
        <is>
          <t>14)</t>
        </is>
      </c>
      <c r="K1150" s="0">
        <f>IF(H1149="1)",1,IF(H1149="2)",2,IF(H1149="3)",3,IF(H1149="4)",4,IF(H1149="5)",5,IF(H1149="6)",6,IF(H1149="7)",7,IF(H1149="8)",8,0))))))))</f>
        <v/>
      </c>
      <c r="L1150" s="0">
        <f>IF(H1149="1)",J1149,IF(H1149="2)",J1149,IF(H1149="3)",J1149,IF(H1149="4)",J1149,IF(H1149="5)",J1149,IF(H1149="6)",J1149,IF(H1149="7)",J1149,IF(H1149="8)",J1149,0))))))))</f>
        <v/>
      </c>
    </row>
    <row r="1151">
      <c r="A1151" s="0" t="inlineStr">
        <is>
          <t>New</t>
        </is>
      </c>
      <c r="B1151" s="0" t="inlineStr">
        <is>
          <t>Item</t>
        </is>
      </c>
      <c r="C1151" s="0" t="inlineStr">
        <is>
          <t>Acquired</t>
        </is>
      </c>
      <c r="D1151" s="0" t="inlineStr">
        <is>
          <t>:</t>
        </is>
      </c>
      <c r="E1151" s="0" t="inlineStr">
        <is>
          <t>125.00K</t>
        </is>
      </c>
      <c r="F1151" s="0" t="inlineStr">
        <is>
          <t>(6,</t>
        </is>
      </c>
      <c r="G1151" s="0" t="inlineStr">
        <is>
          <t>8)</t>
        </is>
      </c>
      <c r="K1151" s="0">
        <f>IF(H1150="1)",1,IF(H1150="2)",2,IF(H1150="3)",3,IF(H1150="4)",4,IF(H1150="5)",5,IF(H1150="6)",6,IF(H1150="7)",7,IF(H1150="8)",8,0))))))))</f>
        <v/>
      </c>
      <c r="L1151" s="0">
        <f>IF(H1150="1)",J1150,IF(H1150="2)",J1150,IF(H1150="3)",J1150,IF(H1150="4)",J1150,IF(H1150="5)",J1150,IF(H1150="6)",J1150,IF(H1150="7)",J1150,IF(H1150="8)",J1150,0))))))))</f>
        <v/>
      </c>
    </row>
    <row r="1152">
      <c r="A1152" s="0" t="inlineStr">
        <is>
          <t>New</t>
        </is>
      </c>
      <c r="B1152" s="0" t="inlineStr">
        <is>
          <t>Item</t>
        </is>
      </c>
      <c r="C1152" s="0" t="inlineStr">
        <is>
          <t>Acquired</t>
        </is>
      </c>
      <c r="D1152" s="0" t="inlineStr">
        <is>
          <t>:</t>
        </is>
      </c>
      <c r="E1152" s="0" t="inlineStr">
        <is>
          <t>150.00K</t>
        </is>
      </c>
      <c r="F1152" s="0" t="inlineStr">
        <is>
          <t>(7,</t>
        </is>
      </c>
      <c r="G1152" s="0" t="inlineStr">
        <is>
          <t>3)</t>
        </is>
      </c>
      <c r="K1152" s="0">
        <f>IF(H1151="1)",1,IF(H1151="2)",2,IF(H1151="3)",3,IF(H1151="4)",4,IF(H1151="5)",5,IF(H1151="6)",6,IF(H1151="7)",7,IF(H1151="8)",8,0))))))))</f>
        <v/>
      </c>
      <c r="L1152" s="0">
        <f>IF(H1151="1)",J1151,IF(H1151="2)",J1151,IF(H1151="3)",J1151,IF(H1151="4)",J1151,IF(H1151="5)",J1151,IF(H1151="6)",J1151,IF(H1151="7)",J1151,IF(H1151="8)",J1151,0))))))))</f>
        <v/>
      </c>
    </row>
    <row r="1153">
      <c r="A1153" s="0" t="inlineStr">
        <is>
          <t>New</t>
        </is>
      </c>
      <c r="B1153" s="0" t="inlineStr">
        <is>
          <t>Item</t>
        </is>
      </c>
      <c r="C1153" s="0" t="inlineStr">
        <is>
          <t>Acquired</t>
        </is>
      </c>
      <c r="D1153" s="0" t="inlineStr">
        <is>
          <t>:</t>
        </is>
      </c>
      <c r="E1153" s="0" t="inlineStr">
        <is>
          <t>37.50K</t>
        </is>
      </c>
      <c r="F1153" s="0" t="inlineStr">
        <is>
          <t>(2,</t>
        </is>
      </c>
      <c r="G1153" s="0" t="inlineStr">
        <is>
          <t>22)</t>
        </is>
      </c>
      <c r="K1153" s="0">
        <f>IF(H1152="1)",1,IF(H1152="2)",2,IF(H1152="3)",3,IF(H1152="4)",4,IF(H1152="5)",5,IF(H1152="6)",6,IF(H1152="7)",7,IF(H1152="8)",8,0))))))))</f>
        <v/>
      </c>
      <c r="L1153" s="0">
        <f>IF(H1152="1)",J1152,IF(H1152="2)",J1152,IF(H1152="3)",J1152,IF(H1152="4)",J1152,IF(H1152="5)",J1152,IF(H1152="6)",J1152,IF(H1152="7)",J1152,IF(H1152="8)",J1152,0))))))))</f>
        <v/>
      </c>
    </row>
    <row r="1154">
      <c r="A1154" s="0" t="inlineStr">
        <is>
          <t>New</t>
        </is>
      </c>
      <c r="B1154" s="0" t="inlineStr">
        <is>
          <t>Item</t>
        </is>
      </c>
      <c r="C1154" s="0" t="inlineStr">
        <is>
          <t>Acquired</t>
        </is>
      </c>
      <c r="D1154" s="0" t="inlineStr">
        <is>
          <t>:</t>
        </is>
      </c>
      <c r="E1154" s="0" t="inlineStr">
        <is>
          <t>210.00K</t>
        </is>
      </c>
      <c r="F1154" s="0" t="inlineStr">
        <is>
          <t>(7,</t>
        </is>
      </c>
      <c r="G1154" s="0" t="inlineStr">
        <is>
          <t>22)</t>
        </is>
      </c>
      <c r="K1154" s="0">
        <f>IF(H1153="1)",1,IF(H1153="2)",2,IF(H1153="3)",3,IF(H1153="4)",4,IF(H1153="5)",5,IF(H1153="6)",6,IF(H1153="7)",7,IF(H1153="8)",8,0))))))))</f>
        <v/>
      </c>
      <c r="L1154" s="0">
        <f>IF(H1153="1)",J1153,IF(H1153="2)",J1153,IF(H1153="3)",J1153,IF(H1153="4)",J1153,IF(H1153="5)",J1153,IF(H1153="6)",J1153,IF(H1153="7)",J1153,IF(H1153="8)",J1153,0))))))))</f>
        <v/>
      </c>
    </row>
    <row r="1155">
      <c r="A1155" s="0" t="inlineStr">
        <is>
          <t>Item</t>
        </is>
      </c>
      <c r="B1155" s="0" t="inlineStr">
        <is>
          <t>ReSelect</t>
        </is>
      </c>
      <c r="C1155" s="0" t="inlineStr">
        <is>
          <t>Failed</t>
        </is>
      </c>
      <c r="D1155" s="0" t="inlineStr">
        <is>
          <t>:</t>
        </is>
      </c>
      <c r="E1155" s="0" t="inlineStr">
        <is>
          <t>Attempt</t>
        </is>
      </c>
      <c r="F1155" s="0" t="inlineStr">
        <is>
          <t>Count</t>
        </is>
      </c>
      <c r="G1155" s="0" t="inlineStr">
        <is>
          <t>-</t>
        </is>
      </c>
      <c r="H1155" s="0" t="n">
        <v>3</v>
      </c>
      <c r="K1155" s="0">
        <f>IF(H1154="1)",1,IF(H1154="2)",2,IF(H1154="3)",3,IF(H1154="4)",4,IF(H1154="5)",5,IF(H1154="6)",6,IF(H1154="7)",7,IF(H1154="8)",8,0))))))))</f>
        <v/>
      </c>
      <c r="L1155" s="0">
        <f>IF(H1154="1)",J1154,IF(H1154="2)",J1154,IF(H1154="3)",J1154,IF(H1154="4)",J1154,IF(H1154="5)",J1154,IF(H1154="6)",J1154,IF(H1154="7)",J1154,IF(H1154="8)",J1154,0))))))))</f>
        <v/>
      </c>
    </row>
    <row r="1156">
      <c r="A1156" s="0" t="inlineStr">
        <is>
          <t>New</t>
        </is>
      </c>
      <c r="B1156" s="0" t="inlineStr">
        <is>
          <t>Item</t>
        </is>
      </c>
      <c r="C1156" s="0" t="inlineStr">
        <is>
          <t>Acquired</t>
        </is>
      </c>
      <c r="D1156" s="0" t="inlineStr">
        <is>
          <t>:</t>
        </is>
      </c>
      <c r="E1156" s="0" t="inlineStr">
        <is>
          <t>280.00K</t>
        </is>
      </c>
      <c r="F1156" s="0" t="inlineStr">
        <is>
          <t>(8,</t>
        </is>
      </c>
      <c r="G1156" s="0" t="inlineStr">
        <is>
          <t>5)</t>
        </is>
      </c>
      <c r="K1156" s="0">
        <f>IF(H1155="1)",1,IF(H1155="2)",2,IF(H1155="3)",3,IF(H1155="4)",4,IF(H1155="5)",5,IF(H1155="6)",6,IF(H1155="7)",7,IF(H1155="8)",8,0))))))))</f>
        <v/>
      </c>
      <c r="L1156" s="0">
        <f>IF(H1155="1)",J1155,IF(H1155="2)",J1155,IF(H1155="3)",J1155,IF(H1155="4)",J1155,IF(H1155="5)",J1155,IF(H1155="6)",J1155,IF(H1155="7)",J1155,IF(H1155="8)",J1155,0))))))))</f>
        <v/>
      </c>
    </row>
    <row r="1157">
      <c r="A1157" s="0" t="inlineStr">
        <is>
          <t>New</t>
        </is>
      </c>
      <c r="B1157" s="0" t="inlineStr">
        <is>
          <t>Item</t>
        </is>
      </c>
      <c r="C1157" s="0" t="inlineStr">
        <is>
          <t>Acquired</t>
        </is>
      </c>
      <c r="D1157" s="0" t="inlineStr">
        <is>
          <t>:</t>
        </is>
      </c>
      <c r="E1157" s="0" t="inlineStr">
        <is>
          <t>60.00K</t>
        </is>
      </c>
      <c r="F1157" s="0" t="inlineStr">
        <is>
          <t>(4,</t>
        </is>
      </c>
      <c r="G1157" s="0" t="inlineStr">
        <is>
          <t>14)</t>
        </is>
      </c>
      <c r="K1157" s="0">
        <f>IF(H1156="1)",1,IF(H1156="2)",2,IF(H1156="3)",3,IF(H1156="4)",4,IF(H1156="5)",5,IF(H1156="6)",6,IF(H1156="7)",7,IF(H1156="8)",8,0))))))))</f>
        <v/>
      </c>
      <c r="L1157" s="0">
        <f>IF(H1156="1)",J1156,IF(H1156="2)",J1156,IF(H1156="3)",J1156,IF(H1156="4)",J1156,IF(H1156="5)",J1156,IF(H1156="6)",J1156,IF(H1156="7)",J1156,IF(H1156="8)",J1156,0))))))))</f>
        <v/>
      </c>
    </row>
    <row r="1158">
      <c r="A1158" s="0" t="inlineStr">
        <is>
          <t>New</t>
        </is>
      </c>
      <c r="B1158" s="0" t="inlineStr">
        <is>
          <t>Item</t>
        </is>
      </c>
      <c r="C1158" s="0" t="inlineStr">
        <is>
          <t>Acquired</t>
        </is>
      </c>
      <c r="D1158" s="0" t="inlineStr">
        <is>
          <t>:</t>
        </is>
      </c>
      <c r="E1158" s="0" t="inlineStr">
        <is>
          <t>280.00K</t>
        </is>
      </c>
      <c r="F1158" s="0" t="inlineStr">
        <is>
          <t>(8,</t>
        </is>
      </c>
      <c r="G1158" s="0" t="inlineStr">
        <is>
          <t>1)</t>
        </is>
      </c>
      <c r="K1158" s="0">
        <f>IF(H1157="1)",1,IF(H1157="2)",2,IF(H1157="3)",3,IF(H1157="4)",4,IF(H1157="5)",5,IF(H1157="6)",6,IF(H1157="7)",7,IF(H1157="8)",8,0))))))))</f>
        <v/>
      </c>
      <c r="L1158" s="0">
        <f>IF(H1157="1)",J1157,IF(H1157="2)",J1157,IF(H1157="3)",J1157,IF(H1157="4)",J1157,IF(H1157="5)",J1157,IF(H1157="6)",J1157,IF(H1157="7)",J1157,IF(H1157="8)",J1157,0))))))))</f>
        <v/>
      </c>
    </row>
    <row r="1159">
      <c r="A1159" s="0" t="inlineStr">
        <is>
          <t>New</t>
        </is>
      </c>
      <c r="B1159" s="0" t="inlineStr">
        <is>
          <t>Item</t>
        </is>
      </c>
      <c r="C1159" s="0" t="inlineStr">
        <is>
          <t>Acquired</t>
        </is>
      </c>
      <c r="D1159" s="0" t="inlineStr">
        <is>
          <t>:</t>
        </is>
      </c>
      <c r="E1159" s="0" t="inlineStr">
        <is>
          <t>200.00K</t>
        </is>
      </c>
      <c r="F1159" s="0" t="inlineStr">
        <is>
          <t>(8,</t>
        </is>
      </c>
      <c r="G1159" s="0" t="inlineStr">
        <is>
          <t>22)</t>
        </is>
      </c>
      <c r="K1159" s="0">
        <f>IF(H1158="1)",1,IF(H1158="2)",2,IF(H1158="3)",3,IF(H1158="4)",4,IF(H1158="5)",5,IF(H1158="6)",6,IF(H1158="7)",7,IF(H1158="8)",8,0))))))))</f>
        <v/>
      </c>
      <c r="L1159" s="0">
        <f>IF(H1158="1)",J1158,IF(H1158="2)",J1158,IF(H1158="3)",J1158,IF(H1158="4)",J1158,IF(H1158="5)",J1158,IF(H1158="6)",J1158,IF(H1158="7)",J1158,IF(H1158="8)",J1158,0))))))))</f>
        <v/>
      </c>
    </row>
    <row r="1160">
      <c r="A1160" s="0" t="inlineStr">
        <is>
          <t>New</t>
        </is>
      </c>
      <c r="B1160" s="0" t="inlineStr">
        <is>
          <t>Item</t>
        </is>
      </c>
      <c r="C1160" s="0" t="inlineStr">
        <is>
          <t>Acquired</t>
        </is>
      </c>
      <c r="D1160" s="0" t="inlineStr">
        <is>
          <t>:</t>
        </is>
      </c>
      <c r="E1160" s="0" t="inlineStr">
        <is>
          <t>105.00K</t>
        </is>
      </c>
      <c r="F1160" s="0" t="inlineStr">
        <is>
          <t>(4,</t>
        </is>
      </c>
      <c r="G1160" s="0" t="inlineStr">
        <is>
          <t>10)</t>
        </is>
      </c>
      <c r="K1160" s="0">
        <f>IF(H1159="1)",1,IF(H1159="2)",2,IF(H1159="3)",3,IF(H1159="4)",4,IF(H1159="5)",5,IF(H1159="6)",6,IF(H1159="7)",7,IF(H1159="8)",8,0))))))))</f>
        <v/>
      </c>
      <c r="L1160" s="0">
        <f>IF(H1159="1)",J1159,IF(H1159="2)",J1159,IF(H1159="3)",J1159,IF(H1159="4)",J1159,IF(H1159="5)",J1159,IF(H1159="6)",J1159,IF(H1159="7)",J1159,IF(H1159="8)",J1159,0))))))))</f>
        <v/>
      </c>
    </row>
    <row r="1161">
      <c r="A1161" s="0" t="inlineStr">
        <is>
          <t>New</t>
        </is>
      </c>
      <c r="B1161" s="0" t="inlineStr">
        <is>
          <t>Item</t>
        </is>
      </c>
      <c r="C1161" s="0" t="inlineStr">
        <is>
          <t>Acquired</t>
        </is>
      </c>
      <c r="D1161" s="0" t="inlineStr">
        <is>
          <t>:</t>
        </is>
      </c>
      <c r="E1161" s="0" t="inlineStr">
        <is>
          <t>45.00K</t>
        </is>
      </c>
      <c r="F1161" s="0" t="inlineStr">
        <is>
          <t>(3,</t>
        </is>
      </c>
      <c r="G1161" s="0" t="inlineStr">
        <is>
          <t>5)</t>
        </is>
      </c>
      <c r="K1161" s="0">
        <f>IF(H1160="1)",1,IF(H1160="2)",2,IF(H1160="3)",3,IF(H1160="4)",4,IF(H1160="5)",5,IF(H1160="6)",6,IF(H1160="7)",7,IF(H1160="8)",8,0))))))))</f>
        <v/>
      </c>
      <c r="L1161" s="0">
        <f>IF(H1160="1)",J1160,IF(H1160="2)",J1160,IF(H1160="3)",J1160,IF(H1160="4)",J1160,IF(H1160="5)",J1160,IF(H1160="6)",J1160,IF(H1160="7)",J1160,IF(H1160="8)",J1160,0))))))))</f>
        <v/>
      </c>
    </row>
    <row r="1162">
      <c r="A1162" s="0" t="inlineStr">
        <is>
          <t>New</t>
        </is>
      </c>
      <c r="B1162" s="0" t="inlineStr">
        <is>
          <t>Item</t>
        </is>
      </c>
      <c r="C1162" s="0" t="inlineStr">
        <is>
          <t>Acquired</t>
        </is>
      </c>
      <c r="D1162" s="0" t="inlineStr">
        <is>
          <t>:</t>
        </is>
      </c>
      <c r="E1162" s="0" t="inlineStr">
        <is>
          <t>120.00K</t>
        </is>
      </c>
      <c r="F1162" s="0" t="inlineStr">
        <is>
          <t>(8,</t>
        </is>
      </c>
      <c r="G1162" s="0" t="inlineStr">
        <is>
          <t>12)</t>
        </is>
      </c>
      <c r="K1162" s="0">
        <f>IF(H1161="1)",1,IF(H1161="2)",2,IF(H1161="3)",3,IF(H1161="4)",4,IF(H1161="5)",5,IF(H1161="6)",6,IF(H1161="7)",7,IF(H1161="8)",8,0))))))))</f>
        <v/>
      </c>
      <c r="L1162" s="0">
        <f>IF(H1161="1)",J1161,IF(H1161="2)",J1161,IF(H1161="3)",J1161,IF(H1161="4)",J1161,IF(H1161="5)",J1161,IF(H1161="6)",J1161,IF(H1161="7)",J1161,IF(H1161="8)",J1161,0))))))))</f>
        <v/>
      </c>
    </row>
    <row r="1163">
      <c r="A1163" s="0" t="inlineStr">
        <is>
          <t>New</t>
        </is>
      </c>
      <c r="B1163" s="0" t="inlineStr">
        <is>
          <t>Item</t>
        </is>
      </c>
      <c r="C1163" s="0" t="inlineStr">
        <is>
          <t>Acquired</t>
        </is>
      </c>
      <c r="D1163" s="0" t="inlineStr">
        <is>
          <t>:</t>
        </is>
      </c>
      <c r="E1163" s="0" t="inlineStr">
        <is>
          <t>90.00K</t>
        </is>
      </c>
      <c r="F1163" s="0" t="inlineStr">
        <is>
          <t>(7,</t>
        </is>
      </c>
      <c r="G1163" s="0" t="inlineStr">
        <is>
          <t>9)</t>
        </is>
      </c>
      <c r="K1163" s="0">
        <f>IF(H1162="1)",1,IF(H1162="2)",2,IF(H1162="3)",3,IF(H1162="4)",4,IF(H1162="5)",5,IF(H1162="6)",6,IF(H1162="7)",7,IF(H1162="8)",8,0))))))))</f>
        <v/>
      </c>
      <c r="L1163" s="0">
        <f>IF(H1162="1)",J1162,IF(H1162="2)",J1162,IF(H1162="3)",J1162,IF(H1162="4)",J1162,IF(H1162="5)",J1162,IF(H1162="6)",J1162,IF(H1162="7)",J1162,IF(H1162="8)",J1162,0))))))))</f>
        <v/>
      </c>
    </row>
    <row r="1164">
      <c r="A1164" s="0" t="inlineStr">
        <is>
          <t>Item</t>
        </is>
      </c>
      <c r="B1164" s="0" t="inlineStr">
        <is>
          <t>ReSelect</t>
        </is>
      </c>
      <c r="C1164" s="0" t="inlineStr">
        <is>
          <t>Failed</t>
        </is>
      </c>
      <c r="D1164" s="0" t="inlineStr">
        <is>
          <t>:</t>
        </is>
      </c>
      <c r="E1164" s="0" t="inlineStr">
        <is>
          <t>Attempt</t>
        </is>
      </c>
      <c r="F1164" s="0" t="inlineStr">
        <is>
          <t>Count</t>
        </is>
      </c>
      <c r="G1164" s="0" t="inlineStr">
        <is>
          <t>-</t>
        </is>
      </c>
      <c r="H1164" s="0" t="n">
        <v>3</v>
      </c>
      <c r="K1164" s="0">
        <f>IF(H1163="1)",1,IF(H1163="2)",2,IF(H1163="3)",3,IF(H1163="4)",4,IF(H1163="5)",5,IF(H1163="6)",6,IF(H1163="7)",7,IF(H1163="8)",8,0))))))))</f>
        <v/>
      </c>
      <c r="L1164" s="0">
        <f>IF(H1163="1)",J1163,IF(H1163="2)",J1163,IF(H1163="3)",J1163,IF(H1163="4)",J1163,IF(H1163="5)",J1163,IF(H1163="6)",J1163,IF(H1163="7)",J1163,IF(H1163="8)",J1163,0))))))))</f>
        <v/>
      </c>
    </row>
    <row r="1165">
      <c r="A1165" s="0" t="inlineStr">
        <is>
          <t>New</t>
        </is>
      </c>
      <c r="B1165" s="0" t="inlineStr">
        <is>
          <t>Item</t>
        </is>
      </c>
      <c r="C1165" s="0" t="inlineStr">
        <is>
          <t>Acquired</t>
        </is>
      </c>
      <c r="D1165" s="0" t="inlineStr">
        <is>
          <t>:</t>
        </is>
      </c>
      <c r="E1165" s="0" t="inlineStr">
        <is>
          <t>37.50K</t>
        </is>
      </c>
      <c r="F1165" s="0" t="inlineStr">
        <is>
          <t>(2,</t>
        </is>
      </c>
      <c r="G1165" s="0" t="inlineStr">
        <is>
          <t>25)</t>
        </is>
      </c>
      <c r="K1165" s="0">
        <f>IF(H1164="1)",1,IF(H1164="2)",2,IF(H1164="3)",3,IF(H1164="4)",4,IF(H1164="5)",5,IF(H1164="6)",6,IF(H1164="7)",7,IF(H1164="8)",8,0))))))))</f>
        <v/>
      </c>
      <c r="L1165" s="0">
        <f>IF(H1164="1)",J1164,IF(H1164="2)",J1164,IF(H1164="3)",J1164,IF(H1164="4)",J1164,IF(H1164="5)",J1164,IF(H1164="6)",J1164,IF(H1164="7)",J1164,IF(H1164="8)",J1164,0))))))))</f>
        <v/>
      </c>
    </row>
    <row r="1166">
      <c r="A1166" s="0" t="inlineStr">
        <is>
          <t>New</t>
        </is>
      </c>
      <c r="B1166" s="0" t="inlineStr">
        <is>
          <t>Item</t>
        </is>
      </c>
      <c r="C1166" s="0" t="inlineStr">
        <is>
          <t>Acquired</t>
        </is>
      </c>
      <c r="D1166" s="0" t="inlineStr">
        <is>
          <t>:</t>
        </is>
      </c>
      <c r="E1166" s="0" t="inlineStr">
        <is>
          <t>45.00K</t>
        </is>
      </c>
      <c r="F1166" s="0" t="inlineStr">
        <is>
          <t>(3,</t>
        </is>
      </c>
      <c r="G1166" s="0" t="inlineStr">
        <is>
          <t>23)</t>
        </is>
      </c>
      <c r="K1166" s="0">
        <f>IF(H1165="1)",1,IF(H1165="2)",2,IF(H1165="3)",3,IF(H1165="4)",4,IF(H1165="5)",5,IF(H1165="6)",6,IF(H1165="7)",7,IF(H1165="8)",8,0))))))))</f>
        <v/>
      </c>
      <c r="L1166" s="0">
        <f>IF(H1165="1)",J1165,IF(H1165="2)",J1165,IF(H1165="3)",J1165,IF(H1165="4)",J1165,IF(H1165="5)",J1165,IF(H1165="6)",J1165,IF(H1165="7)",J1165,IF(H1165="8)",J1165,0))))))))</f>
        <v/>
      </c>
    </row>
    <row r="1167">
      <c r="A1167" s="0" t="inlineStr">
        <is>
          <t>New</t>
        </is>
      </c>
      <c r="B1167" s="0" t="inlineStr">
        <is>
          <t>Item</t>
        </is>
      </c>
      <c r="C1167" s="0" t="inlineStr">
        <is>
          <t>Acquired</t>
        </is>
      </c>
      <c r="D1167" s="0" t="inlineStr">
        <is>
          <t>:</t>
        </is>
      </c>
      <c r="E1167" s="0" t="inlineStr">
        <is>
          <t>75.00K</t>
        </is>
      </c>
      <c r="F1167" s="0" t="inlineStr">
        <is>
          <t>(3,</t>
        </is>
      </c>
      <c r="G1167" s="0" t="inlineStr">
        <is>
          <t>16)</t>
        </is>
      </c>
      <c r="K1167" s="0">
        <f>IF(H1166="1)",1,IF(H1166="2)",2,IF(H1166="3)",3,IF(H1166="4)",4,IF(H1166="5)",5,IF(H1166="6)",6,IF(H1166="7)",7,IF(H1166="8)",8,0))))))))</f>
        <v/>
      </c>
      <c r="L1167" s="0">
        <f>IF(H1166="1)",J1166,IF(H1166="2)",J1166,IF(H1166="3)",J1166,IF(H1166="4)",J1166,IF(H1166="5)",J1166,IF(H1166="6)",J1166,IF(H1166="7)",J1166,IF(H1166="8)",J1166,0))))))))</f>
        <v/>
      </c>
    </row>
    <row r="1168">
      <c r="A1168" s="0" t="inlineStr">
        <is>
          <t>New</t>
        </is>
      </c>
      <c r="B1168" s="0" t="inlineStr">
        <is>
          <t>Item</t>
        </is>
      </c>
      <c r="C1168" s="0" t="inlineStr">
        <is>
          <t>Acquired</t>
        </is>
      </c>
      <c r="D1168" s="0" t="inlineStr">
        <is>
          <t>:</t>
        </is>
      </c>
      <c r="E1168" s="0" t="inlineStr">
        <is>
          <t>75.00K</t>
        </is>
      </c>
      <c r="F1168" s="0" t="inlineStr">
        <is>
          <t>(6,</t>
        </is>
      </c>
      <c r="G1168" s="0" t="inlineStr">
        <is>
          <t>12)</t>
        </is>
      </c>
      <c r="K1168" s="0">
        <f>IF(H1167="1)",1,IF(H1167="2)",2,IF(H1167="3)",3,IF(H1167="4)",4,IF(H1167="5)",5,IF(H1167="6)",6,IF(H1167="7)",7,IF(H1167="8)",8,0))))))))</f>
        <v/>
      </c>
      <c r="L1168" s="0">
        <f>IF(H1167="1)",J1167,IF(H1167="2)",J1167,IF(H1167="3)",J1167,IF(H1167="4)",J1167,IF(H1167="5)",J1167,IF(H1167="6)",J1167,IF(H1167="7)",J1167,IF(H1167="8)",J1167,0))))))))</f>
        <v/>
      </c>
    </row>
    <row r="1169">
      <c r="A1169" s="0" t="inlineStr">
        <is>
          <t>New</t>
        </is>
      </c>
      <c r="B1169" s="0" t="inlineStr">
        <is>
          <t>Item</t>
        </is>
      </c>
      <c r="C1169" s="0" t="inlineStr">
        <is>
          <t>Acquired</t>
        </is>
      </c>
      <c r="D1169" s="0" t="inlineStr">
        <is>
          <t>:</t>
        </is>
      </c>
      <c r="E1169" s="0" t="inlineStr">
        <is>
          <t>75.00K</t>
        </is>
      </c>
      <c r="F1169" s="0" t="inlineStr">
        <is>
          <t>(3,</t>
        </is>
      </c>
      <c r="G1169" s="0" t="inlineStr">
        <is>
          <t>18)</t>
        </is>
      </c>
      <c r="K1169" s="0">
        <f>IF(H1168="1)",1,IF(H1168="2)",2,IF(H1168="3)",3,IF(H1168="4)",4,IF(H1168="5)",5,IF(H1168="6)",6,IF(H1168="7)",7,IF(H1168="8)",8,0))))))))</f>
        <v/>
      </c>
      <c r="L1169" s="0">
        <f>IF(H1168="1)",J1168,IF(H1168="2)",J1168,IF(H1168="3)",J1168,IF(H1168="4)",J1168,IF(H1168="5)",J1168,IF(H1168="6)",J1168,IF(H1168="7)",J1168,IF(H1168="8)",J1168,0))))))))</f>
        <v/>
      </c>
    </row>
    <row r="1170">
      <c r="A1170" s="0" t="inlineStr">
        <is>
          <t>New</t>
        </is>
      </c>
      <c r="B1170" s="0" t="inlineStr">
        <is>
          <t>Item</t>
        </is>
      </c>
      <c r="C1170" s="0" t="inlineStr">
        <is>
          <t>Acquired</t>
        </is>
      </c>
      <c r="D1170" s="0" t="inlineStr">
        <is>
          <t>:</t>
        </is>
      </c>
      <c r="E1170" s="0" t="inlineStr">
        <is>
          <t>87.50K</t>
        </is>
      </c>
      <c r="F1170" s="0" t="inlineStr">
        <is>
          <t>(2,</t>
        </is>
      </c>
      <c r="G1170" s="0" t="inlineStr">
        <is>
          <t>16)</t>
        </is>
      </c>
      <c r="K1170" s="0">
        <f>IF(H1169="1)",1,IF(H1169="2)",2,IF(H1169="3)",3,IF(H1169="4)",4,IF(H1169="5)",5,IF(H1169="6)",6,IF(H1169="7)",7,IF(H1169="8)",8,0))))))))</f>
        <v/>
      </c>
      <c r="L1170" s="0">
        <f>IF(H1169="1)",J1169,IF(H1169="2)",J1169,IF(H1169="3)",J1169,IF(H1169="4)",J1169,IF(H1169="5)",J1169,IF(H1169="6)",J1169,IF(H1169="7)",J1169,IF(H1169="8)",J1169,0))))))))</f>
        <v/>
      </c>
    </row>
    <row r="1171">
      <c r="A1171" s="0" t="inlineStr">
        <is>
          <t>New</t>
        </is>
      </c>
      <c r="B1171" s="0" t="inlineStr">
        <is>
          <t>Item</t>
        </is>
      </c>
      <c r="C1171" s="0" t="inlineStr">
        <is>
          <t>Acquired</t>
        </is>
      </c>
      <c r="D1171" s="0" t="inlineStr">
        <is>
          <t>:</t>
        </is>
      </c>
      <c r="E1171" s="0" t="inlineStr">
        <is>
          <t>37.50K</t>
        </is>
      </c>
      <c r="F1171" s="0" t="inlineStr">
        <is>
          <t>(2,</t>
        </is>
      </c>
      <c r="G1171" s="0" t="inlineStr">
        <is>
          <t>18)</t>
        </is>
      </c>
      <c r="K1171" s="0">
        <f>IF(H1170="1)",1,IF(H1170="2)",2,IF(H1170="3)",3,IF(H1170="4)",4,IF(H1170="5)",5,IF(H1170="6)",6,IF(H1170="7)",7,IF(H1170="8)",8,0))))))))</f>
        <v/>
      </c>
      <c r="L1171" s="0">
        <f>IF(H1170="1)",J1170,IF(H1170="2)",J1170,IF(H1170="3)",J1170,IF(H1170="4)",J1170,IF(H1170="5)",J1170,IF(H1170="6)",J1170,IF(H1170="7)",J1170,IF(H1170="8)",J1170,0))))))))</f>
        <v/>
      </c>
    </row>
    <row r="1172">
      <c r="A1172" s="0" t="inlineStr">
        <is>
          <t>Line</t>
        </is>
      </c>
      <c r="B1172" s="0" t="inlineStr">
        <is>
          <t>Prize</t>
        </is>
      </c>
      <c r="C1172" s="0" t="inlineStr">
        <is>
          <t>Acquired</t>
        </is>
      </c>
      <c r="D1172" s="0" t="inlineStr">
        <is>
          <t>:</t>
        </is>
      </c>
      <c r="E1172" s="0" t="inlineStr">
        <is>
          <t>550.00K</t>
        </is>
      </c>
      <c r="F1172" s="0" t="inlineStr">
        <is>
          <t>(Stage</t>
        </is>
      </c>
      <c r="G1172" s="0" t="inlineStr">
        <is>
          <t>:</t>
        </is>
      </c>
      <c r="H1172" s="0" t="inlineStr">
        <is>
          <t>2)</t>
        </is>
      </c>
      <c r="I1172" s="0" t="inlineStr">
        <is>
          <t>-</t>
        </is>
      </c>
      <c r="J1172" s="0" t="n">
        <v>550000</v>
      </c>
      <c r="K1172" s="0">
        <f>IF(H1171="1)",1,IF(H1171="2)",2,IF(H1171="3)",3,IF(H1171="4)",4,IF(H1171="5)",5,IF(H1171="6)",6,IF(H1171="7)",7,IF(H1171="8)",8,0))))))))</f>
        <v/>
      </c>
      <c r="L1172" s="0">
        <f>IF(H1171="1)",J1171,IF(H1171="2)",J1171,IF(H1171="3)",J1171,IF(H1171="4)",J1171,IF(H1171="5)",J1171,IF(H1171="6)",J1171,IF(H1171="7)",J1171,IF(H1171="8)",J1171,0))))))))</f>
        <v/>
      </c>
    </row>
    <row r="1173">
      <c r="A1173" s="0" t="inlineStr">
        <is>
          <t>Clear</t>
        </is>
      </c>
      <c r="B1173" s="0" t="inlineStr">
        <is>
          <t>Gem</t>
        </is>
      </c>
      <c r="C1173" s="0" t="inlineStr">
        <is>
          <t>Acquired</t>
        </is>
      </c>
      <c r="D1173" s="0" t="inlineStr">
        <is>
          <t>:</t>
        </is>
      </c>
      <c r="E1173" s="0" t="n">
        <v>6900</v>
      </c>
      <c r="F1173" s="0" t="inlineStr">
        <is>
          <t>-&gt;</t>
        </is>
      </c>
      <c r="G1173" s="0" t="n">
        <v>7000</v>
      </c>
      <c r="H1173" s="0" t="inlineStr">
        <is>
          <t>(Stage</t>
        </is>
      </c>
      <c r="I1173" s="0" t="inlineStr">
        <is>
          <t>:</t>
        </is>
      </c>
      <c r="J1173" s="0" t="inlineStr">
        <is>
          <t>2)</t>
        </is>
      </c>
      <c r="K1173" s="0">
        <f>IF(H1172="1)",1,IF(H1172="2)",2,IF(H1172="3)",3,IF(H1172="4)",4,IF(H1172="5)",5,IF(H1172="6)",6,IF(H1172="7)",7,IF(H1172="8)",8,0))))))))</f>
        <v/>
      </c>
      <c r="L1173" s="0">
        <f>IF(H1172="1)",J1172,IF(H1172="2)",J1172,IF(H1172="3)",J1172,IF(H1172="4)",J1172,IF(H1172="5)",J1172,IF(H1172="6)",J1172,IF(H1172="7)",J1172,IF(H1172="8)",J1172,0))))))))</f>
        <v/>
      </c>
    </row>
    <row r="1174">
      <c r="A1174" s="0" t="inlineStr">
        <is>
          <t>New</t>
        </is>
      </c>
      <c r="B1174" s="0" t="inlineStr">
        <is>
          <t>Item</t>
        </is>
      </c>
      <c r="C1174" s="0" t="inlineStr">
        <is>
          <t>Acquired</t>
        </is>
      </c>
      <c r="D1174" s="0" t="inlineStr">
        <is>
          <t>:</t>
        </is>
      </c>
      <c r="E1174" s="0" t="inlineStr">
        <is>
          <t>62.50K</t>
        </is>
      </c>
      <c r="F1174" s="0" t="inlineStr">
        <is>
          <t>(2,</t>
        </is>
      </c>
      <c r="G1174" s="0" t="inlineStr">
        <is>
          <t>15)</t>
        </is>
      </c>
      <c r="K1174" s="0">
        <f>IF(H1173="1)",1,IF(H1173="2)",2,IF(H1173="3)",3,IF(H1173="4)",4,IF(H1173="5)",5,IF(H1173="6)",6,IF(H1173="7)",7,IF(H1173="8)",8,0))))))))</f>
        <v/>
      </c>
      <c r="L1174" s="0">
        <f>IF(H1173="1)",J1173,IF(H1173="2)",J1173,IF(H1173="3)",J1173,IF(H1173="4)",J1173,IF(H1173="5)",J1173,IF(H1173="6)",J1173,IF(H1173="7)",J1173,IF(H1173="8)",J1173,0))))))))</f>
        <v/>
      </c>
    </row>
    <row r="1175">
      <c r="A1175" s="0" t="inlineStr">
        <is>
          <t>New</t>
        </is>
      </c>
      <c r="B1175" s="0" t="inlineStr">
        <is>
          <t>Item</t>
        </is>
      </c>
      <c r="C1175" s="0" t="inlineStr">
        <is>
          <t>Acquired</t>
        </is>
      </c>
      <c r="D1175" s="0" t="inlineStr">
        <is>
          <t>:</t>
        </is>
      </c>
      <c r="E1175" s="0" t="inlineStr">
        <is>
          <t>Mini</t>
        </is>
      </c>
      <c r="F1175" s="0" t="inlineStr">
        <is>
          <t>(3,</t>
        </is>
      </c>
      <c r="G1175" s="0" t="inlineStr">
        <is>
          <t>8)</t>
        </is>
      </c>
      <c r="K1175" s="0">
        <f>IF(H1174="1)",1,IF(H1174="2)",2,IF(H1174="3)",3,IF(H1174="4)",4,IF(H1174="5)",5,IF(H1174="6)",6,IF(H1174="7)",7,IF(H1174="8)",8,0))))))))</f>
        <v/>
      </c>
      <c r="L1175" s="0">
        <f>IF(H1174="1)",J1174,IF(H1174="2)",J1174,IF(H1174="3)",J1174,IF(H1174="4)",J1174,IF(H1174="5)",J1174,IF(H1174="6)",J1174,IF(H1174="7)",J1174,IF(H1174="8)",J1174,0))))))))</f>
        <v/>
      </c>
    </row>
    <row r="1176">
      <c r="A1176" s="0" t="inlineStr">
        <is>
          <t>New</t>
        </is>
      </c>
      <c r="B1176" s="0" t="inlineStr">
        <is>
          <t>Item</t>
        </is>
      </c>
      <c r="C1176" s="0" t="inlineStr">
        <is>
          <t>Acquired</t>
        </is>
      </c>
      <c r="D1176" s="0" t="inlineStr">
        <is>
          <t>:</t>
        </is>
      </c>
      <c r="E1176" s="0" t="inlineStr">
        <is>
          <t>Mini</t>
        </is>
      </c>
      <c r="F1176" s="0" t="inlineStr">
        <is>
          <t>(5,</t>
        </is>
      </c>
      <c r="G1176" s="0" t="inlineStr">
        <is>
          <t>17)</t>
        </is>
      </c>
      <c r="K1176" s="0">
        <f>IF(H1175="1)",1,IF(H1175="2)",2,IF(H1175="3)",3,IF(H1175="4)",4,IF(H1175="5)",5,IF(H1175="6)",6,IF(H1175="7)",7,IF(H1175="8)",8,0))))))))</f>
        <v/>
      </c>
      <c r="L1176" s="0">
        <f>IF(H1175="1)",J1175,IF(H1175="2)",J1175,IF(H1175="3)",J1175,IF(H1175="4)",J1175,IF(H1175="5)",J1175,IF(H1175="6)",J1175,IF(H1175="7)",J1175,IF(H1175="8)",J1175,0))))))))</f>
        <v/>
      </c>
    </row>
    <row r="1177">
      <c r="A1177" s="0" t="inlineStr">
        <is>
          <t>New</t>
        </is>
      </c>
      <c r="B1177" s="0" t="inlineStr">
        <is>
          <t>Item</t>
        </is>
      </c>
      <c r="C1177" s="0" t="inlineStr">
        <is>
          <t>Acquired</t>
        </is>
      </c>
      <c r="D1177" s="0" t="inlineStr">
        <is>
          <t>:</t>
        </is>
      </c>
      <c r="E1177" s="0" t="inlineStr">
        <is>
          <t>75.00K</t>
        </is>
      </c>
      <c r="F1177" s="0" t="inlineStr">
        <is>
          <t>(3,</t>
        </is>
      </c>
      <c r="G1177" s="0" t="inlineStr">
        <is>
          <t>21)</t>
        </is>
      </c>
      <c r="K1177" s="0">
        <f>IF(H1176="1)",1,IF(H1176="2)",2,IF(H1176="3)",3,IF(H1176="4)",4,IF(H1176="5)",5,IF(H1176="6)",6,IF(H1176="7)",7,IF(H1176="8)",8,0))))))))</f>
        <v/>
      </c>
      <c r="L1177" s="0">
        <f>IF(H1176="1)",J1176,IF(H1176="2)",J1176,IF(H1176="3)",J1176,IF(H1176="4)",J1176,IF(H1176="5)",J1176,IF(H1176="6)",J1176,IF(H1176="7)",J1176,IF(H1176="8)",J1176,0))))))))</f>
        <v/>
      </c>
    </row>
    <row r="1178">
      <c r="A1178" s="0" t="inlineStr">
        <is>
          <t>New</t>
        </is>
      </c>
      <c r="B1178" s="0" t="inlineStr">
        <is>
          <t>Item</t>
        </is>
      </c>
      <c r="C1178" s="0" t="inlineStr">
        <is>
          <t>Acquired</t>
        </is>
      </c>
      <c r="D1178" s="0" t="inlineStr">
        <is>
          <t>:</t>
        </is>
      </c>
      <c r="E1178" s="0" t="inlineStr">
        <is>
          <t>45.00K</t>
        </is>
      </c>
      <c r="F1178" s="0" t="inlineStr">
        <is>
          <t>(3,</t>
        </is>
      </c>
      <c r="G1178" s="0" t="inlineStr">
        <is>
          <t>1)</t>
        </is>
      </c>
      <c r="K1178" s="0">
        <f>IF(H1177="1)",1,IF(H1177="2)",2,IF(H1177="3)",3,IF(H1177="4)",4,IF(H1177="5)",5,IF(H1177="6)",6,IF(H1177="7)",7,IF(H1177="8)",8,0))))))))</f>
        <v/>
      </c>
      <c r="L1178" s="0">
        <f>IF(H1177="1)",J1177,IF(H1177="2)",J1177,IF(H1177="3)",J1177,IF(H1177="4)",J1177,IF(H1177="5)",J1177,IF(H1177="6)",J1177,IF(H1177="7)",J1177,IF(H1177="8)",J1177,0))))))))</f>
        <v/>
      </c>
    </row>
    <row r="1179">
      <c r="A1179" s="0" t="inlineStr">
        <is>
          <t>New</t>
        </is>
      </c>
      <c r="B1179" s="0" t="inlineStr">
        <is>
          <t>Item</t>
        </is>
      </c>
      <c r="C1179" s="0" t="inlineStr">
        <is>
          <t>Acquired</t>
        </is>
      </c>
      <c r="D1179" s="0" t="inlineStr">
        <is>
          <t>:</t>
        </is>
      </c>
      <c r="E1179" s="0" t="inlineStr">
        <is>
          <t>200.00K</t>
        </is>
      </c>
      <c r="F1179" s="0" t="inlineStr">
        <is>
          <t>(8,</t>
        </is>
      </c>
      <c r="G1179" s="0" t="inlineStr">
        <is>
          <t>21)</t>
        </is>
      </c>
      <c r="K1179" s="0">
        <f>IF(H1178="1)",1,IF(H1178="2)",2,IF(H1178="3)",3,IF(H1178="4)",4,IF(H1178="5)",5,IF(H1178="6)",6,IF(H1178="7)",7,IF(H1178="8)",8,0))))))))</f>
        <v/>
      </c>
      <c r="L1179" s="0">
        <f>IF(H1178="1)",J1178,IF(H1178="2)",J1178,IF(H1178="3)",J1178,IF(H1178="4)",J1178,IF(H1178="5)",J1178,IF(H1178="6)",J1178,IF(H1178="7)",J1178,IF(H1178="8)",J1178,0))))))))</f>
        <v/>
      </c>
    </row>
    <row r="1180">
      <c r="A1180" s="0" t="inlineStr">
        <is>
          <t>New</t>
        </is>
      </c>
      <c r="B1180" s="0" t="inlineStr">
        <is>
          <t>Item</t>
        </is>
      </c>
      <c r="C1180" s="0" t="inlineStr">
        <is>
          <t>Acquired</t>
        </is>
      </c>
      <c r="D1180" s="0" t="inlineStr">
        <is>
          <t>:</t>
        </is>
      </c>
      <c r="E1180" s="0" t="inlineStr">
        <is>
          <t>Mini</t>
        </is>
      </c>
      <c r="F1180" s="0" t="inlineStr">
        <is>
          <t>(4,</t>
        </is>
      </c>
      <c r="G1180" s="0" t="inlineStr">
        <is>
          <t>1)</t>
        </is>
      </c>
      <c r="K1180" s="0">
        <f>IF(H1179="1)",1,IF(H1179="2)",2,IF(H1179="3)",3,IF(H1179="4)",4,IF(H1179="5)",5,IF(H1179="6)",6,IF(H1179="7)",7,IF(H1179="8)",8,0))))))))</f>
        <v/>
      </c>
      <c r="L1180" s="0">
        <f>IF(H1179="1)",J1179,IF(H1179="2)",J1179,IF(H1179="3)",J1179,IF(H1179="4)",J1179,IF(H1179="5)",J1179,IF(H1179="6)",J1179,IF(H1179="7)",J1179,IF(H1179="8)",J1179,0))))))))</f>
        <v/>
      </c>
    </row>
    <row r="1181">
      <c r="A1181" s="0" t="inlineStr">
        <is>
          <t>New</t>
        </is>
      </c>
      <c r="B1181" s="0" t="inlineStr">
        <is>
          <t>Item</t>
        </is>
      </c>
      <c r="C1181" s="0" t="inlineStr">
        <is>
          <t>Acquired</t>
        </is>
      </c>
      <c r="D1181" s="0" t="inlineStr">
        <is>
          <t>:</t>
        </is>
      </c>
      <c r="E1181" s="0" t="inlineStr">
        <is>
          <t>280.00K</t>
        </is>
      </c>
      <c r="F1181" s="0" t="inlineStr">
        <is>
          <t>(8,</t>
        </is>
      </c>
      <c r="G1181" s="0" t="inlineStr">
        <is>
          <t>7)</t>
        </is>
      </c>
      <c r="K1181" s="0">
        <f>IF(H1180="1)",1,IF(H1180="2)",2,IF(H1180="3)",3,IF(H1180="4)",4,IF(H1180="5)",5,IF(H1180="6)",6,IF(H1180="7)",7,IF(H1180="8)",8,0))))))))</f>
        <v/>
      </c>
      <c r="L1181" s="0">
        <f>IF(H1180="1)",J1180,IF(H1180="2)",J1180,IF(H1180="3)",J1180,IF(H1180="4)",J1180,IF(H1180="5)",J1180,IF(H1180="6)",J1180,IF(H1180="7)",J1180,IF(H1180="8)",J1180,0))))))))</f>
        <v/>
      </c>
    </row>
    <row r="1182">
      <c r="A1182" s="0" t="inlineStr">
        <is>
          <t>New</t>
        </is>
      </c>
      <c r="B1182" s="0" t="inlineStr">
        <is>
          <t>Item</t>
        </is>
      </c>
      <c r="C1182" s="0" t="inlineStr">
        <is>
          <t>Acquired</t>
        </is>
      </c>
      <c r="D1182" s="0" t="inlineStr">
        <is>
          <t>:</t>
        </is>
      </c>
      <c r="E1182" s="0" t="inlineStr">
        <is>
          <t>70.00K</t>
        </is>
      </c>
      <c r="F1182" s="0" t="inlineStr">
        <is>
          <t>(1,</t>
        </is>
      </c>
      <c r="G1182" s="0" t="inlineStr">
        <is>
          <t>18)</t>
        </is>
      </c>
      <c r="K1182" s="0">
        <f>IF(H1181="1)",1,IF(H1181="2)",2,IF(H1181="3)",3,IF(H1181="4)",4,IF(H1181="5)",5,IF(H1181="6)",6,IF(H1181="7)",7,IF(H1181="8)",8,0))))))))</f>
        <v/>
      </c>
      <c r="L1182" s="0">
        <f>IF(H1181="1)",J1181,IF(H1181="2)",J1181,IF(H1181="3)",J1181,IF(H1181="4)",J1181,IF(H1181="5)",J1181,IF(H1181="6)",J1181,IF(H1181="7)",J1181,IF(H1181="8)",J1181,0))))))))</f>
        <v/>
      </c>
    </row>
    <row r="1183">
      <c r="A1183" s="0" t="inlineStr">
        <is>
          <t>New</t>
        </is>
      </c>
      <c r="B1183" s="0" t="inlineStr">
        <is>
          <t>Item</t>
        </is>
      </c>
      <c r="C1183" s="0" t="inlineStr">
        <is>
          <t>Acquired</t>
        </is>
      </c>
      <c r="D1183" s="0" t="inlineStr">
        <is>
          <t>:</t>
        </is>
      </c>
      <c r="E1183" s="0" t="inlineStr">
        <is>
          <t>112.50K</t>
        </is>
      </c>
      <c r="F1183" s="0" t="inlineStr">
        <is>
          <t>(5,</t>
        </is>
      </c>
      <c r="G1183" s="0" t="inlineStr">
        <is>
          <t>23)</t>
        </is>
      </c>
      <c r="K1183" s="0">
        <f>IF(H1182="1)",1,IF(H1182="2)",2,IF(H1182="3)",3,IF(H1182="4)",4,IF(H1182="5)",5,IF(H1182="6)",6,IF(H1182="7)",7,IF(H1182="8)",8,0))))))))</f>
        <v/>
      </c>
      <c r="L1183" s="0">
        <f>IF(H1182="1)",J1182,IF(H1182="2)",J1182,IF(H1182="3)",J1182,IF(H1182="4)",J1182,IF(H1182="5)",J1182,IF(H1182="6)",J1182,IF(H1182="7)",J1182,IF(H1182="8)",J1182,0))))))))</f>
        <v/>
      </c>
    </row>
    <row r="1184">
      <c r="A1184" s="0" t="inlineStr">
        <is>
          <t>New</t>
        </is>
      </c>
      <c r="B1184" s="0" t="inlineStr">
        <is>
          <t>Item</t>
        </is>
      </c>
      <c r="C1184" s="0" t="inlineStr">
        <is>
          <t>Acquired</t>
        </is>
      </c>
      <c r="D1184" s="0" t="inlineStr">
        <is>
          <t>:</t>
        </is>
      </c>
      <c r="E1184" s="0" t="inlineStr">
        <is>
          <t>105.00K</t>
        </is>
      </c>
      <c r="F1184" s="0" t="inlineStr">
        <is>
          <t>(3,</t>
        </is>
      </c>
      <c r="G1184" s="0" t="inlineStr">
        <is>
          <t>17)</t>
        </is>
      </c>
      <c r="K1184" s="0">
        <f>IF(H1183="1)",1,IF(H1183="2)",2,IF(H1183="3)",3,IF(H1183="4)",4,IF(H1183="5)",5,IF(H1183="6)",6,IF(H1183="7)",7,IF(H1183="8)",8,0))))))))</f>
        <v/>
      </c>
      <c r="L1184" s="0">
        <f>IF(H1183="1)",J1183,IF(H1183="2)",J1183,IF(H1183="3)",J1183,IF(H1183="4)",J1183,IF(H1183="5)",J1183,IF(H1183="6)",J1183,IF(H1183="7)",J1183,IF(H1183="8)",J1183,0))))))))</f>
        <v/>
      </c>
    </row>
    <row r="1185">
      <c r="A1185" s="0" t="inlineStr">
        <is>
          <t>New</t>
        </is>
      </c>
      <c r="B1185" s="0" t="inlineStr">
        <is>
          <t>Item</t>
        </is>
      </c>
      <c r="C1185" s="0" t="inlineStr">
        <is>
          <t>Acquired</t>
        </is>
      </c>
      <c r="D1185" s="0" t="inlineStr">
        <is>
          <t>:</t>
        </is>
      </c>
      <c r="E1185" s="0" t="inlineStr">
        <is>
          <t>105.00K</t>
        </is>
      </c>
      <c r="F1185" s="0" t="inlineStr">
        <is>
          <t>(4,</t>
        </is>
      </c>
      <c r="G1185" s="0" t="inlineStr">
        <is>
          <t>15)</t>
        </is>
      </c>
      <c r="K1185" s="0">
        <f>IF(H1184="1)",1,IF(H1184="2)",2,IF(H1184="3)",3,IF(H1184="4)",4,IF(H1184="5)",5,IF(H1184="6)",6,IF(H1184="7)",7,IF(H1184="8)",8,0))))))))</f>
        <v/>
      </c>
      <c r="L1185" s="0">
        <f>IF(H1184="1)",J1184,IF(H1184="2)",J1184,IF(H1184="3)",J1184,IF(H1184="4)",J1184,IF(H1184="5)",J1184,IF(H1184="6)",J1184,IF(H1184="7)",J1184,IF(H1184="8)",J1184,0))))))))</f>
        <v/>
      </c>
    </row>
    <row r="1186">
      <c r="A1186" s="0" t="inlineStr">
        <is>
          <t>New</t>
        </is>
      </c>
      <c r="B1186" s="0" t="inlineStr">
        <is>
          <t>Item</t>
        </is>
      </c>
      <c r="C1186" s="0" t="inlineStr">
        <is>
          <t>Acquired</t>
        </is>
      </c>
      <c r="D1186" s="0" t="inlineStr">
        <is>
          <t>:</t>
        </is>
      </c>
      <c r="E1186" s="0" t="inlineStr">
        <is>
          <t>30.00K</t>
        </is>
      </c>
      <c r="F1186" s="0" t="inlineStr">
        <is>
          <t>(1,</t>
        </is>
      </c>
      <c r="G1186" s="0" t="inlineStr">
        <is>
          <t>20)</t>
        </is>
      </c>
      <c r="K1186" s="0">
        <f>IF(H1185="1)",1,IF(H1185="2)",2,IF(H1185="3)",3,IF(H1185="4)",4,IF(H1185="5)",5,IF(H1185="6)",6,IF(H1185="7)",7,IF(H1185="8)",8,0))))))))</f>
        <v/>
      </c>
      <c r="L1186" s="0">
        <f>IF(H1185="1)",J1185,IF(H1185="2)",J1185,IF(H1185="3)",J1185,IF(H1185="4)",J1185,IF(H1185="5)",J1185,IF(H1185="6)",J1185,IF(H1185="7)",J1185,IF(H1185="8)",J1185,0))))))))</f>
        <v/>
      </c>
    </row>
    <row r="1187">
      <c r="A1187" s="0" t="inlineStr">
        <is>
          <t>New</t>
        </is>
      </c>
      <c r="B1187" s="0" t="inlineStr">
        <is>
          <t>Item</t>
        </is>
      </c>
      <c r="C1187" s="0" t="inlineStr">
        <is>
          <t>Acquired</t>
        </is>
      </c>
      <c r="D1187" s="0" t="inlineStr">
        <is>
          <t>:</t>
        </is>
      </c>
      <c r="E1187" s="0" t="inlineStr">
        <is>
          <t>112.50K</t>
        </is>
      </c>
      <c r="F1187" s="0" t="inlineStr">
        <is>
          <t>(5,</t>
        </is>
      </c>
      <c r="G1187" s="0" t="inlineStr">
        <is>
          <t>12)</t>
        </is>
      </c>
      <c r="K1187" s="0">
        <f>IF(H1186="1)",1,IF(H1186="2)",2,IF(H1186="3)",3,IF(H1186="4)",4,IF(H1186="5)",5,IF(H1186="6)",6,IF(H1186="7)",7,IF(H1186="8)",8,0))))))))</f>
        <v/>
      </c>
      <c r="L1187" s="0">
        <f>IF(H1186="1)",J1186,IF(H1186="2)",J1186,IF(H1186="3)",J1186,IF(H1186="4)",J1186,IF(H1186="5)",J1186,IF(H1186="6)",J1186,IF(H1186="7)",J1186,IF(H1186="8)",J1186,0))))))))</f>
        <v/>
      </c>
    </row>
    <row r="1188">
      <c r="A1188" s="0" t="inlineStr">
        <is>
          <t>Line</t>
        </is>
      </c>
      <c r="B1188" s="0" t="inlineStr">
        <is>
          <t>Prize</t>
        </is>
      </c>
      <c r="C1188" s="0" t="inlineStr">
        <is>
          <t>Acquired</t>
        </is>
      </c>
      <c r="D1188" s="0" t="inlineStr">
        <is>
          <t>:</t>
        </is>
      </c>
      <c r="E1188" s="0" t="inlineStr">
        <is>
          <t>1.24M</t>
        </is>
      </c>
      <c r="F1188" s="0" t="inlineStr">
        <is>
          <t>(Stage</t>
        </is>
      </c>
      <c r="G1188" s="0" t="inlineStr">
        <is>
          <t>:</t>
        </is>
      </c>
      <c r="H1188" s="0" t="inlineStr">
        <is>
          <t>5)</t>
        </is>
      </c>
      <c r="I1188" s="0" t="inlineStr">
        <is>
          <t>-</t>
        </is>
      </c>
      <c r="J1188" s="0" t="n">
        <v>1237500</v>
      </c>
      <c r="K1188" s="0">
        <f>IF(H1187="1)",1,IF(H1187="2)",2,IF(H1187="3)",3,IF(H1187="4)",4,IF(H1187="5)",5,IF(H1187="6)",6,IF(H1187="7)",7,IF(H1187="8)",8,0))))))))</f>
        <v/>
      </c>
      <c r="L1188" s="0">
        <f>IF(H1187="1)",J1187,IF(H1187="2)",J1187,IF(H1187="3)",J1187,IF(H1187="4)",J1187,IF(H1187="5)",J1187,IF(H1187="6)",J1187,IF(H1187="7)",J1187,IF(H1187="8)",J1187,0))))))))</f>
        <v/>
      </c>
    </row>
    <row r="1189">
      <c r="A1189" s="0" t="inlineStr">
        <is>
          <t>Clear</t>
        </is>
      </c>
      <c r="B1189" s="0" t="inlineStr">
        <is>
          <t>Gem</t>
        </is>
      </c>
      <c r="C1189" s="0" t="inlineStr">
        <is>
          <t>Acquired</t>
        </is>
      </c>
      <c r="D1189" s="0" t="inlineStr">
        <is>
          <t>:</t>
        </is>
      </c>
      <c r="E1189" s="0" t="n">
        <v>7000</v>
      </c>
      <c r="F1189" s="0" t="inlineStr">
        <is>
          <t>-&gt;</t>
        </is>
      </c>
      <c r="G1189" s="0" t="n">
        <v>7100</v>
      </c>
      <c r="H1189" s="0" t="inlineStr">
        <is>
          <t>(Stage</t>
        </is>
      </c>
      <c r="I1189" s="0" t="inlineStr">
        <is>
          <t>:</t>
        </is>
      </c>
      <c r="J1189" s="0" t="inlineStr">
        <is>
          <t>5)</t>
        </is>
      </c>
      <c r="K1189" s="0">
        <f>IF(H1188="1)",1,IF(H1188="2)",2,IF(H1188="3)",3,IF(H1188="4)",4,IF(H1188="5)",5,IF(H1188="6)",6,IF(H1188="7)",7,IF(H1188="8)",8,0))))))))</f>
        <v/>
      </c>
      <c r="L1189" s="0">
        <f>IF(H1188="1)",J1188,IF(H1188="2)",J1188,IF(H1188="3)",J1188,IF(H1188="4)",J1188,IF(H1188="5)",J1188,IF(H1188="6)",J1188,IF(H1188="7)",J1188,IF(H1188="8)",J1188,0))))))))</f>
        <v/>
      </c>
    </row>
    <row r="1190">
      <c r="A1190" s="0" t="inlineStr">
        <is>
          <t>New</t>
        </is>
      </c>
      <c r="B1190" s="0" t="inlineStr">
        <is>
          <t>Item</t>
        </is>
      </c>
      <c r="C1190" s="0" t="inlineStr">
        <is>
          <t>Acquired</t>
        </is>
      </c>
      <c r="D1190" s="0" t="inlineStr">
        <is>
          <t>:</t>
        </is>
      </c>
      <c r="E1190" s="0" t="inlineStr">
        <is>
          <t>67.50K</t>
        </is>
      </c>
      <c r="F1190" s="0" t="inlineStr">
        <is>
          <t>(5,</t>
        </is>
      </c>
      <c r="G1190" s="0" t="inlineStr">
        <is>
          <t>22)</t>
        </is>
      </c>
      <c r="K1190" s="0">
        <f>IF(H1189="1)",1,IF(H1189="2)",2,IF(H1189="3)",3,IF(H1189="4)",4,IF(H1189="5)",5,IF(H1189="6)",6,IF(H1189="7)",7,IF(H1189="8)",8,0))))))))</f>
        <v/>
      </c>
      <c r="L1190" s="0">
        <f>IF(H1189="1)",J1189,IF(H1189="2)",J1189,IF(H1189="3)",J1189,IF(H1189="4)",J1189,IF(H1189="5)",J1189,IF(H1189="6)",J1189,IF(H1189="7)",J1189,IF(H1189="8)",J1189,0))))))))</f>
        <v/>
      </c>
    </row>
    <row r="1191">
      <c r="A1191" s="0" t="inlineStr">
        <is>
          <t>New</t>
        </is>
      </c>
      <c r="B1191" s="0" t="inlineStr">
        <is>
          <t>Item</t>
        </is>
      </c>
      <c r="C1191" s="0" t="inlineStr">
        <is>
          <t>Acquired</t>
        </is>
      </c>
      <c r="D1191" s="0" t="inlineStr">
        <is>
          <t>:</t>
        </is>
      </c>
      <c r="E1191" s="0" t="inlineStr">
        <is>
          <t>75.00K</t>
        </is>
      </c>
      <c r="F1191" s="0" t="inlineStr">
        <is>
          <t>(3,</t>
        </is>
      </c>
      <c r="G1191" s="0" t="inlineStr">
        <is>
          <t>6)</t>
        </is>
      </c>
      <c r="K1191" s="0">
        <f>IF(H1190="1)",1,IF(H1190="2)",2,IF(H1190="3)",3,IF(H1190="4)",4,IF(H1190="5)",5,IF(H1190="6)",6,IF(H1190="7)",7,IF(H1190="8)",8,0))))))))</f>
        <v/>
      </c>
      <c r="L1191" s="0">
        <f>IF(H1190="1)",J1190,IF(H1190="2)",J1190,IF(H1190="3)",J1190,IF(H1190="4)",J1190,IF(H1190="5)",J1190,IF(H1190="6)",J1190,IF(H1190="7)",J1190,IF(H1190="8)",J1190,0))))))))</f>
        <v/>
      </c>
    </row>
    <row r="1192">
      <c r="A1192" s="0" t="inlineStr">
        <is>
          <t>New</t>
        </is>
      </c>
      <c r="B1192" s="0" t="inlineStr">
        <is>
          <t>Item</t>
        </is>
      </c>
      <c r="C1192" s="0" t="inlineStr">
        <is>
          <t>Acquired</t>
        </is>
      </c>
      <c r="D1192" s="0" t="inlineStr">
        <is>
          <t>:</t>
        </is>
      </c>
      <c r="E1192" s="0" t="inlineStr">
        <is>
          <t>75.00K</t>
        </is>
      </c>
      <c r="F1192" s="0" t="inlineStr">
        <is>
          <t>(4,</t>
        </is>
      </c>
      <c r="G1192" s="0" t="inlineStr">
        <is>
          <t>3)</t>
        </is>
      </c>
      <c r="K1192" s="0">
        <f>IF(H1191="1)",1,IF(H1191="2)",2,IF(H1191="3)",3,IF(H1191="4)",4,IF(H1191="5)",5,IF(H1191="6)",6,IF(H1191="7)",7,IF(H1191="8)",8,0))))))))</f>
        <v/>
      </c>
      <c r="L1192" s="0">
        <f>IF(H1191="1)",J1191,IF(H1191="2)",J1191,IF(H1191="3)",J1191,IF(H1191="4)",J1191,IF(H1191="5)",J1191,IF(H1191="6)",J1191,IF(H1191="7)",J1191,IF(H1191="8)",J1191,0))))))))</f>
        <v/>
      </c>
    </row>
    <row r="1193">
      <c r="A1193" s="0" t="inlineStr">
        <is>
          <t>New</t>
        </is>
      </c>
      <c r="B1193" s="0" t="inlineStr">
        <is>
          <t>Item</t>
        </is>
      </c>
      <c r="C1193" s="0" t="inlineStr">
        <is>
          <t>Acquired</t>
        </is>
      </c>
      <c r="D1193" s="0" t="inlineStr">
        <is>
          <t>:</t>
        </is>
      </c>
      <c r="E1193" s="0" t="inlineStr">
        <is>
          <t>62.50K</t>
        </is>
      </c>
      <c r="F1193" s="0" t="inlineStr">
        <is>
          <t>(2,</t>
        </is>
      </c>
      <c r="G1193" s="0" t="inlineStr">
        <is>
          <t>11)</t>
        </is>
      </c>
      <c r="K1193" s="0">
        <f>IF(H1192="1)",1,IF(H1192="2)",2,IF(H1192="3)",3,IF(H1192="4)",4,IF(H1192="5)",5,IF(H1192="6)",6,IF(H1192="7)",7,IF(H1192="8)",8,0))))))))</f>
        <v/>
      </c>
      <c r="L1193" s="0">
        <f>IF(H1192="1)",J1192,IF(H1192="2)",J1192,IF(H1192="3)",J1192,IF(H1192="4)",J1192,IF(H1192="5)",J1192,IF(H1192="6)",J1192,IF(H1192="7)",J1192,IF(H1192="8)",J1192,0))))))))</f>
        <v/>
      </c>
    </row>
    <row r="1194">
      <c r="A1194" s="0" t="inlineStr">
        <is>
          <t>New</t>
        </is>
      </c>
      <c r="B1194" s="0" t="inlineStr">
        <is>
          <t>Item</t>
        </is>
      </c>
      <c r="C1194" s="0" t="inlineStr">
        <is>
          <t>Acquired</t>
        </is>
      </c>
      <c r="D1194" s="0" t="inlineStr">
        <is>
          <t>:</t>
        </is>
      </c>
      <c r="E1194" s="0" t="inlineStr">
        <is>
          <t>112.50K</t>
        </is>
      </c>
      <c r="F1194" s="0" t="inlineStr">
        <is>
          <t>(5,</t>
        </is>
      </c>
      <c r="G1194" s="0" t="inlineStr">
        <is>
          <t>14)</t>
        </is>
      </c>
      <c r="K1194" s="0">
        <f>IF(H1193="1)",1,IF(H1193="2)",2,IF(H1193="3)",3,IF(H1193="4)",4,IF(H1193="5)",5,IF(H1193="6)",6,IF(H1193="7)",7,IF(H1193="8)",8,0))))))))</f>
        <v/>
      </c>
      <c r="L1194" s="0">
        <f>IF(H1193="1)",J1193,IF(H1193="2)",J1193,IF(H1193="3)",J1193,IF(H1193="4)",J1193,IF(H1193="5)",J1193,IF(H1193="6)",J1193,IF(H1193="7)",J1193,IF(H1193="8)",J1193,0))))))))</f>
        <v/>
      </c>
    </row>
    <row r="1195">
      <c r="A1195" s="0" t="inlineStr">
        <is>
          <t>New</t>
        </is>
      </c>
      <c r="B1195" s="0" t="inlineStr">
        <is>
          <t>Item</t>
        </is>
      </c>
      <c r="C1195" s="0" t="inlineStr">
        <is>
          <t>Acquired</t>
        </is>
      </c>
      <c r="D1195" s="0" t="inlineStr">
        <is>
          <t>:</t>
        </is>
      </c>
      <c r="E1195" s="0" t="inlineStr">
        <is>
          <t>87.50K</t>
        </is>
      </c>
      <c r="F1195" s="0" t="inlineStr">
        <is>
          <t>(2,</t>
        </is>
      </c>
      <c r="G1195" s="0" t="inlineStr">
        <is>
          <t>21)</t>
        </is>
      </c>
      <c r="K1195" s="0">
        <f>IF(H1194="1)",1,IF(H1194="2)",2,IF(H1194="3)",3,IF(H1194="4)",4,IF(H1194="5)",5,IF(H1194="6)",6,IF(H1194="7)",7,IF(H1194="8)",8,0))))))))</f>
        <v/>
      </c>
      <c r="L1195" s="0">
        <f>IF(H1194="1)",J1194,IF(H1194="2)",J1194,IF(H1194="3)",J1194,IF(H1194="4)",J1194,IF(H1194="5)",J1194,IF(H1194="6)",J1194,IF(H1194="7)",J1194,IF(H1194="8)",J1194,0))))))))</f>
        <v/>
      </c>
    </row>
    <row r="1196">
      <c r="A1196" s="0" t="inlineStr">
        <is>
          <t>New</t>
        </is>
      </c>
      <c r="B1196" s="0" t="inlineStr">
        <is>
          <t>Item</t>
        </is>
      </c>
      <c r="C1196" s="0" t="inlineStr">
        <is>
          <t>Acquired</t>
        </is>
      </c>
      <c r="D1196" s="0" t="inlineStr">
        <is>
          <t>:</t>
        </is>
      </c>
      <c r="E1196" s="0" t="inlineStr">
        <is>
          <t>Minor</t>
        </is>
      </c>
      <c r="F1196" s="0" t="inlineStr">
        <is>
          <t>(8,</t>
        </is>
      </c>
      <c r="G1196" s="0" t="inlineStr">
        <is>
          <t>20)</t>
        </is>
      </c>
      <c r="K1196" s="0">
        <f>IF(H1195="1)",1,IF(H1195="2)",2,IF(H1195="3)",3,IF(H1195="4)",4,IF(H1195="5)",5,IF(H1195="6)",6,IF(H1195="7)",7,IF(H1195="8)",8,0))))))))</f>
        <v/>
      </c>
      <c r="L1196" s="0">
        <f>IF(H1195="1)",J1195,IF(H1195="2)",J1195,IF(H1195="3)",J1195,IF(H1195="4)",J1195,IF(H1195="5)",J1195,IF(H1195="6)",J1195,IF(H1195="7)",J1195,IF(H1195="8)",J1195,0))))))))</f>
        <v/>
      </c>
    </row>
    <row r="1197">
      <c r="A1197" s="0" t="inlineStr">
        <is>
          <t>New</t>
        </is>
      </c>
      <c r="B1197" s="0" t="inlineStr">
        <is>
          <t>Item</t>
        </is>
      </c>
      <c r="C1197" s="0" t="inlineStr">
        <is>
          <t>Acquired</t>
        </is>
      </c>
      <c r="D1197" s="0" t="inlineStr">
        <is>
          <t>:</t>
        </is>
      </c>
      <c r="E1197" s="0" t="inlineStr">
        <is>
          <t>60.00K</t>
        </is>
      </c>
      <c r="F1197" s="0" t="inlineStr">
        <is>
          <t>(4,</t>
        </is>
      </c>
      <c r="G1197" s="0" t="inlineStr">
        <is>
          <t>12)</t>
        </is>
      </c>
      <c r="K1197" s="0">
        <f>IF(H1196="1)",1,IF(H1196="2)",2,IF(H1196="3)",3,IF(H1196="4)",4,IF(H1196="5)",5,IF(H1196="6)",6,IF(H1196="7)",7,IF(H1196="8)",8,0))))))))</f>
        <v/>
      </c>
      <c r="L1197" s="0">
        <f>IF(H1196="1)",J1196,IF(H1196="2)",J1196,IF(H1196="3)",J1196,IF(H1196="4)",J1196,IF(H1196="5)",J1196,IF(H1196="6)",J1196,IF(H1196="7)",J1196,IF(H1196="8)",J1196,0))))))))</f>
        <v/>
      </c>
    </row>
    <row r="1198">
      <c r="A1198" s="0" t="inlineStr">
        <is>
          <t>New</t>
        </is>
      </c>
      <c r="B1198" s="0" t="inlineStr">
        <is>
          <t>Item</t>
        </is>
      </c>
      <c r="C1198" s="0" t="inlineStr">
        <is>
          <t>Acquired</t>
        </is>
      </c>
      <c r="D1198" s="0" t="inlineStr">
        <is>
          <t>:</t>
        </is>
      </c>
      <c r="E1198" s="0" t="inlineStr">
        <is>
          <t>67.50K</t>
        </is>
      </c>
      <c r="F1198" s="0" t="inlineStr">
        <is>
          <t>(5,</t>
        </is>
      </c>
      <c r="G1198" s="0" t="inlineStr">
        <is>
          <t>11)</t>
        </is>
      </c>
      <c r="K1198" s="0">
        <f>IF(H1197="1)",1,IF(H1197="2)",2,IF(H1197="3)",3,IF(H1197="4)",4,IF(H1197="5)",5,IF(H1197="6)",6,IF(H1197="7)",7,IF(H1197="8)",8,0))))))))</f>
        <v/>
      </c>
      <c r="L1198" s="0">
        <f>IF(H1197="1)",J1197,IF(H1197="2)",J1197,IF(H1197="3)",J1197,IF(H1197="4)",J1197,IF(H1197="5)",J1197,IF(H1197="6)",J1197,IF(H1197="7)",J1197,IF(H1197="8)",J1197,0))))))))</f>
        <v/>
      </c>
    </row>
    <row r="1199">
      <c r="A1199" s="0" t="inlineStr">
        <is>
          <t>New</t>
        </is>
      </c>
      <c r="B1199" s="0" t="inlineStr">
        <is>
          <t>Item</t>
        </is>
      </c>
      <c r="C1199" s="0" t="inlineStr">
        <is>
          <t>Acquired</t>
        </is>
      </c>
      <c r="D1199" s="0" t="inlineStr">
        <is>
          <t>:</t>
        </is>
      </c>
      <c r="E1199" s="0" t="inlineStr">
        <is>
          <t>50.00K</t>
        </is>
      </c>
      <c r="F1199" s="0" t="inlineStr">
        <is>
          <t>(1,</t>
        </is>
      </c>
      <c r="G1199" s="0" t="inlineStr">
        <is>
          <t>11)</t>
        </is>
      </c>
      <c r="K1199" s="0">
        <f>IF(H1198="1)",1,IF(H1198="2)",2,IF(H1198="3)",3,IF(H1198="4)",4,IF(H1198="5)",5,IF(H1198="6)",6,IF(H1198="7)",7,IF(H1198="8)",8,0))))))))</f>
        <v/>
      </c>
      <c r="L1199" s="0">
        <f>IF(H1198="1)",J1198,IF(H1198="2)",J1198,IF(H1198="3)",J1198,IF(H1198="4)",J1198,IF(H1198="5)",J1198,IF(H1198="6)",J1198,IF(H1198="7)",J1198,IF(H1198="8)",J1198,0))))))))</f>
        <v/>
      </c>
    </row>
    <row r="1200">
      <c r="A1200" s="0" t="inlineStr">
        <is>
          <t>New</t>
        </is>
      </c>
      <c r="B1200" s="0" t="inlineStr">
        <is>
          <t>Item</t>
        </is>
      </c>
      <c r="C1200" s="0" t="inlineStr">
        <is>
          <t>Acquired</t>
        </is>
      </c>
      <c r="D1200" s="0" t="inlineStr">
        <is>
          <t>:</t>
        </is>
      </c>
      <c r="E1200" s="0" t="inlineStr">
        <is>
          <t>67.50K</t>
        </is>
      </c>
      <c r="F1200" s="0" t="inlineStr">
        <is>
          <t>(5,</t>
        </is>
      </c>
      <c r="G1200" s="0" t="inlineStr">
        <is>
          <t>12)</t>
        </is>
      </c>
      <c r="K1200" s="0">
        <f>IF(H1199="1)",1,IF(H1199="2)",2,IF(H1199="3)",3,IF(H1199="4)",4,IF(H1199="5)",5,IF(H1199="6)",6,IF(H1199="7)",7,IF(H1199="8)",8,0))))))))</f>
        <v/>
      </c>
      <c r="L1200" s="0">
        <f>IF(H1199="1)",J1199,IF(H1199="2)",J1199,IF(H1199="3)",J1199,IF(H1199="4)",J1199,IF(H1199="5)",J1199,IF(H1199="6)",J1199,IF(H1199="7)",J1199,IF(H1199="8)",J1199,0))))))))</f>
        <v/>
      </c>
    </row>
    <row r="1201">
      <c r="A1201" s="0" t="inlineStr">
        <is>
          <t>New</t>
        </is>
      </c>
      <c r="B1201" s="0" t="inlineStr">
        <is>
          <t>Item</t>
        </is>
      </c>
      <c r="C1201" s="0" t="inlineStr">
        <is>
          <t>Acquired</t>
        </is>
      </c>
      <c r="D1201" s="0" t="inlineStr">
        <is>
          <t>:</t>
        </is>
      </c>
      <c r="E1201" s="0" t="inlineStr">
        <is>
          <t>105.00K</t>
        </is>
      </c>
      <c r="F1201" s="0" t="inlineStr">
        <is>
          <t>(3,</t>
        </is>
      </c>
      <c r="G1201" s="0" t="inlineStr">
        <is>
          <t>25)</t>
        </is>
      </c>
      <c r="K1201" s="0">
        <f>IF(H1200="1)",1,IF(H1200="2)",2,IF(H1200="3)",3,IF(H1200="4)",4,IF(H1200="5)",5,IF(H1200="6)",6,IF(H1200="7)",7,IF(H1200="8)",8,0))))))))</f>
        <v/>
      </c>
      <c r="L1201" s="0">
        <f>IF(H1200="1)",J1200,IF(H1200="2)",J1200,IF(H1200="3)",J1200,IF(H1200="4)",J1200,IF(H1200="5)",J1200,IF(H1200="6)",J1200,IF(H1200="7)",J1200,IF(H1200="8)",J1200,0))))))))</f>
        <v/>
      </c>
    </row>
    <row r="1202">
      <c r="A1202" s="0" t="inlineStr">
        <is>
          <t>Line</t>
        </is>
      </c>
      <c r="B1202" s="0" t="inlineStr">
        <is>
          <t>Prize</t>
        </is>
      </c>
      <c r="C1202" s="0" t="inlineStr">
        <is>
          <t>Acquired</t>
        </is>
      </c>
      <c r="D1202" s="0" t="inlineStr">
        <is>
          <t>:</t>
        </is>
      </c>
      <c r="E1202" s="0" t="inlineStr">
        <is>
          <t>720.00K</t>
        </is>
      </c>
      <c r="F1202" s="0" t="inlineStr">
        <is>
          <t>(Stage</t>
        </is>
      </c>
      <c r="G1202" s="0" t="inlineStr">
        <is>
          <t>:</t>
        </is>
      </c>
      <c r="H1202" s="0" t="inlineStr">
        <is>
          <t>3)</t>
        </is>
      </c>
      <c r="I1202" s="0" t="inlineStr">
        <is>
          <t>-</t>
        </is>
      </c>
      <c r="J1202" s="0" t="n">
        <v>720000</v>
      </c>
      <c r="K1202" s="0">
        <f>IF(H1201="1)",1,IF(H1201="2)",2,IF(H1201="3)",3,IF(H1201="4)",4,IF(H1201="5)",5,IF(H1201="6)",6,IF(H1201="7)",7,IF(H1201="8)",8,0))))))))</f>
        <v/>
      </c>
      <c r="L1202" s="0">
        <f>IF(H1201="1)",J1201,IF(H1201="2)",J1201,IF(H1201="3)",J1201,IF(H1201="4)",J1201,IF(H1201="5)",J1201,IF(H1201="6)",J1201,IF(H1201="7)",J1201,IF(H1201="8)",J1201,0))))))))</f>
        <v/>
      </c>
    </row>
    <row r="1203">
      <c r="A1203" s="0" t="inlineStr">
        <is>
          <t>Clear</t>
        </is>
      </c>
      <c r="B1203" s="0" t="inlineStr">
        <is>
          <t>Gem</t>
        </is>
      </c>
      <c r="C1203" s="0" t="inlineStr">
        <is>
          <t>Acquired</t>
        </is>
      </c>
      <c r="D1203" s="0" t="inlineStr">
        <is>
          <t>:</t>
        </is>
      </c>
      <c r="E1203" s="0" t="n">
        <v>7100</v>
      </c>
      <c r="F1203" s="0" t="inlineStr">
        <is>
          <t>-&gt;</t>
        </is>
      </c>
      <c r="G1203" s="0" t="n">
        <v>7200</v>
      </c>
      <c r="H1203" s="0" t="inlineStr">
        <is>
          <t>(Stage</t>
        </is>
      </c>
      <c r="I1203" s="0" t="inlineStr">
        <is>
          <t>:</t>
        </is>
      </c>
      <c r="J1203" s="0" t="inlineStr">
        <is>
          <t>3)</t>
        </is>
      </c>
      <c r="K1203" s="0">
        <f>IF(H1202="1)",1,IF(H1202="2)",2,IF(H1202="3)",3,IF(H1202="4)",4,IF(H1202="5)",5,IF(H1202="6)",6,IF(H1202="7)",7,IF(H1202="8)",8,0))))))))</f>
        <v/>
      </c>
      <c r="L1203" s="0">
        <f>IF(H1202="1)",J1202,IF(H1202="2)",J1202,IF(H1202="3)",J1202,IF(H1202="4)",J1202,IF(H1202="5)",J1202,IF(H1202="6)",J1202,IF(H1202="7)",J1202,IF(H1202="8)",J1202,0))))))))</f>
        <v/>
      </c>
    </row>
    <row r="1204">
      <c r="A1204" s="0" t="inlineStr">
        <is>
          <t>New</t>
        </is>
      </c>
      <c r="B1204" s="0" t="inlineStr">
        <is>
          <t>Item</t>
        </is>
      </c>
      <c r="C1204" s="0" t="inlineStr">
        <is>
          <t>Acquired</t>
        </is>
      </c>
      <c r="D1204" s="0" t="inlineStr">
        <is>
          <t>:</t>
        </is>
      </c>
      <c r="E1204" s="0" t="inlineStr">
        <is>
          <t>60.00K</t>
        </is>
      </c>
      <c r="F1204" s="0" t="inlineStr">
        <is>
          <t>(4,</t>
        </is>
      </c>
      <c r="G1204" s="0" t="inlineStr">
        <is>
          <t>4)</t>
        </is>
      </c>
      <c r="K1204" s="0">
        <f>IF(H1203="1)",1,IF(H1203="2)",2,IF(H1203="3)",3,IF(H1203="4)",4,IF(H1203="5)",5,IF(H1203="6)",6,IF(H1203="7)",7,IF(H1203="8)",8,0))))))))</f>
        <v/>
      </c>
      <c r="L1204" s="0">
        <f>IF(H1203="1)",J1203,IF(H1203="2)",J1203,IF(H1203="3)",J1203,IF(H1203="4)",J1203,IF(H1203="5)",J1203,IF(H1203="6)",J1203,IF(H1203="7)",J1203,IF(H1203="8)",J1203,0))))))))</f>
        <v/>
      </c>
    </row>
    <row r="1205">
      <c r="A1205" s="0" t="inlineStr">
        <is>
          <t>New</t>
        </is>
      </c>
      <c r="B1205" s="0" t="inlineStr">
        <is>
          <t>Item</t>
        </is>
      </c>
      <c r="C1205" s="0" t="inlineStr">
        <is>
          <t>Acquired</t>
        </is>
      </c>
      <c r="D1205" s="0" t="inlineStr">
        <is>
          <t>:</t>
        </is>
      </c>
      <c r="E1205" s="0" t="inlineStr">
        <is>
          <t>200.00K</t>
        </is>
      </c>
      <c r="F1205" s="0" t="inlineStr">
        <is>
          <t>(8,</t>
        </is>
      </c>
      <c r="G1205" s="0" t="inlineStr">
        <is>
          <t>17)</t>
        </is>
      </c>
      <c r="K1205" s="0">
        <f>IF(H1204="1)",1,IF(H1204="2)",2,IF(H1204="3)",3,IF(H1204="4)",4,IF(H1204="5)",5,IF(H1204="6)",6,IF(H1204="7)",7,IF(H1204="8)",8,0))))))))</f>
        <v/>
      </c>
      <c r="L1205" s="0">
        <f>IF(H1204="1)",J1204,IF(H1204="2)",J1204,IF(H1204="3)",J1204,IF(H1204="4)",J1204,IF(H1204="5)",J1204,IF(H1204="6)",J1204,IF(H1204="7)",J1204,IF(H1204="8)",J1204,0))))))))</f>
        <v/>
      </c>
    </row>
    <row r="1206">
      <c r="A1206" s="0" t="inlineStr">
        <is>
          <t>New</t>
        </is>
      </c>
      <c r="B1206" s="0" t="inlineStr">
        <is>
          <t>Item</t>
        </is>
      </c>
      <c r="C1206" s="0" t="inlineStr">
        <is>
          <t>Acquired</t>
        </is>
      </c>
      <c r="D1206" s="0" t="inlineStr">
        <is>
          <t>:</t>
        </is>
      </c>
      <c r="E1206" s="0" t="inlineStr">
        <is>
          <t>280.00K</t>
        </is>
      </c>
      <c r="F1206" s="0" t="inlineStr">
        <is>
          <t>(8,</t>
        </is>
      </c>
      <c r="G1206" s="0" t="inlineStr">
        <is>
          <t>6)</t>
        </is>
      </c>
      <c r="K1206" s="0">
        <f>IF(H1205="1)",1,IF(H1205="2)",2,IF(H1205="3)",3,IF(H1205="4)",4,IF(H1205="5)",5,IF(H1205="6)",6,IF(H1205="7)",7,IF(H1205="8)",8,0))))))))</f>
        <v/>
      </c>
      <c r="L1206" s="0">
        <f>IF(H1205="1)",J1205,IF(H1205="2)",J1205,IF(H1205="3)",J1205,IF(H1205="4)",J1205,IF(H1205="5)",J1205,IF(H1205="6)",J1205,IF(H1205="7)",J1205,IF(H1205="8)",J1205,0))))))))</f>
        <v/>
      </c>
    </row>
    <row r="1207">
      <c r="A1207" s="0" t="inlineStr">
        <is>
          <t>New</t>
        </is>
      </c>
      <c r="B1207" s="0" t="inlineStr">
        <is>
          <t>Item</t>
        </is>
      </c>
      <c r="C1207" s="0" t="inlineStr">
        <is>
          <t>Acquired</t>
        </is>
      </c>
      <c r="D1207" s="0" t="inlineStr">
        <is>
          <t>:</t>
        </is>
      </c>
      <c r="E1207" s="0" t="inlineStr">
        <is>
          <t>75.00K</t>
        </is>
      </c>
      <c r="F1207" s="0" t="inlineStr">
        <is>
          <t>(3,</t>
        </is>
      </c>
      <c r="G1207" s="0" t="inlineStr">
        <is>
          <t>8)</t>
        </is>
      </c>
      <c r="K1207" s="0">
        <f>IF(H1206="1)",1,IF(H1206="2)",2,IF(H1206="3)",3,IF(H1206="4)",4,IF(H1206="5)",5,IF(H1206="6)",6,IF(H1206="7)",7,IF(H1206="8)",8,0))))))))</f>
        <v/>
      </c>
      <c r="L1207" s="0">
        <f>IF(H1206="1)",J1206,IF(H1206="2)",J1206,IF(H1206="3)",J1206,IF(H1206="4)",J1206,IF(H1206="5)",J1206,IF(H1206="6)",J1206,IF(H1206="7)",J1206,IF(H1206="8)",J1206,0))))))))</f>
        <v/>
      </c>
    </row>
    <row r="1208">
      <c r="A1208" s="0" t="inlineStr">
        <is>
          <t>New</t>
        </is>
      </c>
      <c r="B1208" s="0" t="inlineStr">
        <is>
          <t>Item</t>
        </is>
      </c>
      <c r="C1208" s="0" t="inlineStr">
        <is>
          <t>Acquired</t>
        </is>
      </c>
      <c r="D1208" s="0" t="inlineStr">
        <is>
          <t>:</t>
        </is>
      </c>
      <c r="E1208" s="0" t="inlineStr">
        <is>
          <t>87.50K</t>
        </is>
      </c>
      <c r="F1208" s="0" t="inlineStr">
        <is>
          <t>(2,</t>
        </is>
      </c>
      <c r="G1208" s="0" t="inlineStr">
        <is>
          <t>16)</t>
        </is>
      </c>
      <c r="K1208" s="0">
        <f>IF(H1207="1)",1,IF(H1207="2)",2,IF(H1207="3)",3,IF(H1207="4)",4,IF(H1207="5)",5,IF(H1207="6)",6,IF(H1207="7)",7,IF(H1207="8)",8,0))))))))</f>
        <v/>
      </c>
      <c r="L1208" s="0">
        <f>IF(H1207="1)",J1207,IF(H1207="2)",J1207,IF(H1207="3)",J1207,IF(H1207="4)",J1207,IF(H1207="5)",J1207,IF(H1207="6)",J1207,IF(H1207="7)",J1207,IF(H1207="8)",J1207,0))))))))</f>
        <v/>
      </c>
    </row>
    <row r="1209">
      <c r="A1209" s="0" t="inlineStr">
        <is>
          <t>New</t>
        </is>
      </c>
      <c r="B1209" s="0" t="inlineStr">
        <is>
          <t>Item</t>
        </is>
      </c>
      <c r="C1209" s="0" t="inlineStr">
        <is>
          <t>Acquired</t>
        </is>
      </c>
      <c r="D1209" s="0" t="inlineStr">
        <is>
          <t>:</t>
        </is>
      </c>
      <c r="E1209" s="0" t="inlineStr">
        <is>
          <t>37.50K</t>
        </is>
      </c>
      <c r="F1209" s="0" t="inlineStr">
        <is>
          <t>(2,</t>
        </is>
      </c>
      <c r="G1209" s="0" t="inlineStr">
        <is>
          <t>25)</t>
        </is>
      </c>
      <c r="K1209" s="0">
        <f>IF(H1208="1)",1,IF(H1208="2)",2,IF(H1208="3)",3,IF(H1208="4)",4,IF(H1208="5)",5,IF(H1208="6)",6,IF(H1208="7)",7,IF(H1208="8)",8,0))))))))</f>
        <v/>
      </c>
      <c r="L1209" s="0">
        <f>IF(H1208="1)",J1208,IF(H1208="2)",J1208,IF(H1208="3)",J1208,IF(H1208="4)",J1208,IF(H1208="5)",J1208,IF(H1208="6)",J1208,IF(H1208="7)",J1208,IF(H1208="8)",J1208,0))))))))</f>
        <v/>
      </c>
    </row>
    <row r="1210">
      <c r="A1210" s="0" t="inlineStr">
        <is>
          <t>New</t>
        </is>
      </c>
      <c r="B1210" s="0" t="inlineStr">
        <is>
          <t>Item</t>
        </is>
      </c>
      <c r="C1210" s="0" t="inlineStr">
        <is>
          <t>Acquired</t>
        </is>
      </c>
      <c r="D1210" s="0" t="inlineStr">
        <is>
          <t>:</t>
        </is>
      </c>
      <c r="E1210" s="0" t="inlineStr">
        <is>
          <t>70.00K</t>
        </is>
      </c>
      <c r="F1210" s="0" t="inlineStr">
        <is>
          <t>(1,</t>
        </is>
      </c>
      <c r="G1210" s="0" t="inlineStr">
        <is>
          <t>21)</t>
        </is>
      </c>
      <c r="K1210" s="0">
        <f>IF(H1209="1)",1,IF(H1209="2)",2,IF(H1209="3)",3,IF(H1209="4)",4,IF(H1209="5)",5,IF(H1209="6)",6,IF(H1209="7)",7,IF(H1209="8)",8,0))))))))</f>
        <v/>
      </c>
      <c r="L1210" s="0">
        <f>IF(H1209="1)",J1209,IF(H1209="2)",J1209,IF(H1209="3)",J1209,IF(H1209="4)",J1209,IF(H1209="5)",J1209,IF(H1209="6)",J1209,IF(H1209="7)",J1209,IF(H1209="8)",J1209,0))))))))</f>
        <v/>
      </c>
    </row>
    <row r="1211">
      <c r="A1211" s="0" t="inlineStr">
        <is>
          <t>Line</t>
        </is>
      </c>
      <c r="B1211" s="0" t="inlineStr">
        <is>
          <t>Prize</t>
        </is>
      </c>
      <c r="C1211" s="0" t="inlineStr">
        <is>
          <t>Acquired</t>
        </is>
      </c>
      <c r="D1211" s="0" t="inlineStr">
        <is>
          <t>:</t>
        </is>
      </c>
      <c r="E1211" s="0" t="inlineStr">
        <is>
          <t>210.00K</t>
        </is>
      </c>
      <c r="F1211" s="0" t="inlineStr">
        <is>
          <t>(Stage</t>
        </is>
      </c>
      <c r="G1211" s="0" t="inlineStr">
        <is>
          <t>:</t>
        </is>
      </c>
      <c r="H1211" s="0" t="inlineStr">
        <is>
          <t>1)</t>
        </is>
      </c>
      <c r="I1211" s="0" t="inlineStr">
        <is>
          <t>-</t>
        </is>
      </c>
      <c r="J1211" s="0" t="n">
        <v>210000</v>
      </c>
      <c r="K1211" s="0">
        <f>IF(H1210="1)",1,IF(H1210="2)",2,IF(H1210="3)",3,IF(H1210="4)",4,IF(H1210="5)",5,IF(H1210="6)",6,IF(H1210="7)",7,IF(H1210="8)",8,0))))))))</f>
        <v/>
      </c>
      <c r="L1211" s="0">
        <f>IF(H1210="1)",J1210,IF(H1210="2)",J1210,IF(H1210="3)",J1210,IF(H1210="4)",J1210,IF(H1210="5)",J1210,IF(H1210="6)",J1210,IF(H1210="7)",J1210,IF(H1210="8)",J1210,0))))))))</f>
        <v/>
      </c>
    </row>
    <row r="1212">
      <c r="A1212" s="0" t="inlineStr">
        <is>
          <t>Line</t>
        </is>
      </c>
      <c r="B1212" s="0" t="inlineStr">
        <is>
          <t>Prize</t>
        </is>
      </c>
      <c r="C1212" s="0" t="inlineStr">
        <is>
          <t>Acquired</t>
        </is>
      </c>
      <c r="D1212" s="0" t="inlineStr">
        <is>
          <t>:</t>
        </is>
      </c>
      <c r="E1212" s="0" t="inlineStr">
        <is>
          <t>420.00K</t>
        </is>
      </c>
      <c r="F1212" s="0" t="inlineStr">
        <is>
          <t>(Stage</t>
        </is>
      </c>
      <c r="G1212" s="0" t="inlineStr">
        <is>
          <t>:</t>
        </is>
      </c>
      <c r="H1212" s="0" t="inlineStr">
        <is>
          <t>1)</t>
        </is>
      </c>
      <c r="I1212" s="0" t="inlineStr">
        <is>
          <t>-</t>
        </is>
      </c>
      <c r="J1212" s="0" t="n">
        <v>420000</v>
      </c>
      <c r="K1212" s="0">
        <f>IF(H1211="1)",1,IF(H1211="2)",2,IF(H1211="3)",3,IF(H1211="4)",4,IF(H1211="5)",5,IF(H1211="6)",6,IF(H1211="7)",7,IF(H1211="8)",8,0))))))))</f>
        <v/>
      </c>
      <c r="L1212" s="0">
        <f>IF(H1211="1)",J1211,IF(H1211="2)",J1211,IF(H1211="3)",J1211,IF(H1211="4)",J1211,IF(H1211="5)",J1211,IF(H1211="6)",J1211,IF(H1211="7)",J1211,IF(H1211="8)",J1211,0))))))))</f>
        <v/>
      </c>
    </row>
    <row r="1213">
      <c r="A1213" s="0" t="inlineStr">
        <is>
          <t>Clear</t>
        </is>
      </c>
      <c r="B1213" s="0" t="inlineStr">
        <is>
          <t>Gem</t>
        </is>
      </c>
      <c r="C1213" s="0" t="inlineStr">
        <is>
          <t>Acquired</t>
        </is>
      </c>
      <c r="D1213" s="0" t="inlineStr">
        <is>
          <t>:</t>
        </is>
      </c>
      <c r="E1213" s="0" t="n">
        <v>7200</v>
      </c>
      <c r="F1213" s="0" t="inlineStr">
        <is>
          <t>-&gt;</t>
        </is>
      </c>
      <c r="G1213" s="0" t="n">
        <v>7300</v>
      </c>
      <c r="H1213" s="0" t="inlineStr">
        <is>
          <t>(Stage</t>
        </is>
      </c>
      <c r="I1213" s="0" t="inlineStr">
        <is>
          <t>:</t>
        </is>
      </c>
      <c r="J1213" s="0" t="inlineStr">
        <is>
          <t>1)</t>
        </is>
      </c>
      <c r="K1213" s="0">
        <f>IF(H1212="1)",1,IF(H1212="2)",2,IF(H1212="3)",3,IF(H1212="4)",4,IF(H1212="5)",5,IF(H1212="6)",6,IF(H1212="7)",7,IF(H1212="8)",8,0))))))))</f>
        <v/>
      </c>
      <c r="L1213" s="0">
        <f>IF(H1212="1)",J1212,IF(H1212="2)",J1212,IF(H1212="3)",J1212,IF(H1212="4)",J1212,IF(H1212="5)",J1212,IF(H1212="6)",J1212,IF(H1212="7)",J1212,IF(H1212="8)",J1212,0))))))))</f>
        <v/>
      </c>
    </row>
    <row r="1214">
      <c r="A1214" s="0" t="inlineStr">
        <is>
          <t>New</t>
        </is>
      </c>
      <c r="B1214" s="0" t="inlineStr">
        <is>
          <t>Item</t>
        </is>
      </c>
      <c r="C1214" s="0" t="inlineStr">
        <is>
          <t>Acquired</t>
        </is>
      </c>
      <c r="D1214" s="0" t="inlineStr">
        <is>
          <t>:</t>
        </is>
      </c>
      <c r="E1214" s="0" t="inlineStr">
        <is>
          <t>37.50K</t>
        </is>
      </c>
      <c r="F1214" s="0" t="inlineStr">
        <is>
          <t>(2,</t>
        </is>
      </c>
      <c r="G1214" s="0" t="inlineStr">
        <is>
          <t>22)</t>
        </is>
      </c>
      <c r="K1214" s="0">
        <f>IF(H1213="1)",1,IF(H1213="2)",2,IF(H1213="3)",3,IF(H1213="4)",4,IF(H1213="5)",5,IF(H1213="6)",6,IF(H1213="7)",7,IF(H1213="8)",8,0))))))))</f>
        <v/>
      </c>
      <c r="L1214" s="0">
        <f>IF(H1213="1)",J1213,IF(H1213="2)",J1213,IF(H1213="3)",J1213,IF(H1213="4)",J1213,IF(H1213="5)",J1213,IF(H1213="6)",J1213,IF(H1213="7)",J1213,IF(H1213="8)",J1213,0))))))))</f>
        <v/>
      </c>
    </row>
    <row r="1215">
      <c r="A1215" s="0" t="inlineStr">
        <is>
          <t>New</t>
        </is>
      </c>
      <c r="B1215" s="0" t="inlineStr">
        <is>
          <t>Item</t>
        </is>
      </c>
      <c r="C1215" s="0" t="inlineStr">
        <is>
          <t>Acquired</t>
        </is>
      </c>
      <c r="D1215" s="0" t="inlineStr">
        <is>
          <t>:</t>
        </is>
      </c>
      <c r="E1215" s="0" t="inlineStr">
        <is>
          <t>Minor</t>
        </is>
      </c>
      <c r="F1215" s="0" t="inlineStr">
        <is>
          <t>(7,</t>
        </is>
      </c>
      <c r="G1215" s="0" t="inlineStr">
        <is>
          <t>10)</t>
        </is>
      </c>
      <c r="K1215" s="0">
        <f>IF(H1214="1)",1,IF(H1214="2)",2,IF(H1214="3)",3,IF(H1214="4)",4,IF(H1214="5)",5,IF(H1214="6)",6,IF(H1214="7)",7,IF(H1214="8)",8,0))))))))</f>
        <v/>
      </c>
      <c r="L1215" s="0">
        <f>IF(H1214="1)",J1214,IF(H1214="2)",J1214,IF(H1214="3)",J1214,IF(H1214="4)",J1214,IF(H1214="5)",J1214,IF(H1214="6)",J1214,IF(H1214="7)",J1214,IF(H1214="8)",J1214,0))))))))</f>
        <v/>
      </c>
    </row>
    <row r="1216">
      <c r="A1216" s="0" t="inlineStr">
        <is>
          <t>New</t>
        </is>
      </c>
      <c r="B1216" s="0" t="inlineStr">
        <is>
          <t>Item</t>
        </is>
      </c>
      <c r="C1216" s="0" t="inlineStr">
        <is>
          <t>Acquired</t>
        </is>
      </c>
      <c r="D1216" s="0" t="inlineStr">
        <is>
          <t>:</t>
        </is>
      </c>
      <c r="E1216" s="0" t="inlineStr">
        <is>
          <t>60.00K</t>
        </is>
      </c>
      <c r="F1216" s="0" t="inlineStr">
        <is>
          <t>(4,</t>
        </is>
      </c>
      <c r="G1216" s="0" t="inlineStr">
        <is>
          <t>19)</t>
        </is>
      </c>
      <c r="K1216" s="0">
        <f>IF(H1215="1)",1,IF(H1215="2)",2,IF(H1215="3)",3,IF(H1215="4)",4,IF(H1215="5)",5,IF(H1215="6)",6,IF(H1215="7)",7,IF(H1215="8)",8,0))))))))</f>
        <v/>
      </c>
      <c r="L1216" s="0">
        <f>IF(H1215="1)",J1215,IF(H1215="2)",J1215,IF(H1215="3)",J1215,IF(H1215="4)",J1215,IF(H1215="5)",J1215,IF(H1215="6)",J1215,IF(H1215="7)",J1215,IF(H1215="8)",J1215,0))))))))</f>
        <v/>
      </c>
    </row>
    <row r="1217">
      <c r="A1217" s="0" t="inlineStr">
        <is>
          <t>New</t>
        </is>
      </c>
      <c r="B1217" s="0" t="inlineStr">
        <is>
          <t>Item</t>
        </is>
      </c>
      <c r="C1217" s="0" t="inlineStr">
        <is>
          <t>Acquired</t>
        </is>
      </c>
      <c r="D1217" s="0" t="inlineStr">
        <is>
          <t>:</t>
        </is>
      </c>
      <c r="E1217" s="0" t="inlineStr">
        <is>
          <t>125.00K</t>
        </is>
      </c>
      <c r="F1217" s="0" t="inlineStr">
        <is>
          <t>(6,</t>
        </is>
      </c>
      <c r="G1217" s="0" t="inlineStr">
        <is>
          <t>11)</t>
        </is>
      </c>
      <c r="K1217" s="0">
        <f>IF(H1216="1)",1,IF(H1216="2)",2,IF(H1216="3)",3,IF(H1216="4)",4,IF(H1216="5)",5,IF(H1216="6)",6,IF(H1216="7)",7,IF(H1216="8)",8,0))))))))</f>
        <v/>
      </c>
      <c r="L1217" s="0">
        <f>IF(H1216="1)",J1216,IF(H1216="2)",J1216,IF(H1216="3)",J1216,IF(H1216="4)",J1216,IF(H1216="5)",J1216,IF(H1216="6)",J1216,IF(H1216="7)",J1216,IF(H1216="8)",J1216,0))))))))</f>
        <v/>
      </c>
    </row>
    <row r="1218">
      <c r="A1218" s="0" t="inlineStr">
        <is>
          <t>New</t>
        </is>
      </c>
      <c r="B1218" s="0" t="inlineStr">
        <is>
          <t>Item</t>
        </is>
      </c>
      <c r="C1218" s="0" t="inlineStr">
        <is>
          <t>Acquired</t>
        </is>
      </c>
      <c r="D1218" s="0" t="inlineStr">
        <is>
          <t>:</t>
        </is>
      </c>
      <c r="E1218" s="0" t="inlineStr">
        <is>
          <t>45.00K</t>
        </is>
      </c>
      <c r="F1218" s="0" t="inlineStr">
        <is>
          <t>(3,</t>
        </is>
      </c>
      <c r="G1218" s="0" t="inlineStr">
        <is>
          <t>16)</t>
        </is>
      </c>
      <c r="K1218" s="0">
        <f>IF(H1217="1)",1,IF(H1217="2)",2,IF(H1217="3)",3,IF(H1217="4)",4,IF(H1217="5)",5,IF(H1217="6)",6,IF(H1217="7)",7,IF(H1217="8)",8,0))))))))</f>
        <v/>
      </c>
      <c r="L1218" s="0">
        <f>IF(H1217="1)",J1217,IF(H1217="2)",J1217,IF(H1217="3)",J1217,IF(H1217="4)",J1217,IF(H1217="5)",J1217,IF(H1217="6)",J1217,IF(H1217="7)",J1217,IF(H1217="8)",J1217,0))))))))</f>
        <v/>
      </c>
    </row>
    <row r="1219">
      <c r="A1219" s="0" t="inlineStr">
        <is>
          <t>New</t>
        </is>
      </c>
      <c r="B1219" s="0" t="inlineStr">
        <is>
          <t>Item</t>
        </is>
      </c>
      <c r="C1219" s="0" t="inlineStr">
        <is>
          <t>Acquired</t>
        </is>
      </c>
      <c r="D1219" s="0" t="inlineStr">
        <is>
          <t>:</t>
        </is>
      </c>
      <c r="E1219" s="0" t="inlineStr">
        <is>
          <t>112.50K</t>
        </is>
      </c>
      <c r="F1219" s="0" t="inlineStr">
        <is>
          <t>(5,</t>
        </is>
      </c>
      <c r="G1219" s="0" t="inlineStr">
        <is>
          <t>4)</t>
        </is>
      </c>
      <c r="K1219" s="0">
        <f>IF(H1218="1)",1,IF(H1218="2)",2,IF(H1218="3)",3,IF(H1218="4)",4,IF(H1218="5)",5,IF(H1218="6)",6,IF(H1218="7)",7,IF(H1218="8)",8,0))))))))</f>
        <v/>
      </c>
      <c r="L1219" s="0">
        <f>IF(H1218="1)",J1218,IF(H1218="2)",J1218,IF(H1218="3)",J1218,IF(H1218="4)",J1218,IF(H1218="5)",J1218,IF(H1218="6)",J1218,IF(H1218="7)",J1218,IF(H1218="8)",J1218,0))))))))</f>
        <v/>
      </c>
    </row>
    <row r="1220">
      <c r="A1220" s="0" t="inlineStr">
        <is>
          <t>New</t>
        </is>
      </c>
      <c r="B1220" s="0" t="inlineStr">
        <is>
          <t>Item</t>
        </is>
      </c>
      <c r="C1220" s="0" t="inlineStr">
        <is>
          <t>Acquired</t>
        </is>
      </c>
      <c r="D1220" s="0" t="inlineStr">
        <is>
          <t>:</t>
        </is>
      </c>
      <c r="E1220" s="0" t="inlineStr">
        <is>
          <t>75.00K</t>
        </is>
      </c>
      <c r="F1220" s="0" t="inlineStr">
        <is>
          <t>(4,</t>
        </is>
      </c>
      <c r="G1220" s="0" t="inlineStr">
        <is>
          <t>8)</t>
        </is>
      </c>
      <c r="K1220" s="0">
        <f>IF(H1219="1)",1,IF(H1219="2)",2,IF(H1219="3)",3,IF(H1219="4)",4,IF(H1219="5)",5,IF(H1219="6)",6,IF(H1219="7)",7,IF(H1219="8)",8,0))))))))</f>
        <v/>
      </c>
      <c r="L1220" s="0">
        <f>IF(H1219="1)",J1219,IF(H1219="2)",J1219,IF(H1219="3)",J1219,IF(H1219="4)",J1219,IF(H1219="5)",J1219,IF(H1219="6)",J1219,IF(H1219="7)",J1219,IF(H1219="8)",J1219,0))))))))</f>
        <v/>
      </c>
    </row>
    <row r="1221">
      <c r="A1221" s="0" t="inlineStr">
        <is>
          <t>New</t>
        </is>
      </c>
      <c r="B1221" s="0" t="inlineStr">
        <is>
          <t>Item</t>
        </is>
      </c>
      <c r="C1221" s="0" t="inlineStr">
        <is>
          <t>Acquired</t>
        </is>
      </c>
      <c r="D1221" s="0" t="inlineStr">
        <is>
          <t>:</t>
        </is>
      </c>
      <c r="E1221" s="0" t="inlineStr">
        <is>
          <t>175.00K</t>
        </is>
      </c>
      <c r="F1221" s="0" t="inlineStr">
        <is>
          <t>(6,</t>
        </is>
      </c>
      <c r="G1221" s="0" t="inlineStr">
        <is>
          <t>17)</t>
        </is>
      </c>
      <c r="K1221" s="0">
        <f>IF(H1220="1)",1,IF(H1220="2)",2,IF(H1220="3)",3,IF(H1220="4)",4,IF(H1220="5)",5,IF(H1220="6)",6,IF(H1220="7)",7,IF(H1220="8)",8,0))))))))</f>
        <v/>
      </c>
      <c r="L1221" s="0">
        <f>IF(H1220="1)",J1220,IF(H1220="2)",J1220,IF(H1220="3)",J1220,IF(H1220="4)",J1220,IF(H1220="5)",J1220,IF(H1220="6)",J1220,IF(H1220="7)",J1220,IF(H1220="8)",J1220,0))))))))</f>
        <v/>
      </c>
    </row>
    <row r="1222">
      <c r="A1222" s="0" t="inlineStr">
        <is>
          <t>New</t>
        </is>
      </c>
      <c r="B1222" s="0" t="inlineStr">
        <is>
          <t>Item</t>
        </is>
      </c>
      <c r="C1222" s="0" t="inlineStr">
        <is>
          <t>Acquired</t>
        </is>
      </c>
      <c r="D1222" s="0" t="inlineStr">
        <is>
          <t>:</t>
        </is>
      </c>
      <c r="E1222" s="0" t="inlineStr">
        <is>
          <t>50.00K</t>
        </is>
      </c>
      <c r="F1222" s="0" t="inlineStr">
        <is>
          <t>(1,</t>
        </is>
      </c>
      <c r="G1222" s="0" t="inlineStr">
        <is>
          <t>16)</t>
        </is>
      </c>
      <c r="K1222" s="0">
        <f>IF(H1221="1)",1,IF(H1221="2)",2,IF(H1221="3)",3,IF(H1221="4)",4,IF(H1221="5)",5,IF(H1221="6)",6,IF(H1221="7)",7,IF(H1221="8)",8,0))))))))</f>
        <v/>
      </c>
      <c r="L1222" s="0">
        <f>IF(H1221="1)",J1221,IF(H1221="2)",J1221,IF(H1221="3)",J1221,IF(H1221="4)",J1221,IF(H1221="5)",J1221,IF(H1221="6)",J1221,IF(H1221="7)",J1221,IF(H1221="8)",J1221,0))))))))</f>
        <v/>
      </c>
    </row>
    <row r="1223">
      <c r="A1223" s="0" t="inlineStr">
        <is>
          <t>New</t>
        </is>
      </c>
      <c r="B1223" s="0" t="inlineStr">
        <is>
          <t>Item</t>
        </is>
      </c>
      <c r="C1223" s="0" t="inlineStr">
        <is>
          <t>Acquired</t>
        </is>
      </c>
      <c r="D1223" s="0" t="inlineStr">
        <is>
          <t>:</t>
        </is>
      </c>
      <c r="E1223" s="0" t="inlineStr">
        <is>
          <t>30.00K</t>
        </is>
      </c>
      <c r="F1223" s="0" t="inlineStr">
        <is>
          <t>(1,</t>
        </is>
      </c>
      <c r="G1223" s="0" t="inlineStr">
        <is>
          <t>23)</t>
        </is>
      </c>
      <c r="K1223" s="0">
        <f>IF(H1222="1)",1,IF(H1222="2)",2,IF(H1222="3)",3,IF(H1222="4)",4,IF(H1222="5)",5,IF(H1222="6)",6,IF(H1222="7)",7,IF(H1222="8)",8,0))))))))</f>
        <v/>
      </c>
      <c r="L1223" s="0">
        <f>IF(H1222="1)",J1222,IF(H1222="2)",J1222,IF(H1222="3)",J1222,IF(H1222="4)",J1222,IF(H1222="5)",J1222,IF(H1222="6)",J1222,IF(H1222="7)",J1222,IF(H1222="8)",J1222,0))))))))</f>
        <v/>
      </c>
    </row>
    <row r="1224">
      <c r="A1224" s="0" t="inlineStr">
        <is>
          <t>New</t>
        </is>
      </c>
      <c r="B1224" s="0" t="inlineStr">
        <is>
          <t>Item</t>
        </is>
      </c>
      <c r="C1224" s="0" t="inlineStr">
        <is>
          <t>Acquired</t>
        </is>
      </c>
      <c r="D1224" s="0" t="inlineStr">
        <is>
          <t>:</t>
        </is>
      </c>
      <c r="E1224" s="0" t="inlineStr">
        <is>
          <t>210.00K</t>
        </is>
      </c>
      <c r="F1224" s="0" t="inlineStr">
        <is>
          <t>(7,</t>
        </is>
      </c>
      <c r="G1224" s="0" t="inlineStr">
        <is>
          <t>5)</t>
        </is>
      </c>
      <c r="K1224" s="0">
        <f>IF(H1223="1)",1,IF(H1223="2)",2,IF(H1223="3)",3,IF(H1223="4)",4,IF(H1223="5)",5,IF(H1223="6)",6,IF(H1223="7)",7,IF(H1223="8)",8,0))))))))</f>
        <v/>
      </c>
      <c r="L1224" s="0">
        <f>IF(H1223="1)",J1223,IF(H1223="2)",J1223,IF(H1223="3)",J1223,IF(H1223="4)",J1223,IF(H1223="5)",J1223,IF(H1223="6)",J1223,IF(H1223="7)",J1223,IF(H1223="8)",J1223,0))))))))</f>
        <v/>
      </c>
    </row>
    <row r="1225">
      <c r="A1225" s="0" t="inlineStr">
        <is>
          <t>New</t>
        </is>
      </c>
      <c r="B1225" s="0" t="inlineStr">
        <is>
          <t>Item</t>
        </is>
      </c>
      <c r="C1225" s="0" t="inlineStr">
        <is>
          <t>Acquired</t>
        </is>
      </c>
      <c r="D1225" s="0" t="inlineStr">
        <is>
          <t>:</t>
        </is>
      </c>
      <c r="E1225" s="0" t="inlineStr">
        <is>
          <t>157.50K</t>
        </is>
      </c>
      <c r="F1225" s="0" t="inlineStr">
        <is>
          <t>(5,</t>
        </is>
      </c>
      <c r="G1225" s="0" t="inlineStr">
        <is>
          <t>21)</t>
        </is>
      </c>
      <c r="K1225" s="0">
        <f>IF(H1224="1)",1,IF(H1224="2)",2,IF(H1224="3)",3,IF(H1224="4)",4,IF(H1224="5)",5,IF(H1224="6)",6,IF(H1224="7)",7,IF(H1224="8)",8,0))))))))</f>
        <v/>
      </c>
      <c r="L1225" s="0">
        <f>IF(H1224="1)",J1224,IF(H1224="2)",J1224,IF(H1224="3)",J1224,IF(H1224="4)",J1224,IF(H1224="5)",J1224,IF(H1224="6)",J1224,IF(H1224="7)",J1224,IF(H1224="8)",J1224,0))))))))</f>
        <v/>
      </c>
    </row>
    <row r="1226">
      <c r="A1226" s="0" t="inlineStr">
        <is>
          <t>New</t>
        </is>
      </c>
      <c r="B1226" s="0" t="inlineStr">
        <is>
          <t>Item</t>
        </is>
      </c>
      <c r="C1226" s="0" t="inlineStr">
        <is>
          <t>Acquired</t>
        </is>
      </c>
      <c r="D1226" s="0" t="inlineStr">
        <is>
          <t>:</t>
        </is>
      </c>
      <c r="E1226" s="0" t="inlineStr">
        <is>
          <t>75.00K</t>
        </is>
      </c>
      <c r="F1226" s="0" t="inlineStr">
        <is>
          <t>(3,</t>
        </is>
      </c>
      <c r="G1226" s="0" t="inlineStr">
        <is>
          <t>10)</t>
        </is>
      </c>
      <c r="K1226" s="0">
        <f>IF(H1225="1)",1,IF(H1225="2)",2,IF(H1225="3)",3,IF(H1225="4)",4,IF(H1225="5)",5,IF(H1225="6)",6,IF(H1225="7)",7,IF(H1225="8)",8,0))))))))</f>
        <v/>
      </c>
      <c r="L1226" s="0">
        <f>IF(H1225="1)",J1225,IF(H1225="2)",J1225,IF(H1225="3)",J1225,IF(H1225="4)",J1225,IF(H1225="5)",J1225,IF(H1225="6)",J1225,IF(H1225="7)",J1225,IF(H1225="8)",J1225,0))))))))</f>
        <v/>
      </c>
    </row>
    <row r="1227">
      <c r="A1227" s="0" t="inlineStr">
        <is>
          <t>New</t>
        </is>
      </c>
      <c r="B1227" s="0" t="inlineStr">
        <is>
          <t>Item</t>
        </is>
      </c>
      <c r="C1227" s="0" t="inlineStr">
        <is>
          <t>Acquired</t>
        </is>
      </c>
      <c r="D1227" s="0" t="inlineStr">
        <is>
          <t>:</t>
        </is>
      </c>
      <c r="E1227" s="0" t="inlineStr">
        <is>
          <t>125.00K</t>
        </is>
      </c>
      <c r="F1227" s="0" t="inlineStr">
        <is>
          <t>(6,</t>
        </is>
      </c>
      <c r="G1227" s="0" t="inlineStr">
        <is>
          <t>25)</t>
        </is>
      </c>
      <c r="K1227" s="0">
        <f>IF(H1226="1)",1,IF(H1226="2)",2,IF(H1226="3)",3,IF(H1226="4)",4,IF(H1226="5)",5,IF(H1226="6)",6,IF(H1226="7)",7,IF(H1226="8)",8,0))))))))</f>
        <v/>
      </c>
      <c r="L1227" s="0">
        <f>IF(H1226="1)",J1226,IF(H1226="2)",J1226,IF(H1226="3)",J1226,IF(H1226="4)",J1226,IF(H1226="5)",J1226,IF(H1226="6)",J1226,IF(H1226="7)",J1226,IF(H1226="8)",J1226,0))))))))</f>
        <v/>
      </c>
    </row>
    <row r="1228">
      <c r="A1228" s="0" t="inlineStr">
        <is>
          <t>New</t>
        </is>
      </c>
      <c r="B1228" s="0" t="inlineStr">
        <is>
          <t>Item</t>
        </is>
      </c>
      <c r="C1228" s="0" t="inlineStr">
        <is>
          <t>Acquired</t>
        </is>
      </c>
      <c r="D1228" s="0" t="inlineStr">
        <is>
          <t>:</t>
        </is>
      </c>
      <c r="E1228" s="0" t="inlineStr">
        <is>
          <t>67.50K</t>
        </is>
      </c>
      <c r="F1228" s="0" t="inlineStr">
        <is>
          <t>(5,</t>
        </is>
      </c>
      <c r="G1228" s="0" t="inlineStr">
        <is>
          <t>1)</t>
        </is>
      </c>
      <c r="K1228" s="0">
        <f>IF(H1227="1)",1,IF(H1227="2)",2,IF(H1227="3)",3,IF(H1227="4)",4,IF(H1227="5)",5,IF(H1227="6)",6,IF(H1227="7)",7,IF(H1227="8)",8,0))))))))</f>
        <v/>
      </c>
      <c r="L1228" s="0">
        <f>IF(H1227="1)",J1227,IF(H1227="2)",J1227,IF(H1227="3)",J1227,IF(H1227="4)",J1227,IF(H1227="5)",J1227,IF(H1227="6)",J1227,IF(H1227="7)",J1227,IF(H1227="8)",J1227,0))))))))</f>
        <v/>
      </c>
    </row>
    <row r="1229">
      <c r="A1229" s="0" t="inlineStr">
        <is>
          <t>New</t>
        </is>
      </c>
      <c r="B1229" s="0" t="inlineStr">
        <is>
          <t>Item</t>
        </is>
      </c>
      <c r="C1229" s="0" t="inlineStr">
        <is>
          <t>Acquired</t>
        </is>
      </c>
      <c r="D1229" s="0" t="inlineStr">
        <is>
          <t>:</t>
        </is>
      </c>
      <c r="E1229" s="0" t="inlineStr">
        <is>
          <t>30.00K</t>
        </is>
      </c>
      <c r="F1229" s="0" t="inlineStr">
        <is>
          <t>(1,</t>
        </is>
      </c>
      <c r="G1229" s="0" t="inlineStr">
        <is>
          <t>25)</t>
        </is>
      </c>
      <c r="K1229" s="0">
        <f>IF(H1228="1)",1,IF(H1228="2)",2,IF(H1228="3)",3,IF(H1228="4)",4,IF(H1228="5)",5,IF(H1228="6)",6,IF(H1228="7)",7,IF(H1228="8)",8,0))))))))</f>
        <v/>
      </c>
      <c r="L1229" s="0">
        <f>IF(H1228="1)",J1228,IF(H1228="2)",J1228,IF(H1228="3)",J1228,IF(H1228="4)",J1228,IF(H1228="5)",J1228,IF(H1228="6)",J1228,IF(H1228="7)",J1228,IF(H1228="8)",J1228,0))))))))</f>
        <v/>
      </c>
    </row>
    <row r="1230">
      <c r="A1230" s="0" t="inlineStr">
        <is>
          <t>New</t>
        </is>
      </c>
      <c r="B1230" s="0" t="inlineStr">
        <is>
          <t>Item</t>
        </is>
      </c>
      <c r="C1230" s="0" t="inlineStr">
        <is>
          <t>Acquired</t>
        </is>
      </c>
      <c r="D1230" s="0" t="inlineStr">
        <is>
          <t>:</t>
        </is>
      </c>
      <c r="E1230" s="0" t="inlineStr">
        <is>
          <t>50.00K</t>
        </is>
      </c>
      <c r="F1230" s="0" t="inlineStr">
        <is>
          <t>(1,</t>
        </is>
      </c>
      <c r="G1230" s="0" t="inlineStr">
        <is>
          <t>4)</t>
        </is>
      </c>
      <c r="K1230" s="0">
        <f>IF(H1229="1)",1,IF(H1229="2)",2,IF(H1229="3)",3,IF(H1229="4)",4,IF(H1229="5)",5,IF(H1229="6)",6,IF(H1229="7)",7,IF(H1229="8)",8,0))))))))</f>
        <v/>
      </c>
      <c r="L1230" s="0">
        <f>IF(H1229="1)",J1229,IF(H1229="2)",J1229,IF(H1229="3)",J1229,IF(H1229="4)",J1229,IF(H1229="5)",J1229,IF(H1229="6)",J1229,IF(H1229="7)",J1229,IF(H1229="8)",J1229,0))))))))</f>
        <v/>
      </c>
    </row>
    <row r="1231">
      <c r="A1231" s="0" t="inlineStr">
        <is>
          <t>New</t>
        </is>
      </c>
      <c r="B1231" s="0" t="inlineStr">
        <is>
          <t>Item</t>
        </is>
      </c>
      <c r="C1231" s="0" t="inlineStr">
        <is>
          <t>Acquired</t>
        </is>
      </c>
      <c r="D1231" s="0" t="inlineStr">
        <is>
          <t>:</t>
        </is>
      </c>
      <c r="E1231" s="0" t="inlineStr">
        <is>
          <t>75.00K</t>
        </is>
      </c>
      <c r="F1231" s="0" t="inlineStr">
        <is>
          <t>(4,</t>
        </is>
      </c>
      <c r="G1231" s="0" t="inlineStr">
        <is>
          <t>22)</t>
        </is>
      </c>
      <c r="K1231" s="0">
        <f>IF(H1230="1)",1,IF(H1230="2)",2,IF(H1230="3)",3,IF(H1230="4)",4,IF(H1230="5)",5,IF(H1230="6)",6,IF(H1230="7)",7,IF(H1230="8)",8,0))))))))</f>
        <v/>
      </c>
      <c r="L1231" s="0">
        <f>IF(H1230="1)",J1230,IF(H1230="2)",J1230,IF(H1230="3)",J1230,IF(H1230="4)",J1230,IF(H1230="5)",J1230,IF(H1230="6)",J1230,IF(H1230="7)",J1230,IF(H1230="8)",J1230,0))))))))</f>
        <v/>
      </c>
    </row>
    <row r="1232">
      <c r="A1232" s="0" t="inlineStr">
        <is>
          <t>New</t>
        </is>
      </c>
      <c r="B1232" s="0" t="inlineStr">
        <is>
          <t>Item</t>
        </is>
      </c>
      <c r="C1232" s="0" t="inlineStr">
        <is>
          <t>Acquired</t>
        </is>
      </c>
      <c r="D1232" s="0" t="inlineStr">
        <is>
          <t>:</t>
        </is>
      </c>
      <c r="E1232" s="0" t="inlineStr">
        <is>
          <t>37.50K</t>
        </is>
      </c>
      <c r="F1232" s="0" t="inlineStr">
        <is>
          <t>(2,</t>
        </is>
      </c>
      <c r="G1232" s="0" t="inlineStr">
        <is>
          <t>7)</t>
        </is>
      </c>
      <c r="K1232" s="0">
        <f>IF(H1231="1)",1,IF(H1231="2)",2,IF(H1231="3)",3,IF(H1231="4)",4,IF(H1231="5)",5,IF(H1231="6)",6,IF(H1231="7)",7,IF(H1231="8)",8,0))))))))</f>
        <v/>
      </c>
      <c r="L1232" s="0">
        <f>IF(H1231="1)",J1231,IF(H1231="2)",J1231,IF(H1231="3)",J1231,IF(H1231="4)",J1231,IF(H1231="5)",J1231,IF(H1231="6)",J1231,IF(H1231="7)",J1231,IF(H1231="8)",J1231,0))))))))</f>
        <v/>
      </c>
    </row>
    <row r="1233">
      <c r="A1233" s="0" t="inlineStr">
        <is>
          <t>New</t>
        </is>
      </c>
      <c r="B1233" s="0" t="inlineStr">
        <is>
          <t>Item</t>
        </is>
      </c>
      <c r="C1233" s="0" t="inlineStr">
        <is>
          <t>Acquired</t>
        </is>
      </c>
      <c r="D1233" s="0" t="inlineStr">
        <is>
          <t>:</t>
        </is>
      </c>
      <c r="E1233" s="0" t="inlineStr">
        <is>
          <t>210.00K</t>
        </is>
      </c>
      <c r="F1233" s="0" t="inlineStr">
        <is>
          <t>(7,</t>
        </is>
      </c>
      <c r="G1233" s="0" t="inlineStr">
        <is>
          <t>1)</t>
        </is>
      </c>
      <c r="K1233" s="0">
        <f>IF(H1232="1)",1,IF(H1232="2)",2,IF(H1232="3)",3,IF(H1232="4)",4,IF(H1232="5)",5,IF(H1232="6)",6,IF(H1232="7)",7,IF(H1232="8)",8,0))))))))</f>
        <v/>
      </c>
      <c r="L1233" s="0">
        <f>IF(H1232="1)",J1232,IF(H1232="2)",J1232,IF(H1232="3)",J1232,IF(H1232="4)",J1232,IF(H1232="5)",J1232,IF(H1232="6)",J1232,IF(H1232="7)",J1232,IF(H1232="8)",J1232,0))))))))</f>
        <v/>
      </c>
    </row>
    <row r="1234">
      <c r="A1234" s="0" t="inlineStr">
        <is>
          <t>Item</t>
        </is>
      </c>
      <c r="B1234" s="0" t="inlineStr">
        <is>
          <t>ReSelect</t>
        </is>
      </c>
      <c r="C1234" s="0" t="inlineStr">
        <is>
          <t>Failed</t>
        </is>
      </c>
      <c r="D1234" s="0" t="inlineStr">
        <is>
          <t>:</t>
        </is>
      </c>
      <c r="E1234" s="0" t="inlineStr">
        <is>
          <t>Attempt</t>
        </is>
      </c>
      <c r="F1234" s="0" t="inlineStr">
        <is>
          <t>Count</t>
        </is>
      </c>
      <c r="G1234" s="0" t="inlineStr">
        <is>
          <t>-</t>
        </is>
      </c>
      <c r="H1234" s="0" t="n">
        <v>3</v>
      </c>
      <c r="K1234" s="0">
        <f>IF(H1233="1)",1,IF(H1233="2)",2,IF(H1233="3)",3,IF(H1233="4)",4,IF(H1233="5)",5,IF(H1233="6)",6,IF(H1233="7)",7,IF(H1233="8)",8,0))))))))</f>
        <v/>
      </c>
      <c r="L1234" s="0">
        <f>IF(H1233="1)",J1233,IF(H1233="2)",J1233,IF(H1233="3)",J1233,IF(H1233="4)",J1233,IF(H1233="5)",J1233,IF(H1233="6)",J1233,IF(H1233="7)",J1233,IF(H1233="8)",J1233,0))))))))</f>
        <v/>
      </c>
    </row>
    <row r="1235">
      <c r="A1235" s="0" t="inlineStr">
        <is>
          <t>New</t>
        </is>
      </c>
      <c r="B1235" s="0" t="inlineStr">
        <is>
          <t>Item</t>
        </is>
      </c>
      <c r="C1235" s="0" t="inlineStr">
        <is>
          <t>Acquired</t>
        </is>
      </c>
      <c r="D1235" s="0" t="inlineStr">
        <is>
          <t>:</t>
        </is>
      </c>
      <c r="E1235" s="0" t="inlineStr">
        <is>
          <t>67.50K</t>
        </is>
      </c>
      <c r="F1235" s="0" t="inlineStr">
        <is>
          <t>(5,</t>
        </is>
      </c>
      <c r="G1235" s="0" t="inlineStr">
        <is>
          <t>16)</t>
        </is>
      </c>
      <c r="K1235" s="0">
        <f>IF(H1234="1)",1,IF(H1234="2)",2,IF(H1234="3)",3,IF(H1234="4)",4,IF(H1234="5)",5,IF(H1234="6)",6,IF(H1234="7)",7,IF(H1234="8)",8,0))))))))</f>
        <v/>
      </c>
      <c r="L1235" s="0">
        <f>IF(H1234="1)",J1234,IF(H1234="2)",J1234,IF(H1234="3)",J1234,IF(H1234="4)",J1234,IF(H1234="5)",J1234,IF(H1234="6)",J1234,IF(H1234="7)",J1234,IF(H1234="8)",J1234,0))))))))</f>
        <v/>
      </c>
    </row>
    <row r="1236">
      <c r="A1236" s="0" t="inlineStr">
        <is>
          <t>New</t>
        </is>
      </c>
      <c r="B1236" s="0" t="inlineStr">
        <is>
          <t>Item</t>
        </is>
      </c>
      <c r="C1236" s="0" t="inlineStr">
        <is>
          <t>Acquired</t>
        </is>
      </c>
      <c r="D1236" s="0" t="inlineStr">
        <is>
          <t>:</t>
        </is>
      </c>
      <c r="E1236" s="0" t="inlineStr">
        <is>
          <t>45.00K</t>
        </is>
      </c>
      <c r="F1236" s="0" t="inlineStr">
        <is>
          <t>(3,</t>
        </is>
      </c>
      <c r="G1236" s="0" t="inlineStr">
        <is>
          <t>1)</t>
        </is>
      </c>
      <c r="K1236" s="0">
        <f>IF(H1235="1)",1,IF(H1235="2)",2,IF(H1235="3)",3,IF(H1235="4)",4,IF(H1235="5)",5,IF(H1235="6)",6,IF(H1235="7)",7,IF(H1235="8)",8,0))))))))</f>
        <v/>
      </c>
      <c r="L1236" s="0">
        <f>IF(H1235="1)",J1235,IF(H1235="2)",J1235,IF(H1235="3)",J1235,IF(H1235="4)",J1235,IF(H1235="5)",J1235,IF(H1235="6)",J1235,IF(H1235="7)",J1235,IF(H1235="8)",J1235,0))))))))</f>
        <v/>
      </c>
    </row>
    <row r="1237">
      <c r="A1237" s="0" t="inlineStr">
        <is>
          <t>New</t>
        </is>
      </c>
      <c r="B1237" s="0" t="inlineStr">
        <is>
          <t>Item</t>
        </is>
      </c>
      <c r="C1237" s="0" t="inlineStr">
        <is>
          <t>Acquired</t>
        </is>
      </c>
      <c r="D1237" s="0" t="inlineStr">
        <is>
          <t>:</t>
        </is>
      </c>
      <c r="E1237" s="0" t="inlineStr">
        <is>
          <t>70.00K</t>
        </is>
      </c>
      <c r="F1237" s="0" t="inlineStr">
        <is>
          <t>(1,</t>
        </is>
      </c>
      <c r="G1237" s="0" t="inlineStr">
        <is>
          <t>24)</t>
        </is>
      </c>
      <c r="K1237" s="0">
        <f>IF(H1236="1)",1,IF(H1236="2)",2,IF(H1236="3)",3,IF(H1236="4)",4,IF(H1236="5)",5,IF(H1236="6)",6,IF(H1236="7)",7,IF(H1236="8)",8,0))))))))</f>
        <v/>
      </c>
      <c r="L1237" s="0">
        <f>IF(H1236="1)",J1236,IF(H1236="2)",J1236,IF(H1236="3)",J1236,IF(H1236="4)",J1236,IF(H1236="5)",J1236,IF(H1236="6)",J1236,IF(H1236="7)",J1236,IF(H1236="8)",J1236,0))))))))</f>
        <v/>
      </c>
    </row>
    <row r="1238">
      <c r="A1238" s="0" t="inlineStr">
        <is>
          <t>New</t>
        </is>
      </c>
      <c r="B1238" s="0" t="inlineStr">
        <is>
          <t>Item</t>
        </is>
      </c>
      <c r="C1238" s="0" t="inlineStr">
        <is>
          <t>Acquired</t>
        </is>
      </c>
      <c r="D1238" s="0" t="inlineStr">
        <is>
          <t>:</t>
        </is>
      </c>
      <c r="E1238" s="0" t="inlineStr">
        <is>
          <t>30.00K</t>
        </is>
      </c>
      <c r="F1238" s="0" t="inlineStr">
        <is>
          <t>(1,</t>
        </is>
      </c>
      <c r="G1238" s="0" t="inlineStr">
        <is>
          <t>12)</t>
        </is>
      </c>
      <c r="K1238" s="0">
        <f>IF(H1237="1)",1,IF(H1237="2)",2,IF(H1237="3)",3,IF(H1237="4)",4,IF(H1237="5)",5,IF(H1237="6)",6,IF(H1237="7)",7,IF(H1237="8)",8,0))))))))</f>
        <v/>
      </c>
      <c r="L1238" s="0">
        <f>IF(H1237="1)",J1237,IF(H1237="2)",J1237,IF(H1237="3)",J1237,IF(H1237="4)",J1237,IF(H1237="5)",J1237,IF(H1237="6)",J1237,IF(H1237="7)",J1237,IF(H1237="8)",J1237,0))))))))</f>
        <v/>
      </c>
    </row>
    <row r="1239">
      <c r="A1239" s="0" t="inlineStr">
        <is>
          <t>New</t>
        </is>
      </c>
      <c r="B1239" s="0" t="inlineStr">
        <is>
          <t>Item</t>
        </is>
      </c>
      <c r="C1239" s="0" t="inlineStr">
        <is>
          <t>Acquired</t>
        </is>
      </c>
      <c r="D1239" s="0" t="inlineStr">
        <is>
          <t>:</t>
        </is>
      </c>
      <c r="E1239" s="0" t="inlineStr">
        <is>
          <t>125.00K</t>
        </is>
      </c>
      <c r="F1239" s="0" t="inlineStr">
        <is>
          <t>(6,</t>
        </is>
      </c>
      <c r="G1239" s="0" t="inlineStr">
        <is>
          <t>2)</t>
        </is>
      </c>
      <c r="K1239" s="0">
        <f>IF(H1238="1)",1,IF(H1238="2)",2,IF(H1238="3)",3,IF(H1238="4)",4,IF(H1238="5)",5,IF(H1238="6)",6,IF(H1238="7)",7,IF(H1238="8)",8,0))))))))</f>
        <v/>
      </c>
      <c r="L1239" s="0">
        <f>IF(H1238="1)",J1238,IF(H1238="2)",J1238,IF(H1238="3)",J1238,IF(H1238="4)",J1238,IF(H1238="5)",J1238,IF(H1238="6)",J1238,IF(H1238="7)",J1238,IF(H1238="8)",J1238,0))))))))</f>
        <v/>
      </c>
    </row>
    <row r="1240">
      <c r="A1240" s="0" t="inlineStr">
        <is>
          <t>New</t>
        </is>
      </c>
      <c r="B1240" s="0" t="inlineStr">
        <is>
          <t>Item</t>
        </is>
      </c>
      <c r="C1240" s="0" t="inlineStr">
        <is>
          <t>Acquired</t>
        </is>
      </c>
      <c r="D1240" s="0" t="inlineStr">
        <is>
          <t>:</t>
        </is>
      </c>
      <c r="E1240" s="0" t="inlineStr">
        <is>
          <t>Mini</t>
        </is>
      </c>
      <c r="F1240" s="0" t="inlineStr">
        <is>
          <t>(4,</t>
        </is>
      </c>
      <c r="G1240" s="0" t="inlineStr">
        <is>
          <t>7)</t>
        </is>
      </c>
      <c r="K1240" s="0">
        <f>IF(H1239="1)",1,IF(H1239="2)",2,IF(H1239="3)",3,IF(H1239="4)",4,IF(H1239="5)",5,IF(H1239="6)",6,IF(H1239="7)",7,IF(H1239="8)",8,0))))))))</f>
        <v/>
      </c>
      <c r="L1240" s="0">
        <f>IF(H1239="1)",J1239,IF(H1239="2)",J1239,IF(H1239="3)",J1239,IF(H1239="4)",J1239,IF(H1239="5)",J1239,IF(H1239="6)",J1239,IF(H1239="7)",J1239,IF(H1239="8)",J1239,0))))))))</f>
        <v/>
      </c>
    </row>
    <row r="1241">
      <c r="A1241" s="0" t="inlineStr">
        <is>
          <t>Line</t>
        </is>
      </c>
      <c r="B1241" s="0" t="inlineStr">
        <is>
          <t>Prize</t>
        </is>
      </c>
      <c r="C1241" s="0" t="inlineStr">
        <is>
          <t>Acquired</t>
        </is>
      </c>
      <c r="D1241" s="0" t="inlineStr">
        <is>
          <t>:</t>
        </is>
      </c>
      <c r="E1241" s="0" t="inlineStr">
        <is>
          <t>745.00K</t>
        </is>
      </c>
      <c r="F1241" s="0" t="inlineStr">
        <is>
          <t>(Stage</t>
        </is>
      </c>
      <c r="G1241" s="0" t="inlineStr">
        <is>
          <t>:</t>
        </is>
      </c>
      <c r="H1241" s="0" t="inlineStr">
        <is>
          <t>4)</t>
        </is>
      </c>
      <c r="I1241" s="0" t="inlineStr">
        <is>
          <t>-</t>
        </is>
      </c>
      <c r="J1241" s="0" t="n">
        <v>745000</v>
      </c>
      <c r="K1241" s="0">
        <f>IF(H1240="1)",1,IF(H1240="2)",2,IF(H1240="3)",3,IF(H1240="4)",4,IF(H1240="5)",5,IF(H1240="6)",6,IF(H1240="7)",7,IF(H1240="8)",8,0))))))))</f>
        <v/>
      </c>
      <c r="L1241" s="0">
        <f>IF(H1240="1)",J1240,IF(H1240="2)",J1240,IF(H1240="3)",J1240,IF(H1240="4)",J1240,IF(H1240="5)",J1240,IF(H1240="6)",J1240,IF(H1240="7)",J1240,IF(H1240="8)",J1240,0))))))))</f>
        <v/>
      </c>
    </row>
    <row r="1242">
      <c r="A1242" s="0" t="inlineStr">
        <is>
          <t>Line</t>
        </is>
      </c>
      <c r="B1242" s="0" t="inlineStr">
        <is>
          <t>Prize</t>
        </is>
      </c>
      <c r="C1242" s="0" t="inlineStr">
        <is>
          <t>Acquired</t>
        </is>
      </c>
      <c r="D1242" s="0" t="inlineStr">
        <is>
          <t>:</t>
        </is>
      </c>
      <c r="E1242" s="0" t="inlineStr">
        <is>
          <t>1.74M</t>
        </is>
      </c>
      <c r="F1242" s="0" t="inlineStr">
        <is>
          <t>(Stage</t>
        </is>
      </c>
      <c r="G1242" s="0" t="inlineStr">
        <is>
          <t>:</t>
        </is>
      </c>
      <c r="H1242" s="0" t="inlineStr">
        <is>
          <t>4)</t>
        </is>
      </c>
      <c r="I1242" s="0" t="inlineStr">
        <is>
          <t>-</t>
        </is>
      </c>
      <c r="J1242" s="0" t="n">
        <v>1735000</v>
      </c>
      <c r="K1242" s="0">
        <f>IF(H1241="1)",1,IF(H1241="2)",2,IF(H1241="3)",3,IF(H1241="4)",4,IF(H1241="5)",5,IF(H1241="6)",6,IF(H1241="7)",7,IF(H1241="8)",8,0))))))))</f>
        <v/>
      </c>
      <c r="L1242" s="0">
        <f>IF(H1241="1)",J1241,IF(H1241="2)",J1241,IF(H1241="3)",J1241,IF(H1241="4)",J1241,IF(H1241="5)",J1241,IF(H1241="6)",J1241,IF(H1241="7)",J1241,IF(H1241="8)",J1241,0))))))))</f>
        <v/>
      </c>
    </row>
    <row r="1243">
      <c r="A1243" s="0" t="inlineStr">
        <is>
          <t>Clear</t>
        </is>
      </c>
      <c r="B1243" s="0" t="inlineStr">
        <is>
          <t>Gem</t>
        </is>
      </c>
      <c r="C1243" s="0" t="inlineStr">
        <is>
          <t>Acquired</t>
        </is>
      </c>
      <c r="D1243" s="0" t="inlineStr">
        <is>
          <t>:</t>
        </is>
      </c>
      <c r="E1243" s="0" t="n">
        <v>7300</v>
      </c>
      <c r="F1243" s="0" t="inlineStr">
        <is>
          <t>-&gt;</t>
        </is>
      </c>
      <c r="G1243" s="0" t="n">
        <v>7400</v>
      </c>
      <c r="H1243" s="0" t="inlineStr">
        <is>
          <t>(Stage</t>
        </is>
      </c>
      <c r="I1243" s="0" t="inlineStr">
        <is>
          <t>:</t>
        </is>
      </c>
      <c r="J1243" s="0" t="inlineStr">
        <is>
          <t>4)</t>
        </is>
      </c>
      <c r="K1243" s="0">
        <f>IF(H1242="1)",1,IF(H1242="2)",2,IF(H1242="3)",3,IF(H1242="4)",4,IF(H1242="5)",5,IF(H1242="6)",6,IF(H1242="7)",7,IF(H1242="8)",8,0))))))))</f>
        <v/>
      </c>
      <c r="L1243" s="0">
        <f>IF(H1242="1)",J1242,IF(H1242="2)",J1242,IF(H1242="3)",J1242,IF(H1242="4)",J1242,IF(H1242="5)",J1242,IF(H1242="6)",J1242,IF(H1242="7)",J1242,IF(H1242="8)",J1242,0))))))))</f>
        <v/>
      </c>
    </row>
    <row r="1244">
      <c r="A1244" s="0" t="inlineStr">
        <is>
          <t>New</t>
        </is>
      </c>
      <c r="B1244" s="0" t="inlineStr">
        <is>
          <t>Item</t>
        </is>
      </c>
      <c r="C1244" s="0" t="inlineStr">
        <is>
          <t>Acquired</t>
        </is>
      </c>
      <c r="D1244" s="0" t="inlineStr">
        <is>
          <t>:</t>
        </is>
      </c>
      <c r="E1244" s="0" t="inlineStr">
        <is>
          <t>37.50K</t>
        </is>
      </c>
      <c r="F1244" s="0" t="inlineStr">
        <is>
          <t>(2,</t>
        </is>
      </c>
      <c r="G1244" s="0" t="inlineStr">
        <is>
          <t>17)</t>
        </is>
      </c>
      <c r="K1244" s="0">
        <f>IF(H1243="1)",1,IF(H1243="2)",2,IF(H1243="3)",3,IF(H1243="4)",4,IF(H1243="5)",5,IF(H1243="6)",6,IF(H1243="7)",7,IF(H1243="8)",8,0))))))))</f>
        <v/>
      </c>
      <c r="L1244" s="0">
        <f>IF(H1243="1)",J1243,IF(H1243="2)",J1243,IF(H1243="3)",J1243,IF(H1243="4)",J1243,IF(H1243="5)",J1243,IF(H1243="6)",J1243,IF(H1243="7)",J1243,IF(H1243="8)",J1243,0))))))))</f>
        <v/>
      </c>
    </row>
    <row r="1245">
      <c r="A1245" s="0" t="inlineStr">
        <is>
          <t>New</t>
        </is>
      </c>
      <c r="B1245" s="0" t="inlineStr">
        <is>
          <t>Item</t>
        </is>
      </c>
      <c r="C1245" s="0" t="inlineStr">
        <is>
          <t>Acquired</t>
        </is>
      </c>
      <c r="D1245" s="0" t="inlineStr">
        <is>
          <t>:</t>
        </is>
      </c>
      <c r="E1245" s="0" t="inlineStr">
        <is>
          <t>87.50K</t>
        </is>
      </c>
      <c r="F1245" s="0" t="inlineStr">
        <is>
          <t>(2,</t>
        </is>
      </c>
      <c r="G1245" s="0" t="inlineStr">
        <is>
          <t>2)</t>
        </is>
      </c>
      <c r="K1245" s="0">
        <f>IF(H1244="1)",1,IF(H1244="2)",2,IF(H1244="3)",3,IF(H1244="4)",4,IF(H1244="5)",5,IF(H1244="6)",6,IF(H1244="7)",7,IF(H1244="8)",8,0))))))))</f>
        <v/>
      </c>
      <c r="L1245" s="0">
        <f>IF(H1244="1)",J1244,IF(H1244="2)",J1244,IF(H1244="3)",J1244,IF(H1244="4)",J1244,IF(H1244="5)",J1244,IF(H1244="6)",J1244,IF(H1244="7)",J1244,IF(H1244="8)",J1244,0))))))))</f>
        <v/>
      </c>
    </row>
    <row r="1246">
      <c r="A1246" s="0" t="inlineStr">
        <is>
          <t>New</t>
        </is>
      </c>
      <c r="B1246" s="0" t="inlineStr">
        <is>
          <t>Item</t>
        </is>
      </c>
      <c r="C1246" s="0" t="inlineStr">
        <is>
          <t>Acquired</t>
        </is>
      </c>
      <c r="D1246" s="0" t="inlineStr">
        <is>
          <t>:</t>
        </is>
      </c>
      <c r="E1246" s="0" t="inlineStr">
        <is>
          <t>280.00K</t>
        </is>
      </c>
      <c r="F1246" s="0" t="inlineStr">
        <is>
          <t>(8,</t>
        </is>
      </c>
      <c r="G1246" s="0" t="inlineStr">
        <is>
          <t>19)</t>
        </is>
      </c>
      <c r="K1246" s="0">
        <f>IF(H1245="1)",1,IF(H1245="2)",2,IF(H1245="3)",3,IF(H1245="4)",4,IF(H1245="5)",5,IF(H1245="6)",6,IF(H1245="7)",7,IF(H1245="8)",8,0))))))))</f>
        <v/>
      </c>
      <c r="L1246" s="0">
        <f>IF(H1245="1)",J1245,IF(H1245="2)",J1245,IF(H1245="3)",J1245,IF(H1245="4)",J1245,IF(H1245="5)",J1245,IF(H1245="6)",J1245,IF(H1245="7)",J1245,IF(H1245="8)",J1245,0))))))))</f>
        <v/>
      </c>
    </row>
    <row r="1247">
      <c r="A1247" s="0" t="inlineStr">
        <is>
          <t>New</t>
        </is>
      </c>
      <c r="B1247" s="0" t="inlineStr">
        <is>
          <t>Item</t>
        </is>
      </c>
      <c r="C1247" s="0" t="inlineStr">
        <is>
          <t>Acquired</t>
        </is>
      </c>
      <c r="D1247" s="0" t="inlineStr">
        <is>
          <t>:</t>
        </is>
      </c>
      <c r="E1247" s="0" t="inlineStr">
        <is>
          <t>Minor</t>
        </is>
      </c>
      <c r="F1247" s="0" t="inlineStr">
        <is>
          <t>(5,</t>
        </is>
      </c>
      <c r="G1247" s="0" t="inlineStr">
        <is>
          <t>24)</t>
        </is>
      </c>
      <c r="K1247" s="0">
        <f>IF(H1246="1)",1,IF(H1246="2)",2,IF(H1246="3)",3,IF(H1246="4)",4,IF(H1246="5)",5,IF(H1246="6)",6,IF(H1246="7)",7,IF(H1246="8)",8,0))))))))</f>
        <v/>
      </c>
      <c r="L1247" s="0">
        <f>IF(H1246="1)",J1246,IF(H1246="2)",J1246,IF(H1246="3)",J1246,IF(H1246="4)",J1246,IF(H1246="5)",J1246,IF(H1246="6)",J1246,IF(H1246="7)",J1246,IF(H1246="8)",J1246,0))))))))</f>
        <v/>
      </c>
    </row>
    <row r="1248">
      <c r="A1248" s="0" t="inlineStr">
        <is>
          <t>New</t>
        </is>
      </c>
      <c r="B1248" s="0" t="inlineStr">
        <is>
          <t>Item</t>
        </is>
      </c>
      <c r="C1248" s="0" t="inlineStr">
        <is>
          <t>Acquired</t>
        </is>
      </c>
      <c r="D1248" s="0" t="inlineStr">
        <is>
          <t>:</t>
        </is>
      </c>
      <c r="E1248" s="0" t="inlineStr">
        <is>
          <t>Minor</t>
        </is>
      </c>
      <c r="F1248" s="0" t="inlineStr">
        <is>
          <t>(4,</t>
        </is>
      </c>
      <c r="G1248" s="0" t="inlineStr">
        <is>
          <t>11)</t>
        </is>
      </c>
      <c r="K1248" s="0">
        <f>IF(H1247="1)",1,IF(H1247="2)",2,IF(H1247="3)",3,IF(H1247="4)",4,IF(H1247="5)",5,IF(H1247="6)",6,IF(H1247="7)",7,IF(H1247="8)",8,0))))))))</f>
        <v/>
      </c>
      <c r="L1248" s="0">
        <f>IF(H1247="1)",J1247,IF(H1247="2)",J1247,IF(H1247="3)",J1247,IF(H1247="4)",J1247,IF(H1247="5)",J1247,IF(H1247="6)",J1247,IF(H1247="7)",J1247,IF(H1247="8)",J1247,0))))))))</f>
        <v/>
      </c>
    </row>
    <row r="1249">
      <c r="A1249" s="0" t="inlineStr">
        <is>
          <t>New</t>
        </is>
      </c>
      <c r="B1249" s="0" t="inlineStr">
        <is>
          <t>Item</t>
        </is>
      </c>
      <c r="C1249" s="0" t="inlineStr">
        <is>
          <t>Acquired</t>
        </is>
      </c>
      <c r="D1249" s="0" t="inlineStr">
        <is>
          <t>:</t>
        </is>
      </c>
      <c r="E1249" s="0" t="inlineStr">
        <is>
          <t>87.50K</t>
        </is>
      </c>
      <c r="F1249" s="0" t="inlineStr">
        <is>
          <t>(2,</t>
        </is>
      </c>
      <c r="G1249" s="0" t="inlineStr">
        <is>
          <t>8)</t>
        </is>
      </c>
      <c r="K1249" s="0">
        <f>IF(H1248="1)",1,IF(H1248="2)",2,IF(H1248="3)",3,IF(H1248="4)",4,IF(H1248="5)",5,IF(H1248="6)",6,IF(H1248="7)",7,IF(H1248="8)",8,0))))))))</f>
        <v/>
      </c>
      <c r="L1249" s="0">
        <f>IF(H1248="1)",J1248,IF(H1248="2)",J1248,IF(H1248="3)",J1248,IF(H1248="4)",J1248,IF(H1248="5)",J1248,IF(H1248="6)",J1248,IF(H1248="7)",J1248,IF(H1248="8)",J1248,0))))))))</f>
        <v/>
      </c>
    </row>
    <row r="1250">
      <c r="A1250" s="0" t="inlineStr">
        <is>
          <t>New</t>
        </is>
      </c>
      <c r="B1250" s="0" t="inlineStr">
        <is>
          <t>Item</t>
        </is>
      </c>
      <c r="C1250" s="0" t="inlineStr">
        <is>
          <t>Acquired</t>
        </is>
      </c>
      <c r="D1250" s="0" t="inlineStr">
        <is>
          <t>:</t>
        </is>
      </c>
      <c r="E1250" s="0" t="inlineStr">
        <is>
          <t>105.00K</t>
        </is>
      </c>
      <c r="F1250" s="0" t="inlineStr">
        <is>
          <t>(3,</t>
        </is>
      </c>
      <c r="G1250" s="0" t="inlineStr">
        <is>
          <t>5)</t>
        </is>
      </c>
      <c r="K1250" s="0">
        <f>IF(H1249="1)",1,IF(H1249="2)",2,IF(H1249="3)",3,IF(H1249="4)",4,IF(H1249="5)",5,IF(H1249="6)",6,IF(H1249="7)",7,IF(H1249="8)",8,0))))))))</f>
        <v/>
      </c>
      <c r="L1250" s="0">
        <f>IF(H1249="1)",J1249,IF(H1249="2)",J1249,IF(H1249="3)",J1249,IF(H1249="4)",J1249,IF(H1249="5)",J1249,IF(H1249="6)",J1249,IF(H1249="7)",J1249,IF(H1249="8)",J1249,0))))))))</f>
        <v/>
      </c>
    </row>
    <row r="1251">
      <c r="A1251" s="0" t="inlineStr">
        <is>
          <t>New</t>
        </is>
      </c>
      <c r="B1251" s="0" t="inlineStr">
        <is>
          <t>Item</t>
        </is>
      </c>
      <c r="C1251" s="0" t="inlineStr">
        <is>
          <t>Acquired</t>
        </is>
      </c>
      <c r="D1251" s="0" t="inlineStr">
        <is>
          <t>:</t>
        </is>
      </c>
      <c r="E1251" s="0" t="inlineStr">
        <is>
          <t>120.00K</t>
        </is>
      </c>
      <c r="F1251" s="0" t="inlineStr">
        <is>
          <t>(8,</t>
        </is>
      </c>
      <c r="G1251" s="0" t="inlineStr">
        <is>
          <t>9)</t>
        </is>
      </c>
      <c r="K1251" s="0">
        <f>IF(H1250="1)",1,IF(H1250="2)",2,IF(H1250="3)",3,IF(H1250="4)",4,IF(H1250="5)",5,IF(H1250="6)",6,IF(H1250="7)",7,IF(H1250="8)",8,0))))))))</f>
        <v/>
      </c>
      <c r="L1251" s="0">
        <f>IF(H1250="1)",J1250,IF(H1250="2)",J1250,IF(H1250="3)",J1250,IF(H1250="4)",J1250,IF(H1250="5)",J1250,IF(H1250="6)",J1250,IF(H1250="7)",J1250,IF(H1250="8)",J1250,0))))))))</f>
        <v/>
      </c>
    </row>
    <row r="1252">
      <c r="A1252" s="0" t="inlineStr">
        <is>
          <t>Line</t>
        </is>
      </c>
      <c r="B1252" s="0" t="inlineStr">
        <is>
          <t>Prize</t>
        </is>
      </c>
      <c r="C1252" s="0" t="inlineStr">
        <is>
          <t>Acquired</t>
        </is>
      </c>
      <c r="D1252" s="0" t="inlineStr">
        <is>
          <t>:</t>
        </is>
      </c>
      <c r="E1252" s="0" t="inlineStr">
        <is>
          <t>2.40M</t>
        </is>
      </c>
      <c r="F1252" s="0" t="inlineStr">
        <is>
          <t>(Stage</t>
        </is>
      </c>
      <c r="G1252" s="0" t="inlineStr">
        <is>
          <t>:</t>
        </is>
      </c>
      <c r="H1252" s="0" t="inlineStr">
        <is>
          <t>8)</t>
        </is>
      </c>
      <c r="I1252" s="0" t="inlineStr">
        <is>
          <t>-</t>
        </is>
      </c>
      <c r="J1252" s="0" t="n">
        <v>2400000</v>
      </c>
      <c r="K1252" s="0">
        <f>IF(H1251="1)",1,IF(H1251="2)",2,IF(H1251="3)",3,IF(H1251="4)",4,IF(H1251="5)",5,IF(H1251="6)",6,IF(H1251="7)",7,IF(H1251="8)",8,0))))))))</f>
        <v/>
      </c>
      <c r="L1252" s="0">
        <f>IF(H1251="1)",J1251,IF(H1251="2)",J1251,IF(H1251="3)",J1251,IF(H1251="4)",J1251,IF(H1251="5)",J1251,IF(H1251="6)",J1251,IF(H1251="7)",J1251,IF(H1251="8)",J1251,0))))))))</f>
        <v/>
      </c>
    </row>
    <row r="1253">
      <c r="A1253" s="0" t="inlineStr">
        <is>
          <t>Clear</t>
        </is>
      </c>
      <c r="B1253" s="0" t="inlineStr">
        <is>
          <t>Gem</t>
        </is>
      </c>
      <c r="C1253" s="0" t="inlineStr">
        <is>
          <t>Acquired</t>
        </is>
      </c>
      <c r="D1253" s="0" t="inlineStr">
        <is>
          <t>:</t>
        </is>
      </c>
      <c r="E1253" s="0" t="n">
        <v>7400</v>
      </c>
      <c r="F1253" s="0" t="inlineStr">
        <is>
          <t>-&gt;</t>
        </is>
      </c>
      <c r="G1253" s="0" t="n">
        <v>7500</v>
      </c>
      <c r="H1253" s="0" t="inlineStr">
        <is>
          <t>(Stage</t>
        </is>
      </c>
      <c r="I1253" s="0" t="inlineStr">
        <is>
          <t>:</t>
        </is>
      </c>
      <c r="J1253" s="0" t="inlineStr">
        <is>
          <t>8)</t>
        </is>
      </c>
      <c r="K1253" s="0">
        <f>IF(H1252="1)",1,IF(H1252="2)",2,IF(H1252="3)",3,IF(H1252="4)",4,IF(H1252="5)",5,IF(H1252="6)",6,IF(H1252="7)",7,IF(H1252="8)",8,0))))))))</f>
        <v/>
      </c>
      <c r="L1253" s="0">
        <f>IF(H1252="1)",J1252,IF(H1252="2)",J1252,IF(H1252="3)",J1252,IF(H1252="4)",J1252,IF(H1252="5)",J1252,IF(H1252="6)",J1252,IF(H1252="7)",J1252,IF(H1252="8)",J1252,0))))))))</f>
        <v/>
      </c>
    </row>
    <row r="1254">
      <c r="A1254" s="0" t="inlineStr">
        <is>
          <t>New</t>
        </is>
      </c>
      <c r="B1254" s="0" t="inlineStr">
        <is>
          <t>Item</t>
        </is>
      </c>
      <c r="C1254" s="0" t="inlineStr">
        <is>
          <t>Acquired</t>
        </is>
      </c>
      <c r="D1254" s="0" t="inlineStr">
        <is>
          <t>:</t>
        </is>
      </c>
      <c r="E1254" s="0" t="inlineStr">
        <is>
          <t>Mini</t>
        </is>
      </c>
      <c r="F1254" s="0" t="inlineStr">
        <is>
          <t>(7,</t>
        </is>
      </c>
      <c r="G1254" s="0" t="inlineStr">
        <is>
          <t>24)</t>
        </is>
      </c>
      <c r="K1254" s="0">
        <f>IF(H1253="1)",1,IF(H1253="2)",2,IF(H1253="3)",3,IF(H1253="4)",4,IF(H1253="5)",5,IF(H1253="6)",6,IF(H1253="7)",7,IF(H1253="8)",8,0))))))))</f>
        <v/>
      </c>
      <c r="L1254" s="0">
        <f>IF(H1253="1)",J1253,IF(H1253="2)",J1253,IF(H1253="3)",J1253,IF(H1253="4)",J1253,IF(H1253="5)",J1253,IF(H1253="6)",J1253,IF(H1253="7)",J1253,IF(H1253="8)",J1253,0))))))))</f>
        <v/>
      </c>
    </row>
    <row r="1255">
      <c r="A1255" s="0" t="inlineStr">
        <is>
          <t>New</t>
        </is>
      </c>
      <c r="B1255" s="0" t="inlineStr">
        <is>
          <t>Item</t>
        </is>
      </c>
      <c r="C1255" s="0" t="inlineStr">
        <is>
          <t>Acquired</t>
        </is>
      </c>
      <c r="D1255" s="0" t="inlineStr">
        <is>
          <t>:</t>
        </is>
      </c>
      <c r="E1255" s="0" t="inlineStr">
        <is>
          <t>87.50K</t>
        </is>
      </c>
      <c r="F1255" s="0" t="inlineStr">
        <is>
          <t>(2,</t>
        </is>
      </c>
      <c r="G1255" s="0" t="inlineStr">
        <is>
          <t>5)</t>
        </is>
      </c>
      <c r="K1255" s="0">
        <f>IF(H1254="1)",1,IF(H1254="2)",2,IF(H1254="3)",3,IF(H1254="4)",4,IF(H1254="5)",5,IF(H1254="6)",6,IF(H1254="7)",7,IF(H1254="8)",8,0))))))))</f>
        <v/>
      </c>
      <c r="L1255" s="0">
        <f>IF(H1254="1)",J1254,IF(H1254="2)",J1254,IF(H1254="3)",J1254,IF(H1254="4)",J1254,IF(H1254="5)",J1254,IF(H1254="6)",J1254,IF(H1254="7)",J1254,IF(H1254="8)",J1254,0))))))))</f>
        <v/>
      </c>
    </row>
    <row r="1256">
      <c r="A1256" s="0" t="inlineStr">
        <is>
          <t>New</t>
        </is>
      </c>
      <c r="B1256" s="0" t="inlineStr">
        <is>
          <t>Item</t>
        </is>
      </c>
      <c r="C1256" s="0" t="inlineStr">
        <is>
          <t>Acquired</t>
        </is>
      </c>
      <c r="D1256" s="0" t="inlineStr">
        <is>
          <t>:</t>
        </is>
      </c>
      <c r="E1256" s="0" t="inlineStr">
        <is>
          <t>60.00K</t>
        </is>
      </c>
      <c r="F1256" s="0" t="inlineStr">
        <is>
          <t>(4,</t>
        </is>
      </c>
      <c r="G1256" s="0" t="inlineStr">
        <is>
          <t>7)</t>
        </is>
      </c>
      <c r="K1256" s="0">
        <f>IF(H1255="1)",1,IF(H1255="2)",2,IF(H1255="3)",3,IF(H1255="4)",4,IF(H1255="5)",5,IF(H1255="6)",6,IF(H1255="7)",7,IF(H1255="8)",8,0))))))))</f>
        <v/>
      </c>
      <c r="L1256" s="0">
        <f>IF(H1255="1)",J1255,IF(H1255="2)",J1255,IF(H1255="3)",J1255,IF(H1255="4)",J1255,IF(H1255="5)",J1255,IF(H1255="6)",J1255,IF(H1255="7)",J1255,IF(H1255="8)",J1255,0))))))))</f>
        <v/>
      </c>
    </row>
    <row r="1257">
      <c r="A1257" s="0" t="inlineStr">
        <is>
          <t>New</t>
        </is>
      </c>
      <c r="B1257" s="0" t="inlineStr">
        <is>
          <t>Item</t>
        </is>
      </c>
      <c r="C1257" s="0" t="inlineStr">
        <is>
          <t>Acquired</t>
        </is>
      </c>
      <c r="D1257" s="0" t="inlineStr">
        <is>
          <t>:</t>
        </is>
      </c>
      <c r="E1257" s="0" t="inlineStr">
        <is>
          <t>75.00K</t>
        </is>
      </c>
      <c r="F1257" s="0" t="inlineStr">
        <is>
          <t>(3,</t>
        </is>
      </c>
      <c r="G1257" s="0" t="inlineStr">
        <is>
          <t>11)</t>
        </is>
      </c>
      <c r="K1257" s="0">
        <f>IF(H1256="1)",1,IF(H1256="2)",2,IF(H1256="3)",3,IF(H1256="4)",4,IF(H1256="5)",5,IF(H1256="6)",6,IF(H1256="7)",7,IF(H1256="8)",8,0))))))))</f>
        <v/>
      </c>
      <c r="L1257" s="0">
        <f>IF(H1256="1)",J1256,IF(H1256="2)",J1256,IF(H1256="3)",J1256,IF(H1256="4)",J1256,IF(H1256="5)",J1256,IF(H1256="6)",J1256,IF(H1256="7)",J1256,IF(H1256="8)",J1256,0))))))))</f>
        <v/>
      </c>
    </row>
    <row r="1258">
      <c r="A1258" s="0" t="inlineStr">
        <is>
          <t>New</t>
        </is>
      </c>
      <c r="B1258" s="0" t="inlineStr">
        <is>
          <t>Item</t>
        </is>
      </c>
      <c r="C1258" s="0" t="inlineStr">
        <is>
          <t>Acquired</t>
        </is>
      </c>
      <c r="D1258" s="0" t="inlineStr">
        <is>
          <t>:</t>
        </is>
      </c>
      <c r="E1258" s="0" t="inlineStr">
        <is>
          <t>Mini</t>
        </is>
      </c>
      <c r="F1258" s="0" t="inlineStr">
        <is>
          <t>(4,</t>
        </is>
      </c>
      <c r="G1258" s="0" t="inlineStr">
        <is>
          <t>12)</t>
        </is>
      </c>
      <c r="K1258" s="0">
        <f>IF(H1257="1)",1,IF(H1257="2)",2,IF(H1257="3)",3,IF(H1257="4)",4,IF(H1257="5)",5,IF(H1257="6)",6,IF(H1257="7)",7,IF(H1257="8)",8,0))))))))</f>
        <v/>
      </c>
      <c r="L1258" s="0">
        <f>IF(H1257="1)",J1257,IF(H1257="2)",J1257,IF(H1257="3)",J1257,IF(H1257="4)",J1257,IF(H1257="5)",J1257,IF(H1257="6)",J1257,IF(H1257="7)",J1257,IF(H1257="8)",J1257,0))))))))</f>
        <v/>
      </c>
    </row>
    <row r="1259">
      <c r="A1259" s="0" t="inlineStr">
        <is>
          <t>New</t>
        </is>
      </c>
      <c r="B1259" s="0" t="inlineStr">
        <is>
          <t>Item</t>
        </is>
      </c>
      <c r="C1259" s="0" t="inlineStr">
        <is>
          <t>Acquired</t>
        </is>
      </c>
      <c r="D1259" s="0" t="inlineStr">
        <is>
          <t>:</t>
        </is>
      </c>
      <c r="E1259" s="0" t="inlineStr">
        <is>
          <t>87.50K</t>
        </is>
      </c>
      <c r="F1259" s="0" t="inlineStr">
        <is>
          <t>(2,</t>
        </is>
      </c>
      <c r="G1259" s="0" t="inlineStr">
        <is>
          <t>3)</t>
        </is>
      </c>
      <c r="K1259" s="0">
        <f>IF(H1258="1)",1,IF(H1258="2)",2,IF(H1258="3)",3,IF(H1258="4)",4,IF(H1258="5)",5,IF(H1258="6)",6,IF(H1258="7)",7,IF(H1258="8)",8,0))))))))</f>
        <v/>
      </c>
      <c r="L1259" s="0">
        <f>IF(H1258="1)",J1258,IF(H1258="2)",J1258,IF(H1258="3)",J1258,IF(H1258="4)",J1258,IF(H1258="5)",J1258,IF(H1258="6)",J1258,IF(H1258="7)",J1258,IF(H1258="8)",J1258,0))))))))</f>
        <v/>
      </c>
    </row>
    <row r="1260">
      <c r="A1260" s="0" t="inlineStr">
        <is>
          <t>New</t>
        </is>
      </c>
      <c r="B1260" s="0" t="inlineStr">
        <is>
          <t>Item</t>
        </is>
      </c>
      <c r="C1260" s="0" t="inlineStr">
        <is>
          <t>Acquired</t>
        </is>
      </c>
      <c r="D1260" s="0" t="inlineStr">
        <is>
          <t>:</t>
        </is>
      </c>
      <c r="E1260" s="0" t="inlineStr">
        <is>
          <t>60.00K</t>
        </is>
      </c>
      <c r="F1260" s="0" t="inlineStr">
        <is>
          <t>(4,</t>
        </is>
      </c>
      <c r="G1260" s="0" t="inlineStr">
        <is>
          <t>2)</t>
        </is>
      </c>
      <c r="K1260" s="0">
        <f>IF(H1259="1)",1,IF(H1259="2)",2,IF(H1259="3)",3,IF(H1259="4)",4,IF(H1259="5)",5,IF(H1259="6)",6,IF(H1259="7)",7,IF(H1259="8)",8,0))))))))</f>
        <v/>
      </c>
      <c r="L1260" s="0">
        <f>IF(H1259="1)",J1259,IF(H1259="2)",J1259,IF(H1259="3)",J1259,IF(H1259="4)",J1259,IF(H1259="5)",J1259,IF(H1259="6)",J1259,IF(H1259="7)",J1259,IF(H1259="8)",J1259,0))))))))</f>
        <v/>
      </c>
    </row>
    <row r="1261">
      <c r="A1261" s="0" t="inlineStr">
        <is>
          <t>New</t>
        </is>
      </c>
      <c r="B1261" s="0" t="inlineStr">
        <is>
          <t>Item</t>
        </is>
      </c>
      <c r="C1261" s="0" t="inlineStr">
        <is>
          <t>Acquired</t>
        </is>
      </c>
      <c r="D1261" s="0" t="inlineStr">
        <is>
          <t>:</t>
        </is>
      </c>
      <c r="E1261" s="0" t="inlineStr">
        <is>
          <t>150.00K</t>
        </is>
      </c>
      <c r="F1261" s="0" t="inlineStr">
        <is>
          <t>(7,</t>
        </is>
      </c>
      <c r="G1261" s="0" t="inlineStr">
        <is>
          <t>8)</t>
        </is>
      </c>
      <c r="K1261" s="0">
        <f>IF(H1260="1)",1,IF(H1260="2)",2,IF(H1260="3)",3,IF(H1260="4)",4,IF(H1260="5)",5,IF(H1260="6)",6,IF(H1260="7)",7,IF(H1260="8)",8,0))))))))</f>
        <v/>
      </c>
      <c r="L1261" s="0">
        <f>IF(H1260="1)",J1260,IF(H1260="2)",J1260,IF(H1260="3)",J1260,IF(H1260="4)",J1260,IF(H1260="5)",J1260,IF(H1260="6)",J1260,IF(H1260="7)",J1260,IF(H1260="8)",J1260,0))))))))</f>
        <v/>
      </c>
    </row>
    <row r="1262">
      <c r="A1262" s="0" t="inlineStr">
        <is>
          <t>New</t>
        </is>
      </c>
      <c r="B1262" s="0" t="inlineStr">
        <is>
          <t>Item</t>
        </is>
      </c>
      <c r="C1262" s="0" t="inlineStr">
        <is>
          <t>Acquired</t>
        </is>
      </c>
      <c r="D1262" s="0" t="inlineStr">
        <is>
          <t>:</t>
        </is>
      </c>
      <c r="E1262" s="0" t="inlineStr">
        <is>
          <t>Major</t>
        </is>
      </c>
      <c r="F1262" s="0" t="inlineStr">
        <is>
          <t>(4,</t>
        </is>
      </c>
      <c r="G1262" s="0" t="inlineStr">
        <is>
          <t>18)</t>
        </is>
      </c>
      <c r="K1262" s="0">
        <f>IF(H1261="1)",1,IF(H1261="2)",2,IF(H1261="3)",3,IF(H1261="4)",4,IF(H1261="5)",5,IF(H1261="6)",6,IF(H1261="7)",7,IF(H1261="8)",8,0))))))))</f>
        <v/>
      </c>
      <c r="L1262" s="0">
        <f>IF(H1261="1)",J1261,IF(H1261="2)",J1261,IF(H1261="3)",J1261,IF(H1261="4)",J1261,IF(H1261="5)",J1261,IF(H1261="6)",J1261,IF(H1261="7)",J1261,IF(H1261="8)",J1261,0))))))))</f>
        <v/>
      </c>
    </row>
    <row r="1263">
      <c r="A1263" s="0" t="inlineStr">
        <is>
          <t>New</t>
        </is>
      </c>
      <c r="B1263" s="0" t="inlineStr">
        <is>
          <t>Item</t>
        </is>
      </c>
      <c r="C1263" s="0" t="inlineStr">
        <is>
          <t>Acquired</t>
        </is>
      </c>
      <c r="D1263" s="0" t="inlineStr">
        <is>
          <t>:</t>
        </is>
      </c>
      <c r="E1263" s="0" t="inlineStr">
        <is>
          <t>45.00K</t>
        </is>
      </c>
      <c r="F1263" s="0" t="inlineStr">
        <is>
          <t>(3,</t>
        </is>
      </c>
      <c r="G1263" s="0" t="inlineStr">
        <is>
          <t>9)</t>
        </is>
      </c>
      <c r="K1263" s="0">
        <f>IF(H1262="1)",1,IF(H1262="2)",2,IF(H1262="3)",3,IF(H1262="4)",4,IF(H1262="5)",5,IF(H1262="6)",6,IF(H1262="7)",7,IF(H1262="8)",8,0))))))))</f>
        <v/>
      </c>
      <c r="L1263" s="0">
        <f>IF(H1262="1)",J1262,IF(H1262="2)",J1262,IF(H1262="3)",J1262,IF(H1262="4)",J1262,IF(H1262="5)",J1262,IF(H1262="6)",J1262,IF(H1262="7)",J1262,IF(H1262="8)",J1262,0))))))))</f>
        <v/>
      </c>
    </row>
    <row r="1264">
      <c r="A1264" s="0" t="inlineStr">
        <is>
          <t>New</t>
        </is>
      </c>
      <c r="B1264" s="0" t="inlineStr">
        <is>
          <t>Item</t>
        </is>
      </c>
      <c r="C1264" s="0" t="inlineStr">
        <is>
          <t>Acquired</t>
        </is>
      </c>
      <c r="D1264" s="0" t="inlineStr">
        <is>
          <t>:</t>
        </is>
      </c>
      <c r="E1264" s="0" t="inlineStr">
        <is>
          <t>120.00K</t>
        </is>
      </c>
      <c r="F1264" s="0" t="inlineStr">
        <is>
          <t>(8,</t>
        </is>
      </c>
      <c r="G1264" s="0" t="inlineStr">
        <is>
          <t>24)</t>
        </is>
      </c>
      <c r="K1264" s="0">
        <f>IF(H1263="1)",1,IF(H1263="2)",2,IF(H1263="3)",3,IF(H1263="4)",4,IF(H1263="5)",5,IF(H1263="6)",6,IF(H1263="7)",7,IF(H1263="8)",8,0))))))))</f>
        <v/>
      </c>
      <c r="L1264" s="0">
        <f>IF(H1263="1)",J1263,IF(H1263="2)",J1263,IF(H1263="3)",J1263,IF(H1263="4)",J1263,IF(H1263="5)",J1263,IF(H1263="6)",J1263,IF(H1263="7)",J1263,IF(H1263="8)",J1263,0))))))))</f>
        <v/>
      </c>
    </row>
    <row r="1265">
      <c r="A1265" s="0" t="inlineStr">
        <is>
          <t>New</t>
        </is>
      </c>
      <c r="B1265" s="0" t="inlineStr">
        <is>
          <t>Item</t>
        </is>
      </c>
      <c r="C1265" s="0" t="inlineStr">
        <is>
          <t>Acquired</t>
        </is>
      </c>
      <c r="D1265" s="0" t="inlineStr">
        <is>
          <t>:</t>
        </is>
      </c>
      <c r="E1265" s="0" t="inlineStr">
        <is>
          <t>Mini</t>
        </is>
      </c>
      <c r="F1265" s="0" t="inlineStr">
        <is>
          <t>(8,</t>
        </is>
      </c>
      <c r="G1265" s="0" t="inlineStr">
        <is>
          <t>14)</t>
        </is>
      </c>
      <c r="K1265" s="0">
        <f>IF(H1264="1)",1,IF(H1264="2)",2,IF(H1264="3)",3,IF(H1264="4)",4,IF(H1264="5)",5,IF(H1264="6)",6,IF(H1264="7)",7,IF(H1264="8)",8,0))))))))</f>
        <v/>
      </c>
      <c r="L1265" s="0">
        <f>IF(H1264="1)",J1264,IF(H1264="2)",J1264,IF(H1264="3)",J1264,IF(H1264="4)",J1264,IF(H1264="5)",J1264,IF(H1264="6)",J1264,IF(H1264="7)",J1264,IF(H1264="8)",J1264,0))))))))</f>
        <v/>
      </c>
    </row>
    <row r="1266">
      <c r="A1266" s="0" t="inlineStr">
        <is>
          <t>New</t>
        </is>
      </c>
      <c r="B1266" s="0" t="inlineStr">
        <is>
          <t>Item</t>
        </is>
      </c>
      <c r="C1266" s="0" t="inlineStr">
        <is>
          <t>Acquired</t>
        </is>
      </c>
      <c r="D1266" s="0" t="inlineStr">
        <is>
          <t>:</t>
        </is>
      </c>
      <c r="E1266" s="0" t="inlineStr">
        <is>
          <t>45.00K</t>
        </is>
      </c>
      <c r="F1266" s="0" t="inlineStr">
        <is>
          <t>(3,</t>
        </is>
      </c>
      <c r="G1266" s="0" t="inlineStr">
        <is>
          <t>2)</t>
        </is>
      </c>
      <c r="K1266" s="0">
        <f>IF(H1265="1)",1,IF(H1265="2)",2,IF(H1265="3)",3,IF(H1265="4)",4,IF(H1265="5)",5,IF(H1265="6)",6,IF(H1265="7)",7,IF(H1265="8)",8,0))))))))</f>
        <v/>
      </c>
      <c r="L1266" s="0">
        <f>IF(H1265="1)",J1265,IF(H1265="2)",J1265,IF(H1265="3)",J1265,IF(H1265="4)",J1265,IF(H1265="5)",J1265,IF(H1265="6)",J1265,IF(H1265="7)",J1265,IF(H1265="8)",J1265,0))))))))</f>
        <v/>
      </c>
    </row>
    <row r="1267">
      <c r="A1267" s="0" t="inlineStr">
        <is>
          <t>New</t>
        </is>
      </c>
      <c r="B1267" s="0" t="inlineStr">
        <is>
          <t>Item</t>
        </is>
      </c>
      <c r="C1267" s="0" t="inlineStr">
        <is>
          <t>Acquired</t>
        </is>
      </c>
      <c r="D1267" s="0" t="inlineStr">
        <is>
          <t>:</t>
        </is>
      </c>
      <c r="E1267" s="0" t="inlineStr">
        <is>
          <t>157.50K</t>
        </is>
      </c>
      <c r="F1267" s="0" t="inlineStr">
        <is>
          <t>(5,</t>
        </is>
      </c>
      <c r="G1267" s="0" t="inlineStr">
        <is>
          <t>10)</t>
        </is>
      </c>
      <c r="K1267" s="0">
        <f>IF(H1266="1)",1,IF(H1266="2)",2,IF(H1266="3)",3,IF(H1266="4)",4,IF(H1266="5)",5,IF(H1266="6)",6,IF(H1266="7)",7,IF(H1266="8)",8,0))))))))</f>
        <v/>
      </c>
      <c r="L1267" s="0">
        <f>IF(H1266="1)",J1266,IF(H1266="2)",J1266,IF(H1266="3)",J1266,IF(H1266="4)",J1266,IF(H1266="5)",J1266,IF(H1266="6)",J1266,IF(H1266="7)",J1266,IF(H1266="8)",J1266,0))))))))</f>
        <v/>
      </c>
    </row>
    <row r="1268">
      <c r="A1268" s="0" t="inlineStr">
        <is>
          <t>New</t>
        </is>
      </c>
      <c r="B1268" s="0" t="inlineStr">
        <is>
          <t>Item</t>
        </is>
      </c>
      <c r="C1268" s="0" t="inlineStr">
        <is>
          <t>Acquired</t>
        </is>
      </c>
      <c r="D1268" s="0" t="inlineStr">
        <is>
          <t>:</t>
        </is>
      </c>
      <c r="E1268" s="0" t="inlineStr">
        <is>
          <t>30.00K</t>
        </is>
      </c>
      <c r="F1268" s="0" t="inlineStr">
        <is>
          <t>(1,</t>
        </is>
      </c>
      <c r="G1268" s="0" t="inlineStr">
        <is>
          <t>8)</t>
        </is>
      </c>
      <c r="K1268" s="0">
        <f>IF(H1267="1)",1,IF(H1267="2)",2,IF(H1267="3)",3,IF(H1267="4)",4,IF(H1267="5)",5,IF(H1267="6)",6,IF(H1267="7)",7,IF(H1267="8)",8,0))))))))</f>
        <v/>
      </c>
      <c r="L1268" s="0">
        <f>IF(H1267="1)",J1267,IF(H1267="2)",J1267,IF(H1267="3)",J1267,IF(H1267="4)",J1267,IF(H1267="5)",J1267,IF(H1267="6)",J1267,IF(H1267="7)",J1267,IF(H1267="8)",J1267,0))))))))</f>
        <v/>
      </c>
    </row>
    <row r="1269">
      <c r="A1269" s="0" t="inlineStr">
        <is>
          <t>New</t>
        </is>
      </c>
      <c r="B1269" s="0" t="inlineStr">
        <is>
          <t>Item</t>
        </is>
      </c>
      <c r="C1269" s="0" t="inlineStr">
        <is>
          <t>Acquired</t>
        </is>
      </c>
      <c r="D1269" s="0" t="inlineStr">
        <is>
          <t>:</t>
        </is>
      </c>
      <c r="E1269" s="0" t="inlineStr">
        <is>
          <t>87.50K</t>
        </is>
      </c>
      <c r="F1269" s="0" t="inlineStr">
        <is>
          <t>(2,</t>
        </is>
      </c>
      <c r="G1269" s="0" t="inlineStr">
        <is>
          <t>1)</t>
        </is>
      </c>
      <c r="K1269" s="0">
        <f>IF(H1268="1)",1,IF(H1268="2)",2,IF(H1268="3)",3,IF(H1268="4)",4,IF(H1268="5)",5,IF(H1268="6)",6,IF(H1268="7)",7,IF(H1268="8)",8,0))))))))</f>
        <v/>
      </c>
      <c r="L1269" s="0">
        <f>IF(H1268="1)",J1268,IF(H1268="2)",J1268,IF(H1268="3)",J1268,IF(H1268="4)",J1268,IF(H1268="5)",J1268,IF(H1268="6)",J1268,IF(H1268="7)",J1268,IF(H1268="8)",J1268,0))))))))</f>
        <v/>
      </c>
    </row>
    <row r="1270">
      <c r="A1270" s="0" t="inlineStr">
        <is>
          <t>New</t>
        </is>
      </c>
      <c r="B1270" s="0" t="inlineStr">
        <is>
          <t>Item</t>
        </is>
      </c>
      <c r="C1270" s="0" t="inlineStr">
        <is>
          <t>Acquired</t>
        </is>
      </c>
      <c r="D1270" s="0" t="inlineStr">
        <is>
          <t>:</t>
        </is>
      </c>
      <c r="E1270" s="0" t="inlineStr">
        <is>
          <t>45.00K</t>
        </is>
      </c>
      <c r="F1270" s="0" t="inlineStr">
        <is>
          <t>(3,</t>
        </is>
      </c>
      <c r="G1270" s="0" t="inlineStr">
        <is>
          <t>3)</t>
        </is>
      </c>
      <c r="K1270" s="0">
        <f>IF(H1269="1)",1,IF(H1269="2)",2,IF(H1269="3)",3,IF(H1269="4)",4,IF(H1269="5)",5,IF(H1269="6)",6,IF(H1269="7)",7,IF(H1269="8)",8,0))))))))</f>
        <v/>
      </c>
      <c r="L1270" s="0">
        <f>IF(H1269="1)",J1269,IF(H1269="2)",J1269,IF(H1269="3)",J1269,IF(H1269="4)",J1269,IF(H1269="5)",J1269,IF(H1269="6)",J1269,IF(H1269="7)",J1269,IF(H1269="8)",J1269,0))))))))</f>
        <v/>
      </c>
    </row>
    <row r="1271">
      <c r="A1271" s="0" t="inlineStr">
        <is>
          <t>New</t>
        </is>
      </c>
      <c r="B1271" s="0" t="inlineStr">
        <is>
          <t>Item</t>
        </is>
      </c>
      <c r="C1271" s="0" t="inlineStr">
        <is>
          <t>Acquired</t>
        </is>
      </c>
      <c r="D1271" s="0" t="inlineStr">
        <is>
          <t>:</t>
        </is>
      </c>
      <c r="E1271" s="0" t="inlineStr">
        <is>
          <t>105.00K</t>
        </is>
      </c>
      <c r="F1271" s="0" t="inlineStr">
        <is>
          <t>(3,</t>
        </is>
      </c>
      <c r="G1271" s="0" t="inlineStr">
        <is>
          <t>12)</t>
        </is>
      </c>
      <c r="K1271" s="0">
        <f>IF(H1270="1)",1,IF(H1270="2)",2,IF(H1270="3)",3,IF(H1270="4)",4,IF(H1270="5)",5,IF(H1270="6)",6,IF(H1270="7)",7,IF(H1270="8)",8,0))))))))</f>
        <v/>
      </c>
      <c r="L1271" s="0">
        <f>IF(H1270="1)",J1270,IF(H1270="2)",J1270,IF(H1270="3)",J1270,IF(H1270="4)",J1270,IF(H1270="5)",J1270,IF(H1270="6)",J1270,IF(H1270="7)",J1270,IF(H1270="8)",J1270,0))))))))</f>
        <v/>
      </c>
    </row>
    <row r="1272">
      <c r="A1272" s="0" t="inlineStr">
        <is>
          <t>New</t>
        </is>
      </c>
      <c r="B1272" s="0" t="inlineStr">
        <is>
          <t>Item</t>
        </is>
      </c>
      <c r="C1272" s="0" t="inlineStr">
        <is>
          <t>Acquired</t>
        </is>
      </c>
      <c r="D1272" s="0" t="inlineStr">
        <is>
          <t>:</t>
        </is>
      </c>
      <c r="E1272" s="0" t="inlineStr">
        <is>
          <t>87.50K</t>
        </is>
      </c>
      <c r="F1272" s="0" t="inlineStr">
        <is>
          <t>(2,</t>
        </is>
      </c>
      <c r="G1272" s="0" t="inlineStr">
        <is>
          <t>4)</t>
        </is>
      </c>
      <c r="K1272" s="0">
        <f>IF(H1271="1)",1,IF(H1271="2)",2,IF(H1271="3)",3,IF(H1271="4)",4,IF(H1271="5)",5,IF(H1271="6)",6,IF(H1271="7)",7,IF(H1271="8)",8,0))))))))</f>
        <v/>
      </c>
      <c r="L1272" s="0">
        <f>IF(H1271="1)",J1271,IF(H1271="2)",J1271,IF(H1271="3)",J1271,IF(H1271="4)",J1271,IF(H1271="5)",J1271,IF(H1271="6)",J1271,IF(H1271="7)",J1271,IF(H1271="8)",J1271,0))))))))</f>
        <v/>
      </c>
    </row>
    <row r="1273">
      <c r="A1273" s="0" t="inlineStr">
        <is>
          <t>Line</t>
        </is>
      </c>
      <c r="B1273" s="0" t="inlineStr">
        <is>
          <t>Prize</t>
        </is>
      </c>
      <c r="C1273" s="0" t="inlineStr">
        <is>
          <t>Acquired</t>
        </is>
      </c>
      <c r="D1273" s="0" t="inlineStr">
        <is>
          <t>:</t>
        </is>
      </c>
      <c r="E1273" s="0" t="inlineStr">
        <is>
          <t>437.50K</t>
        </is>
      </c>
      <c r="F1273" s="0" t="inlineStr">
        <is>
          <t>(Stage</t>
        </is>
      </c>
      <c r="G1273" s="0" t="inlineStr">
        <is>
          <t>:</t>
        </is>
      </c>
      <c r="H1273" s="0" t="inlineStr">
        <is>
          <t>2)</t>
        </is>
      </c>
      <c r="I1273" s="0" t="inlineStr">
        <is>
          <t>-</t>
        </is>
      </c>
      <c r="J1273" s="0" t="n">
        <v>437500</v>
      </c>
      <c r="K1273" s="0">
        <f>IF(H1272="1)",1,IF(H1272="2)",2,IF(H1272="3)",3,IF(H1272="4)",4,IF(H1272="5)",5,IF(H1272="6)",6,IF(H1272="7)",7,IF(H1272="8)",8,0))))))))</f>
        <v/>
      </c>
      <c r="L1273" s="0">
        <f>IF(H1272="1)",J1272,IF(H1272="2)",J1272,IF(H1272="3)",J1272,IF(H1272="4)",J1272,IF(H1272="5)",J1272,IF(H1272="6)",J1272,IF(H1272="7)",J1272,IF(H1272="8)",J1272,0))))))))</f>
        <v/>
      </c>
    </row>
    <row r="1274">
      <c r="A1274" s="0" t="inlineStr">
        <is>
          <t>Clear</t>
        </is>
      </c>
      <c r="B1274" s="0" t="inlineStr">
        <is>
          <t>Gem</t>
        </is>
      </c>
      <c r="C1274" s="0" t="inlineStr">
        <is>
          <t>Acquired</t>
        </is>
      </c>
      <c r="D1274" s="0" t="inlineStr">
        <is>
          <t>:</t>
        </is>
      </c>
      <c r="E1274" s="0" t="n">
        <v>7500</v>
      </c>
      <c r="F1274" s="0" t="inlineStr">
        <is>
          <t>-&gt;</t>
        </is>
      </c>
      <c r="G1274" s="0" t="n">
        <v>7600</v>
      </c>
      <c r="H1274" s="0" t="inlineStr">
        <is>
          <t>(Stage</t>
        </is>
      </c>
      <c r="I1274" s="0" t="inlineStr">
        <is>
          <t>:</t>
        </is>
      </c>
      <c r="J1274" s="0" t="inlineStr">
        <is>
          <t>2)</t>
        </is>
      </c>
      <c r="K1274" s="0">
        <f>IF(H1273="1)",1,IF(H1273="2)",2,IF(H1273="3)",3,IF(H1273="4)",4,IF(H1273="5)",5,IF(H1273="6)",6,IF(H1273="7)",7,IF(H1273="8)",8,0))))))))</f>
        <v/>
      </c>
      <c r="L1274" s="0">
        <f>IF(H1273="1)",J1273,IF(H1273="2)",J1273,IF(H1273="3)",J1273,IF(H1273="4)",J1273,IF(H1273="5)",J1273,IF(H1273="6)",J1273,IF(H1273="7)",J1273,IF(H1273="8)",J1273,0))))))))</f>
        <v/>
      </c>
    </row>
    <row r="1275">
      <c r="A1275" s="0" t="inlineStr">
        <is>
          <t>New</t>
        </is>
      </c>
      <c r="B1275" s="0" t="inlineStr">
        <is>
          <t>Item</t>
        </is>
      </c>
      <c r="C1275" s="0" t="inlineStr">
        <is>
          <t>Acquired</t>
        </is>
      </c>
      <c r="D1275" s="0" t="inlineStr">
        <is>
          <t>:</t>
        </is>
      </c>
      <c r="E1275" s="0" t="inlineStr">
        <is>
          <t>75.00K</t>
        </is>
      </c>
      <c r="F1275" s="0" t="inlineStr">
        <is>
          <t>(6,</t>
        </is>
      </c>
      <c r="G1275" s="0" t="inlineStr">
        <is>
          <t>3)</t>
        </is>
      </c>
      <c r="K1275" s="0">
        <f>IF(H1274="1)",1,IF(H1274="2)",2,IF(H1274="3)",3,IF(H1274="4)",4,IF(H1274="5)",5,IF(H1274="6)",6,IF(H1274="7)",7,IF(H1274="8)",8,0))))))))</f>
        <v/>
      </c>
      <c r="L1275" s="0">
        <f>IF(H1274="1)",J1274,IF(H1274="2)",J1274,IF(H1274="3)",J1274,IF(H1274="4)",J1274,IF(H1274="5)",J1274,IF(H1274="6)",J1274,IF(H1274="7)",J1274,IF(H1274="8)",J1274,0))))))))</f>
        <v/>
      </c>
    </row>
    <row r="1276">
      <c r="A1276" s="0" t="inlineStr">
        <is>
          <t>New</t>
        </is>
      </c>
      <c r="B1276" s="0" t="inlineStr">
        <is>
          <t>Item</t>
        </is>
      </c>
      <c r="C1276" s="0" t="inlineStr">
        <is>
          <t>Acquired</t>
        </is>
      </c>
      <c r="D1276" s="0" t="inlineStr">
        <is>
          <t>:</t>
        </is>
      </c>
      <c r="E1276" s="0" t="inlineStr">
        <is>
          <t>120.00K</t>
        </is>
      </c>
      <c r="F1276" s="0" t="inlineStr">
        <is>
          <t>(8,</t>
        </is>
      </c>
      <c r="G1276" s="0" t="inlineStr">
        <is>
          <t>9)</t>
        </is>
      </c>
      <c r="K1276" s="0">
        <f>IF(H1275="1)",1,IF(H1275="2)",2,IF(H1275="3)",3,IF(H1275="4)",4,IF(H1275="5)",5,IF(H1275="6)",6,IF(H1275="7)",7,IF(H1275="8)",8,0))))))))</f>
        <v/>
      </c>
      <c r="L1276" s="0">
        <f>IF(H1275="1)",J1275,IF(H1275="2)",J1275,IF(H1275="3)",J1275,IF(H1275="4)",J1275,IF(H1275="5)",J1275,IF(H1275="6)",J1275,IF(H1275="7)",J1275,IF(H1275="8)",J1275,0))))))))</f>
        <v/>
      </c>
    </row>
    <row r="1277">
      <c r="A1277" s="0" t="inlineStr">
        <is>
          <t>New</t>
        </is>
      </c>
      <c r="B1277" s="0" t="inlineStr">
        <is>
          <t>Item</t>
        </is>
      </c>
      <c r="C1277" s="0" t="inlineStr">
        <is>
          <t>Acquired</t>
        </is>
      </c>
      <c r="D1277" s="0" t="inlineStr">
        <is>
          <t>:</t>
        </is>
      </c>
      <c r="E1277" s="0" t="inlineStr">
        <is>
          <t>30.00K</t>
        </is>
      </c>
      <c r="F1277" s="0" t="inlineStr">
        <is>
          <t>(1,</t>
        </is>
      </c>
      <c r="G1277" s="0" t="inlineStr">
        <is>
          <t>17)</t>
        </is>
      </c>
      <c r="K1277" s="0">
        <f>IF(H1276="1)",1,IF(H1276="2)",2,IF(H1276="3)",3,IF(H1276="4)",4,IF(H1276="5)",5,IF(H1276="6)",6,IF(H1276="7)",7,IF(H1276="8)",8,0))))))))</f>
        <v/>
      </c>
      <c r="L1277" s="0">
        <f>IF(H1276="1)",J1276,IF(H1276="2)",J1276,IF(H1276="3)",J1276,IF(H1276="4)",J1276,IF(H1276="5)",J1276,IF(H1276="6)",J1276,IF(H1276="7)",J1276,IF(H1276="8)",J1276,0))))))))</f>
        <v/>
      </c>
    </row>
    <row r="1278">
      <c r="A1278" s="0" t="inlineStr">
        <is>
          <t>New</t>
        </is>
      </c>
      <c r="B1278" s="0" t="inlineStr">
        <is>
          <t>Item</t>
        </is>
      </c>
      <c r="C1278" s="0" t="inlineStr">
        <is>
          <t>Acquired</t>
        </is>
      </c>
      <c r="D1278" s="0" t="inlineStr">
        <is>
          <t>:</t>
        </is>
      </c>
      <c r="E1278" s="0" t="inlineStr">
        <is>
          <t>45.00K</t>
        </is>
      </c>
      <c r="F1278" s="0" t="inlineStr">
        <is>
          <t>(3,</t>
        </is>
      </c>
      <c r="G1278" s="0" t="inlineStr">
        <is>
          <t>18)</t>
        </is>
      </c>
      <c r="K1278" s="0">
        <f>IF(H1277="1)",1,IF(H1277="2)",2,IF(H1277="3)",3,IF(H1277="4)",4,IF(H1277="5)",5,IF(H1277="6)",6,IF(H1277="7)",7,IF(H1277="8)",8,0))))))))</f>
        <v/>
      </c>
      <c r="L1278" s="0">
        <f>IF(H1277="1)",J1277,IF(H1277="2)",J1277,IF(H1277="3)",J1277,IF(H1277="4)",J1277,IF(H1277="5)",J1277,IF(H1277="6)",J1277,IF(H1277="7)",J1277,IF(H1277="8)",J1277,0))))))))</f>
        <v/>
      </c>
    </row>
    <row r="1279">
      <c r="A1279" s="0" t="inlineStr">
        <is>
          <t>New</t>
        </is>
      </c>
      <c r="B1279" s="0" t="inlineStr">
        <is>
          <t>Item</t>
        </is>
      </c>
      <c r="C1279" s="0" t="inlineStr">
        <is>
          <t>Acquired</t>
        </is>
      </c>
      <c r="D1279" s="0" t="inlineStr">
        <is>
          <t>:</t>
        </is>
      </c>
      <c r="E1279" s="0" t="inlineStr">
        <is>
          <t>75.00K</t>
        </is>
      </c>
      <c r="F1279" s="0" t="inlineStr">
        <is>
          <t>(6,</t>
        </is>
      </c>
      <c r="G1279" s="0" t="inlineStr">
        <is>
          <t>21)</t>
        </is>
      </c>
      <c r="K1279" s="0">
        <f>IF(H1278="1)",1,IF(H1278="2)",2,IF(H1278="3)",3,IF(H1278="4)",4,IF(H1278="5)",5,IF(H1278="6)",6,IF(H1278="7)",7,IF(H1278="8)",8,0))))))))</f>
        <v/>
      </c>
      <c r="L1279" s="0">
        <f>IF(H1278="1)",J1278,IF(H1278="2)",J1278,IF(H1278="3)",J1278,IF(H1278="4)",J1278,IF(H1278="5)",J1278,IF(H1278="6)",J1278,IF(H1278="7)",J1278,IF(H1278="8)",J1278,0))))))))</f>
        <v/>
      </c>
    </row>
    <row r="1280">
      <c r="A1280" s="0" t="inlineStr">
        <is>
          <t>New</t>
        </is>
      </c>
      <c r="B1280" s="0" t="inlineStr">
        <is>
          <t>Item</t>
        </is>
      </c>
      <c r="C1280" s="0" t="inlineStr">
        <is>
          <t>Acquired</t>
        </is>
      </c>
      <c r="D1280" s="0" t="inlineStr">
        <is>
          <t>:</t>
        </is>
      </c>
      <c r="E1280" s="0" t="inlineStr">
        <is>
          <t>60.00K</t>
        </is>
      </c>
      <c r="F1280" s="0" t="inlineStr">
        <is>
          <t>(4,</t>
        </is>
      </c>
      <c r="G1280" s="0" t="inlineStr">
        <is>
          <t>5)</t>
        </is>
      </c>
      <c r="K1280" s="0">
        <f>IF(H1279="1)",1,IF(H1279="2)",2,IF(H1279="3)",3,IF(H1279="4)",4,IF(H1279="5)",5,IF(H1279="6)",6,IF(H1279="7)",7,IF(H1279="8)",8,0))))))))</f>
        <v/>
      </c>
      <c r="L1280" s="0">
        <f>IF(H1279="1)",J1279,IF(H1279="2)",J1279,IF(H1279="3)",J1279,IF(H1279="4)",J1279,IF(H1279="5)",J1279,IF(H1279="6)",J1279,IF(H1279="7)",J1279,IF(H1279="8)",J1279,0))))))))</f>
        <v/>
      </c>
    </row>
    <row r="1281">
      <c r="A1281" s="0" t="inlineStr">
        <is>
          <t>New</t>
        </is>
      </c>
      <c r="B1281" s="0" t="inlineStr">
        <is>
          <t>Item</t>
        </is>
      </c>
      <c r="C1281" s="0" t="inlineStr">
        <is>
          <t>Acquired</t>
        </is>
      </c>
      <c r="D1281" s="0" t="inlineStr">
        <is>
          <t>:</t>
        </is>
      </c>
      <c r="E1281" s="0" t="inlineStr">
        <is>
          <t>200.00K</t>
        </is>
      </c>
      <c r="F1281" s="0" t="inlineStr">
        <is>
          <t>(8,</t>
        </is>
      </c>
      <c r="G1281" s="0" t="inlineStr">
        <is>
          <t>19)</t>
        </is>
      </c>
      <c r="K1281" s="0">
        <f>IF(H1280="1)",1,IF(H1280="2)",2,IF(H1280="3)",3,IF(H1280="4)",4,IF(H1280="5)",5,IF(H1280="6)",6,IF(H1280="7)",7,IF(H1280="8)",8,0))))))))</f>
        <v/>
      </c>
      <c r="L1281" s="0">
        <f>IF(H1280="1)",J1280,IF(H1280="2)",J1280,IF(H1280="3)",J1280,IF(H1280="4)",J1280,IF(H1280="5)",J1280,IF(H1280="6)",J1280,IF(H1280="7)",J1280,IF(H1280="8)",J1280,0))))))))</f>
        <v/>
      </c>
    </row>
    <row r="1282">
      <c r="A1282" s="0" t="inlineStr">
        <is>
          <t>New</t>
        </is>
      </c>
      <c r="B1282" s="0" t="inlineStr">
        <is>
          <t>Item</t>
        </is>
      </c>
      <c r="C1282" s="0" t="inlineStr">
        <is>
          <t>Acquired</t>
        </is>
      </c>
      <c r="D1282" s="0" t="inlineStr">
        <is>
          <t>:</t>
        </is>
      </c>
      <c r="E1282" s="0" t="inlineStr">
        <is>
          <t>157.50K</t>
        </is>
      </c>
      <c r="F1282" s="0" t="inlineStr">
        <is>
          <t>(5,</t>
        </is>
      </c>
      <c r="G1282" s="0" t="inlineStr">
        <is>
          <t>15)</t>
        </is>
      </c>
      <c r="K1282" s="0">
        <f>IF(H1281="1)",1,IF(H1281="2)",2,IF(H1281="3)",3,IF(H1281="4)",4,IF(H1281="5)",5,IF(H1281="6)",6,IF(H1281="7)",7,IF(H1281="8)",8,0))))))))</f>
        <v/>
      </c>
      <c r="L1282" s="0">
        <f>IF(H1281="1)",J1281,IF(H1281="2)",J1281,IF(H1281="3)",J1281,IF(H1281="4)",J1281,IF(H1281="5)",J1281,IF(H1281="6)",J1281,IF(H1281="7)",J1281,IF(H1281="8)",J1281,0))))))))</f>
        <v/>
      </c>
    </row>
    <row r="1283">
      <c r="A1283" s="0" t="inlineStr">
        <is>
          <t>Line</t>
        </is>
      </c>
      <c r="B1283" s="0" t="inlineStr">
        <is>
          <t>Prize</t>
        </is>
      </c>
      <c r="C1283" s="0" t="inlineStr">
        <is>
          <t>Acquired</t>
        </is>
      </c>
      <c r="D1283" s="0" t="inlineStr">
        <is>
          <t>:</t>
        </is>
      </c>
      <c r="E1283" s="0" t="inlineStr">
        <is>
          <t>1.41M</t>
        </is>
      </c>
      <c r="F1283" s="0" t="inlineStr">
        <is>
          <t>(Stage</t>
        </is>
      </c>
      <c r="G1283" s="0" t="inlineStr">
        <is>
          <t>:</t>
        </is>
      </c>
      <c r="H1283" s="0" t="inlineStr">
        <is>
          <t>5)</t>
        </is>
      </c>
      <c r="I1283" s="0" t="inlineStr">
        <is>
          <t>-</t>
        </is>
      </c>
      <c r="J1283" s="0" t="n">
        <v>1405000</v>
      </c>
      <c r="K1283" s="0">
        <f>IF(H1282="1)",1,IF(H1282="2)",2,IF(H1282="3)",3,IF(H1282="4)",4,IF(H1282="5)",5,IF(H1282="6)",6,IF(H1282="7)",7,IF(H1282="8)",8,0))))))))</f>
        <v/>
      </c>
      <c r="L1283" s="0">
        <f>IF(H1282="1)",J1282,IF(H1282="2)",J1282,IF(H1282="3)",J1282,IF(H1282="4)",J1282,IF(H1282="5)",J1282,IF(H1282="6)",J1282,IF(H1282="7)",J1282,IF(H1282="8)",J1282,0))))))))</f>
        <v/>
      </c>
    </row>
    <row r="1284">
      <c r="A1284" s="0" t="inlineStr">
        <is>
          <t>Clear</t>
        </is>
      </c>
      <c r="B1284" s="0" t="inlineStr">
        <is>
          <t>Gem</t>
        </is>
      </c>
      <c r="C1284" s="0" t="inlineStr">
        <is>
          <t>Acquired</t>
        </is>
      </c>
      <c r="D1284" s="0" t="inlineStr">
        <is>
          <t>:</t>
        </is>
      </c>
      <c r="E1284" s="0" t="n">
        <v>7600</v>
      </c>
      <c r="F1284" s="0" t="inlineStr">
        <is>
          <t>-&gt;</t>
        </is>
      </c>
      <c r="G1284" s="0" t="n">
        <v>7700</v>
      </c>
      <c r="H1284" s="0" t="inlineStr">
        <is>
          <t>(Stage</t>
        </is>
      </c>
      <c r="I1284" s="0" t="inlineStr">
        <is>
          <t>:</t>
        </is>
      </c>
      <c r="J1284" s="0" t="inlineStr">
        <is>
          <t>5)</t>
        </is>
      </c>
      <c r="K1284" s="0">
        <f>IF(H1283="1)",1,IF(H1283="2)",2,IF(H1283="3)",3,IF(H1283="4)",4,IF(H1283="5)",5,IF(H1283="6)",6,IF(H1283="7)",7,IF(H1283="8)",8,0))))))))</f>
        <v/>
      </c>
      <c r="L1284" s="0">
        <f>IF(H1283="1)",J1283,IF(H1283="2)",J1283,IF(H1283="3)",J1283,IF(H1283="4)",J1283,IF(H1283="5)",J1283,IF(H1283="6)",J1283,IF(H1283="7)",J1283,IF(H1283="8)",J1283,0))))))))</f>
        <v/>
      </c>
    </row>
    <row r="1285">
      <c r="A1285" s="0" t="inlineStr">
        <is>
          <t>New</t>
        </is>
      </c>
      <c r="B1285" s="0" t="inlineStr">
        <is>
          <t>Item</t>
        </is>
      </c>
      <c r="C1285" s="0" t="inlineStr">
        <is>
          <t>Acquired</t>
        </is>
      </c>
      <c r="D1285" s="0" t="inlineStr">
        <is>
          <t>:</t>
        </is>
      </c>
      <c r="E1285" s="0" t="inlineStr">
        <is>
          <t>200.00K</t>
        </is>
      </c>
      <c r="F1285" s="0" t="inlineStr">
        <is>
          <t>(8,</t>
        </is>
      </c>
      <c r="G1285" s="0" t="inlineStr">
        <is>
          <t>23)</t>
        </is>
      </c>
      <c r="K1285" s="0">
        <f>IF(H1284="1)",1,IF(H1284="2)",2,IF(H1284="3)",3,IF(H1284="4)",4,IF(H1284="5)",5,IF(H1284="6)",6,IF(H1284="7)",7,IF(H1284="8)",8,0))))))))</f>
        <v/>
      </c>
      <c r="L1285" s="0">
        <f>IF(H1284="1)",J1284,IF(H1284="2)",J1284,IF(H1284="3)",J1284,IF(H1284="4)",J1284,IF(H1284="5)",J1284,IF(H1284="6)",J1284,IF(H1284="7)",J1284,IF(H1284="8)",J1284,0))))))))</f>
        <v/>
      </c>
    </row>
    <row r="1286">
      <c r="A1286" s="0" t="inlineStr">
        <is>
          <t>New</t>
        </is>
      </c>
      <c r="B1286" s="0" t="inlineStr">
        <is>
          <t>Item</t>
        </is>
      </c>
      <c r="C1286" s="0" t="inlineStr">
        <is>
          <t>Acquired</t>
        </is>
      </c>
      <c r="D1286" s="0" t="inlineStr">
        <is>
          <t>:</t>
        </is>
      </c>
      <c r="E1286" s="0" t="inlineStr">
        <is>
          <t>112.50K</t>
        </is>
      </c>
      <c r="F1286" s="0" t="inlineStr">
        <is>
          <t>(5,</t>
        </is>
      </c>
      <c r="G1286" s="0" t="inlineStr">
        <is>
          <t>17)</t>
        </is>
      </c>
      <c r="K1286" s="0">
        <f>IF(H1285="1)",1,IF(H1285="2)",2,IF(H1285="3)",3,IF(H1285="4)",4,IF(H1285="5)",5,IF(H1285="6)",6,IF(H1285="7)",7,IF(H1285="8)",8,0))))))))</f>
        <v/>
      </c>
      <c r="L1286" s="0">
        <f>IF(H1285="1)",J1285,IF(H1285="2)",J1285,IF(H1285="3)",J1285,IF(H1285="4)",J1285,IF(H1285="5)",J1285,IF(H1285="6)",J1285,IF(H1285="7)",J1285,IF(H1285="8)",J1285,0))))))))</f>
        <v/>
      </c>
    </row>
    <row r="1287">
      <c r="A1287" s="0" t="inlineStr">
        <is>
          <t>New</t>
        </is>
      </c>
      <c r="B1287" s="0" t="inlineStr">
        <is>
          <t>Item</t>
        </is>
      </c>
      <c r="C1287" s="0" t="inlineStr">
        <is>
          <t>Acquired</t>
        </is>
      </c>
      <c r="D1287" s="0" t="inlineStr">
        <is>
          <t>:</t>
        </is>
      </c>
      <c r="E1287" s="0" t="inlineStr">
        <is>
          <t>37.50K</t>
        </is>
      </c>
      <c r="F1287" s="0" t="inlineStr">
        <is>
          <t>(2,</t>
        </is>
      </c>
      <c r="G1287" s="0" t="inlineStr">
        <is>
          <t>11)</t>
        </is>
      </c>
      <c r="K1287" s="0">
        <f>IF(H1286="1)",1,IF(H1286="2)",2,IF(H1286="3)",3,IF(H1286="4)",4,IF(H1286="5)",5,IF(H1286="6)",6,IF(H1286="7)",7,IF(H1286="8)",8,0))))))))</f>
        <v/>
      </c>
      <c r="L1287" s="0">
        <f>IF(H1286="1)",J1286,IF(H1286="2)",J1286,IF(H1286="3)",J1286,IF(H1286="4)",J1286,IF(H1286="5)",J1286,IF(H1286="6)",J1286,IF(H1286="7)",J1286,IF(H1286="8)",J1286,0))))))))</f>
        <v/>
      </c>
    </row>
    <row r="1288">
      <c r="A1288" s="0" t="inlineStr">
        <is>
          <t>New</t>
        </is>
      </c>
      <c r="B1288" s="0" t="inlineStr">
        <is>
          <t>Item</t>
        </is>
      </c>
      <c r="C1288" s="0" t="inlineStr">
        <is>
          <t>Acquired</t>
        </is>
      </c>
      <c r="D1288" s="0" t="inlineStr">
        <is>
          <t>:</t>
        </is>
      </c>
      <c r="E1288" s="0" t="inlineStr">
        <is>
          <t>105.00K</t>
        </is>
      </c>
      <c r="F1288" s="0" t="inlineStr">
        <is>
          <t>(4,</t>
        </is>
      </c>
      <c r="G1288" s="0" t="inlineStr">
        <is>
          <t>24)</t>
        </is>
      </c>
      <c r="K1288" s="0">
        <f>IF(H1287="1)",1,IF(H1287="2)",2,IF(H1287="3)",3,IF(H1287="4)",4,IF(H1287="5)",5,IF(H1287="6)",6,IF(H1287="7)",7,IF(H1287="8)",8,0))))))))</f>
        <v/>
      </c>
      <c r="L1288" s="0">
        <f>IF(H1287="1)",J1287,IF(H1287="2)",J1287,IF(H1287="3)",J1287,IF(H1287="4)",J1287,IF(H1287="5)",J1287,IF(H1287="6)",J1287,IF(H1287="7)",J1287,IF(H1287="8)",J1287,0))))))))</f>
        <v/>
      </c>
    </row>
    <row r="1289">
      <c r="A1289" s="0" t="inlineStr">
        <is>
          <t>New</t>
        </is>
      </c>
      <c r="B1289" s="0" t="inlineStr">
        <is>
          <t>Item</t>
        </is>
      </c>
      <c r="C1289" s="0" t="inlineStr">
        <is>
          <t>Acquired</t>
        </is>
      </c>
      <c r="D1289" s="0" t="inlineStr">
        <is>
          <t>:</t>
        </is>
      </c>
      <c r="E1289" s="0" t="inlineStr">
        <is>
          <t>105.00K</t>
        </is>
      </c>
      <c r="F1289" s="0" t="inlineStr">
        <is>
          <t>(3,</t>
        </is>
      </c>
      <c r="G1289" s="0" t="inlineStr">
        <is>
          <t>17)</t>
        </is>
      </c>
      <c r="K1289" s="0">
        <f>IF(H1288="1)",1,IF(H1288="2)",2,IF(H1288="3)",3,IF(H1288="4)",4,IF(H1288="5)",5,IF(H1288="6)",6,IF(H1288="7)",7,IF(H1288="8)",8,0))))))))</f>
        <v/>
      </c>
      <c r="L1289" s="0">
        <f>IF(H1288="1)",J1288,IF(H1288="2)",J1288,IF(H1288="3)",J1288,IF(H1288="4)",J1288,IF(H1288="5)",J1288,IF(H1288="6)",J1288,IF(H1288="7)",J1288,IF(H1288="8)",J1288,0))))))))</f>
        <v/>
      </c>
    </row>
    <row r="1290">
      <c r="A1290" s="0" t="inlineStr">
        <is>
          <t>New</t>
        </is>
      </c>
      <c r="B1290" s="0" t="inlineStr">
        <is>
          <t>Item</t>
        </is>
      </c>
      <c r="C1290" s="0" t="inlineStr">
        <is>
          <t>Acquired</t>
        </is>
      </c>
      <c r="D1290" s="0" t="inlineStr">
        <is>
          <t>:</t>
        </is>
      </c>
      <c r="E1290" s="0" t="inlineStr">
        <is>
          <t>Minor</t>
        </is>
      </c>
      <c r="F1290" s="0" t="inlineStr">
        <is>
          <t>(7,</t>
        </is>
      </c>
      <c r="G1290" s="0" t="inlineStr">
        <is>
          <t>7)</t>
        </is>
      </c>
      <c r="K1290" s="0">
        <f>IF(H1289="1)",1,IF(H1289="2)",2,IF(H1289="3)",3,IF(H1289="4)",4,IF(H1289="5)",5,IF(H1289="6)",6,IF(H1289="7)",7,IF(H1289="8)",8,0))))))))</f>
        <v/>
      </c>
      <c r="L1290" s="0">
        <f>IF(H1289="1)",J1289,IF(H1289="2)",J1289,IF(H1289="3)",J1289,IF(H1289="4)",J1289,IF(H1289="5)",J1289,IF(H1289="6)",J1289,IF(H1289="7)",J1289,IF(H1289="8)",J1289,0))))))))</f>
        <v/>
      </c>
    </row>
    <row r="1291">
      <c r="A1291" s="0" t="inlineStr">
        <is>
          <t>New</t>
        </is>
      </c>
      <c r="B1291" s="0" t="inlineStr">
        <is>
          <t>Item</t>
        </is>
      </c>
      <c r="C1291" s="0" t="inlineStr">
        <is>
          <t>Acquired</t>
        </is>
      </c>
      <c r="D1291" s="0" t="inlineStr">
        <is>
          <t>:</t>
        </is>
      </c>
      <c r="E1291" s="0" t="inlineStr">
        <is>
          <t>37.50K</t>
        </is>
      </c>
      <c r="F1291" s="0" t="inlineStr">
        <is>
          <t>(2,</t>
        </is>
      </c>
      <c r="G1291" s="0" t="inlineStr">
        <is>
          <t>3)</t>
        </is>
      </c>
      <c r="K1291" s="0">
        <f>IF(H1290="1)",1,IF(H1290="2)",2,IF(H1290="3)",3,IF(H1290="4)",4,IF(H1290="5)",5,IF(H1290="6)",6,IF(H1290="7)",7,IF(H1290="8)",8,0))))))))</f>
        <v/>
      </c>
      <c r="L1291" s="0">
        <f>IF(H1290="1)",J1290,IF(H1290="2)",J1290,IF(H1290="3)",J1290,IF(H1290="4)",J1290,IF(H1290="5)",J1290,IF(H1290="6)",J1290,IF(H1290="7)",J1290,IF(H1290="8)",J1290,0))))))))</f>
        <v/>
      </c>
    </row>
    <row r="1292">
      <c r="A1292" s="0" t="inlineStr">
        <is>
          <t>New</t>
        </is>
      </c>
      <c r="B1292" s="0" t="inlineStr">
        <is>
          <t>Item</t>
        </is>
      </c>
      <c r="C1292" s="0" t="inlineStr">
        <is>
          <t>Acquired</t>
        </is>
      </c>
      <c r="D1292" s="0" t="inlineStr">
        <is>
          <t>:</t>
        </is>
      </c>
      <c r="E1292" s="0" t="inlineStr">
        <is>
          <t>60.00K</t>
        </is>
      </c>
      <c r="F1292" s="0" t="inlineStr">
        <is>
          <t>(4,</t>
        </is>
      </c>
      <c r="G1292" s="0" t="inlineStr">
        <is>
          <t>1)</t>
        </is>
      </c>
      <c r="K1292" s="0">
        <f>IF(H1291="1)",1,IF(H1291="2)",2,IF(H1291="3)",3,IF(H1291="4)",4,IF(H1291="5)",5,IF(H1291="6)",6,IF(H1291="7)",7,IF(H1291="8)",8,0))))))))</f>
        <v/>
      </c>
      <c r="L1292" s="0">
        <f>IF(H1291="1)",J1291,IF(H1291="2)",J1291,IF(H1291="3)",J1291,IF(H1291="4)",J1291,IF(H1291="5)",J1291,IF(H1291="6)",J1291,IF(H1291="7)",J1291,IF(H1291="8)",J1291,0))))))))</f>
        <v/>
      </c>
    </row>
    <row r="1293">
      <c r="A1293" s="0" t="inlineStr">
        <is>
          <t>Item</t>
        </is>
      </c>
      <c r="B1293" s="0" t="inlineStr">
        <is>
          <t>ReSelect</t>
        </is>
      </c>
      <c r="C1293" s="0" t="inlineStr">
        <is>
          <t>Failed</t>
        </is>
      </c>
      <c r="D1293" s="0" t="inlineStr">
        <is>
          <t>:</t>
        </is>
      </c>
      <c r="E1293" s="0" t="inlineStr">
        <is>
          <t>Attempt</t>
        </is>
      </c>
      <c r="F1293" s="0" t="inlineStr">
        <is>
          <t>Count</t>
        </is>
      </c>
      <c r="G1293" s="0" t="inlineStr">
        <is>
          <t>-</t>
        </is>
      </c>
      <c r="H1293" s="0" t="n">
        <v>3</v>
      </c>
      <c r="K1293" s="0">
        <f>IF(H1292="1)",1,IF(H1292="2)",2,IF(H1292="3)",3,IF(H1292="4)",4,IF(H1292="5)",5,IF(H1292="6)",6,IF(H1292="7)",7,IF(H1292="8)",8,0))))))))</f>
        <v/>
      </c>
      <c r="L1293" s="0">
        <f>IF(H1292="1)",J1292,IF(H1292="2)",J1292,IF(H1292="3)",J1292,IF(H1292="4)",J1292,IF(H1292="5)",J1292,IF(H1292="6)",J1292,IF(H1292="7)",J1292,IF(H1292="8)",J1292,0))))))))</f>
        <v/>
      </c>
    </row>
    <row r="1294">
      <c r="A1294" s="0" t="inlineStr">
        <is>
          <t>New</t>
        </is>
      </c>
      <c r="B1294" s="0" t="inlineStr">
        <is>
          <t>Item</t>
        </is>
      </c>
      <c r="C1294" s="0" t="inlineStr">
        <is>
          <t>Acquired</t>
        </is>
      </c>
      <c r="D1294" s="0" t="inlineStr">
        <is>
          <t>:</t>
        </is>
      </c>
      <c r="E1294" s="0" t="inlineStr">
        <is>
          <t>37.50K</t>
        </is>
      </c>
      <c r="F1294" s="0" t="inlineStr">
        <is>
          <t>(2,</t>
        </is>
      </c>
      <c r="G1294" s="0" t="inlineStr">
        <is>
          <t>24)</t>
        </is>
      </c>
      <c r="K1294" s="0">
        <f>IF(H1293="1)",1,IF(H1293="2)",2,IF(H1293="3)",3,IF(H1293="4)",4,IF(H1293="5)",5,IF(H1293="6)",6,IF(H1293="7)",7,IF(H1293="8)",8,0))))))))</f>
        <v/>
      </c>
      <c r="L1294" s="0">
        <f>IF(H1293="1)",J1293,IF(H1293="2)",J1293,IF(H1293="3)",J1293,IF(H1293="4)",J1293,IF(H1293="5)",J1293,IF(H1293="6)",J1293,IF(H1293="7)",J1293,IF(H1293="8)",J1293,0))))))))</f>
        <v/>
      </c>
    </row>
    <row r="1295">
      <c r="A1295" s="0" t="inlineStr">
        <is>
          <t>New</t>
        </is>
      </c>
      <c r="B1295" s="0" t="inlineStr">
        <is>
          <t>Item</t>
        </is>
      </c>
      <c r="C1295" s="0" t="inlineStr">
        <is>
          <t>Acquired</t>
        </is>
      </c>
      <c r="D1295" s="0" t="inlineStr">
        <is>
          <t>:</t>
        </is>
      </c>
      <c r="E1295" s="0" t="inlineStr">
        <is>
          <t>280.00K</t>
        </is>
      </c>
      <c r="F1295" s="0" t="inlineStr">
        <is>
          <t>(8,</t>
        </is>
      </c>
      <c r="G1295" s="0" t="inlineStr">
        <is>
          <t>5)</t>
        </is>
      </c>
      <c r="K1295" s="0">
        <f>IF(H1294="1)",1,IF(H1294="2)",2,IF(H1294="3)",3,IF(H1294="4)",4,IF(H1294="5)",5,IF(H1294="6)",6,IF(H1294="7)",7,IF(H1294="8)",8,0))))))))</f>
        <v/>
      </c>
      <c r="L1295" s="0">
        <f>IF(H1294="1)",J1294,IF(H1294="2)",J1294,IF(H1294="3)",J1294,IF(H1294="4)",J1294,IF(H1294="5)",J1294,IF(H1294="6)",J1294,IF(H1294="7)",J1294,IF(H1294="8)",J1294,0))))))))</f>
        <v/>
      </c>
    </row>
    <row r="1296">
      <c r="A1296" s="0" t="inlineStr">
        <is>
          <t>New</t>
        </is>
      </c>
      <c r="B1296" s="0" t="inlineStr">
        <is>
          <t>Item</t>
        </is>
      </c>
      <c r="C1296" s="0" t="inlineStr">
        <is>
          <t>Acquired</t>
        </is>
      </c>
      <c r="D1296" s="0" t="inlineStr">
        <is>
          <t>:</t>
        </is>
      </c>
      <c r="E1296" s="0" t="inlineStr">
        <is>
          <t>175.00K</t>
        </is>
      </c>
      <c r="F1296" s="0" t="inlineStr">
        <is>
          <t>(6,</t>
        </is>
      </c>
      <c r="G1296" s="0" t="inlineStr">
        <is>
          <t>7)</t>
        </is>
      </c>
      <c r="K1296" s="0">
        <f>IF(H1295="1)",1,IF(H1295="2)",2,IF(H1295="3)",3,IF(H1295="4)",4,IF(H1295="5)",5,IF(H1295="6)",6,IF(H1295="7)",7,IF(H1295="8)",8,0))))))))</f>
        <v/>
      </c>
      <c r="L1296" s="0">
        <f>IF(H1295="1)",J1295,IF(H1295="2)",J1295,IF(H1295="3)",J1295,IF(H1295="4)",J1295,IF(H1295="5)",J1295,IF(H1295="6)",J1295,IF(H1295="7)",J1295,IF(H1295="8)",J1295,0))))))))</f>
        <v/>
      </c>
    </row>
    <row r="1297">
      <c r="A1297" s="0" t="inlineStr">
        <is>
          <t>Line</t>
        </is>
      </c>
      <c r="B1297" s="0" t="inlineStr">
        <is>
          <t>Prize</t>
        </is>
      </c>
      <c r="C1297" s="0" t="inlineStr">
        <is>
          <t>Acquired</t>
        </is>
      </c>
      <c r="D1297" s="0" t="inlineStr">
        <is>
          <t>:</t>
        </is>
      </c>
      <c r="E1297" s="0" t="inlineStr">
        <is>
          <t>625.00K</t>
        </is>
      </c>
      <c r="F1297" s="0" t="inlineStr">
        <is>
          <t>(Stage</t>
        </is>
      </c>
      <c r="G1297" s="0" t="inlineStr">
        <is>
          <t>:</t>
        </is>
      </c>
      <c r="H1297" s="0" t="inlineStr">
        <is>
          <t>6)</t>
        </is>
      </c>
      <c r="I1297" s="0" t="inlineStr">
        <is>
          <t>-</t>
        </is>
      </c>
      <c r="J1297" s="0" t="n">
        <v>625000</v>
      </c>
      <c r="K1297" s="0">
        <f>IF(H1296="1)",1,IF(H1296="2)",2,IF(H1296="3)",3,IF(H1296="4)",4,IF(H1296="5)",5,IF(H1296="6)",6,IF(H1296="7)",7,IF(H1296="8)",8,0))))))))</f>
        <v/>
      </c>
      <c r="L1297" s="0">
        <f>IF(H1296="1)",J1296,IF(H1296="2)",J1296,IF(H1296="3)",J1296,IF(H1296="4)",J1296,IF(H1296="5)",J1296,IF(H1296="6)",J1296,IF(H1296="7)",J1296,IF(H1296="8)",J1296,0))))))))</f>
        <v/>
      </c>
    </row>
    <row r="1298">
      <c r="A1298" s="0" t="inlineStr">
        <is>
          <t>Line</t>
        </is>
      </c>
      <c r="B1298" s="0" t="inlineStr">
        <is>
          <t>Prize</t>
        </is>
      </c>
      <c r="C1298" s="0" t="inlineStr">
        <is>
          <t>Acquired</t>
        </is>
      </c>
      <c r="D1298" s="0" t="inlineStr">
        <is>
          <t>:</t>
        </is>
      </c>
      <c r="E1298" s="0" t="inlineStr">
        <is>
          <t>625.00K</t>
        </is>
      </c>
      <c r="F1298" s="0" t="inlineStr">
        <is>
          <t>(Stage</t>
        </is>
      </c>
      <c r="G1298" s="0" t="inlineStr">
        <is>
          <t>:</t>
        </is>
      </c>
      <c r="H1298" s="0" t="inlineStr">
        <is>
          <t>6)</t>
        </is>
      </c>
      <c r="I1298" s="0" t="inlineStr">
        <is>
          <t>-</t>
        </is>
      </c>
      <c r="J1298" s="0" t="n">
        <v>625000</v>
      </c>
      <c r="K1298" s="0">
        <f>IF(H1297="1)",1,IF(H1297="2)",2,IF(H1297="3)",3,IF(H1297="4)",4,IF(H1297="5)",5,IF(H1297="6)",6,IF(H1297="7)",7,IF(H1297="8)",8,0))))))))</f>
        <v/>
      </c>
      <c r="L1298" s="0">
        <f>IF(H1297="1)",J1297,IF(H1297="2)",J1297,IF(H1297="3)",J1297,IF(H1297="4)",J1297,IF(H1297="5)",J1297,IF(H1297="6)",J1297,IF(H1297="7)",J1297,IF(H1297="8)",J1297,0))))))))</f>
        <v/>
      </c>
    </row>
    <row r="1299">
      <c r="A1299" s="0" t="inlineStr">
        <is>
          <t>Clear</t>
        </is>
      </c>
      <c r="B1299" s="0" t="inlineStr">
        <is>
          <t>Gem</t>
        </is>
      </c>
      <c r="C1299" s="0" t="inlineStr">
        <is>
          <t>Acquired</t>
        </is>
      </c>
      <c r="D1299" s="0" t="inlineStr">
        <is>
          <t>:</t>
        </is>
      </c>
      <c r="E1299" s="0" t="n">
        <v>7700</v>
      </c>
      <c r="F1299" s="0" t="inlineStr">
        <is>
          <t>-&gt;</t>
        </is>
      </c>
      <c r="G1299" s="0" t="n">
        <v>7800</v>
      </c>
      <c r="H1299" s="0" t="inlineStr">
        <is>
          <t>(Stage</t>
        </is>
      </c>
      <c r="I1299" s="0" t="inlineStr">
        <is>
          <t>:</t>
        </is>
      </c>
      <c r="J1299" s="0" t="inlineStr">
        <is>
          <t>6)</t>
        </is>
      </c>
      <c r="K1299" s="0">
        <f>IF(H1298="1)",1,IF(H1298="2)",2,IF(H1298="3)",3,IF(H1298="4)",4,IF(H1298="5)",5,IF(H1298="6)",6,IF(H1298="7)",7,IF(H1298="8)",8,0))))))))</f>
        <v/>
      </c>
      <c r="L1299" s="0">
        <f>IF(H1298="1)",J1298,IF(H1298="2)",J1298,IF(H1298="3)",J1298,IF(H1298="4)",J1298,IF(H1298="5)",J1298,IF(H1298="6)",J1298,IF(H1298="7)",J1298,IF(H1298="8)",J1298,0))))))))</f>
        <v/>
      </c>
    </row>
    <row r="1300">
      <c r="A1300" s="0" t="inlineStr">
        <is>
          <t>New</t>
        </is>
      </c>
      <c r="B1300" s="0" t="inlineStr">
        <is>
          <t>Item</t>
        </is>
      </c>
      <c r="C1300" s="0" t="inlineStr">
        <is>
          <t>Acquired</t>
        </is>
      </c>
      <c r="D1300" s="0" t="inlineStr">
        <is>
          <t>:</t>
        </is>
      </c>
      <c r="E1300" s="0" t="inlineStr">
        <is>
          <t>67.50K</t>
        </is>
      </c>
      <c r="F1300" s="0" t="inlineStr">
        <is>
          <t>(5,</t>
        </is>
      </c>
      <c r="G1300" s="0" t="inlineStr">
        <is>
          <t>5)</t>
        </is>
      </c>
      <c r="K1300" s="0">
        <f>IF(H1299="1)",1,IF(H1299="2)",2,IF(H1299="3)",3,IF(H1299="4)",4,IF(H1299="5)",5,IF(H1299="6)",6,IF(H1299="7)",7,IF(H1299="8)",8,0))))))))</f>
        <v/>
      </c>
      <c r="L1300" s="0">
        <f>IF(H1299="1)",J1299,IF(H1299="2)",J1299,IF(H1299="3)",J1299,IF(H1299="4)",J1299,IF(H1299="5)",J1299,IF(H1299="6)",J1299,IF(H1299="7)",J1299,IF(H1299="8)",J1299,0))))))))</f>
        <v/>
      </c>
    </row>
    <row r="1301">
      <c r="A1301" s="0" t="inlineStr">
        <is>
          <t>New</t>
        </is>
      </c>
      <c r="B1301" s="0" t="inlineStr">
        <is>
          <t>Item</t>
        </is>
      </c>
      <c r="C1301" s="0" t="inlineStr">
        <is>
          <t>Acquired</t>
        </is>
      </c>
      <c r="D1301" s="0" t="inlineStr">
        <is>
          <t>:</t>
        </is>
      </c>
      <c r="E1301" s="0" t="inlineStr">
        <is>
          <t>75.00K</t>
        </is>
      </c>
      <c r="F1301" s="0" t="inlineStr">
        <is>
          <t>(6,</t>
        </is>
      </c>
      <c r="G1301" s="0" t="inlineStr">
        <is>
          <t>4)</t>
        </is>
      </c>
      <c r="K1301" s="0">
        <f>IF(H1300="1)",1,IF(H1300="2)",2,IF(H1300="3)",3,IF(H1300="4)",4,IF(H1300="5)",5,IF(H1300="6)",6,IF(H1300="7)",7,IF(H1300="8)",8,0))))))))</f>
        <v/>
      </c>
      <c r="L1301" s="0">
        <f>IF(H1300="1)",J1300,IF(H1300="2)",J1300,IF(H1300="3)",J1300,IF(H1300="4)",J1300,IF(H1300="5)",J1300,IF(H1300="6)",J1300,IF(H1300="7)",J1300,IF(H1300="8)",J1300,0))))))))</f>
        <v/>
      </c>
    </row>
    <row r="1302">
      <c r="A1302" s="0" t="inlineStr">
        <is>
          <t>New</t>
        </is>
      </c>
      <c r="B1302" s="0" t="inlineStr">
        <is>
          <t>Item</t>
        </is>
      </c>
      <c r="C1302" s="0" t="inlineStr">
        <is>
          <t>Acquired</t>
        </is>
      </c>
      <c r="D1302" s="0" t="inlineStr">
        <is>
          <t>:</t>
        </is>
      </c>
      <c r="E1302" s="0" t="inlineStr">
        <is>
          <t>Mini</t>
        </is>
      </c>
      <c r="F1302" s="0" t="inlineStr">
        <is>
          <t>(8,</t>
        </is>
      </c>
      <c r="G1302" s="0" t="inlineStr">
        <is>
          <t>15)</t>
        </is>
      </c>
      <c r="K1302" s="0">
        <f>IF(H1301="1)",1,IF(H1301="2)",2,IF(H1301="3)",3,IF(H1301="4)",4,IF(H1301="5)",5,IF(H1301="6)",6,IF(H1301="7)",7,IF(H1301="8)",8,0))))))))</f>
        <v/>
      </c>
      <c r="L1302" s="0">
        <f>IF(H1301="1)",J1301,IF(H1301="2)",J1301,IF(H1301="3)",J1301,IF(H1301="4)",J1301,IF(H1301="5)",J1301,IF(H1301="6)",J1301,IF(H1301="7)",J1301,IF(H1301="8)",J1301,0))))))))</f>
        <v/>
      </c>
    </row>
    <row r="1303">
      <c r="A1303" s="0" t="inlineStr">
        <is>
          <t>New</t>
        </is>
      </c>
      <c r="B1303" s="0" t="inlineStr">
        <is>
          <t>Item</t>
        </is>
      </c>
      <c r="C1303" s="0" t="inlineStr">
        <is>
          <t>Acquired</t>
        </is>
      </c>
      <c r="D1303" s="0" t="inlineStr">
        <is>
          <t>:</t>
        </is>
      </c>
      <c r="E1303" s="0" t="inlineStr">
        <is>
          <t>Major</t>
        </is>
      </c>
      <c r="F1303" s="0" t="inlineStr">
        <is>
          <t>(8,</t>
        </is>
      </c>
      <c r="G1303" s="0" t="inlineStr">
        <is>
          <t>21)</t>
        </is>
      </c>
      <c r="K1303" s="0">
        <f>IF(H1302="1)",1,IF(H1302="2)",2,IF(H1302="3)",3,IF(H1302="4)",4,IF(H1302="5)",5,IF(H1302="6)",6,IF(H1302="7)",7,IF(H1302="8)",8,0))))))))</f>
        <v/>
      </c>
      <c r="L1303" s="0">
        <f>IF(H1302="1)",J1302,IF(H1302="2)",J1302,IF(H1302="3)",J1302,IF(H1302="4)",J1302,IF(H1302="5)",J1302,IF(H1302="6)",J1302,IF(H1302="7)",J1302,IF(H1302="8)",J1302,0))))))))</f>
        <v/>
      </c>
    </row>
    <row r="1304">
      <c r="A1304" s="0" t="inlineStr">
        <is>
          <t>New</t>
        </is>
      </c>
      <c r="B1304" s="0" t="inlineStr">
        <is>
          <t>Item</t>
        </is>
      </c>
      <c r="C1304" s="0" t="inlineStr">
        <is>
          <t>Acquired</t>
        </is>
      </c>
      <c r="D1304" s="0" t="inlineStr">
        <is>
          <t>:</t>
        </is>
      </c>
      <c r="E1304" s="0" t="inlineStr">
        <is>
          <t>50.00K</t>
        </is>
      </c>
      <c r="F1304" s="0" t="inlineStr">
        <is>
          <t>(1,</t>
        </is>
      </c>
      <c r="G1304" s="0" t="inlineStr">
        <is>
          <t>19)</t>
        </is>
      </c>
      <c r="K1304" s="0">
        <f>IF(H1303="1)",1,IF(H1303="2)",2,IF(H1303="3)",3,IF(H1303="4)",4,IF(H1303="5)",5,IF(H1303="6)",6,IF(H1303="7)",7,IF(H1303="8)",8,0))))))))</f>
        <v/>
      </c>
      <c r="L1304" s="0">
        <f>IF(H1303="1)",J1303,IF(H1303="2)",J1303,IF(H1303="3)",J1303,IF(H1303="4)",J1303,IF(H1303="5)",J1303,IF(H1303="6)",J1303,IF(H1303="7)",J1303,IF(H1303="8)",J1303,0))))))))</f>
        <v/>
      </c>
    </row>
    <row r="1305">
      <c r="A1305" s="0" t="inlineStr">
        <is>
          <t>New</t>
        </is>
      </c>
      <c r="B1305" s="0" t="inlineStr">
        <is>
          <t>Item</t>
        </is>
      </c>
      <c r="C1305" s="0" t="inlineStr">
        <is>
          <t>Acquired</t>
        </is>
      </c>
      <c r="D1305" s="0" t="inlineStr">
        <is>
          <t>:</t>
        </is>
      </c>
      <c r="E1305" s="0" t="inlineStr">
        <is>
          <t>150.00K</t>
        </is>
      </c>
      <c r="F1305" s="0" t="inlineStr">
        <is>
          <t>(7,</t>
        </is>
      </c>
      <c r="G1305" s="0" t="inlineStr">
        <is>
          <t>19)</t>
        </is>
      </c>
      <c r="K1305" s="0">
        <f>IF(H1304="1)",1,IF(H1304="2)",2,IF(H1304="3)",3,IF(H1304="4)",4,IF(H1304="5)",5,IF(H1304="6)",6,IF(H1304="7)",7,IF(H1304="8)",8,0))))))))</f>
        <v/>
      </c>
      <c r="L1305" s="0">
        <f>IF(H1304="1)",J1304,IF(H1304="2)",J1304,IF(H1304="3)",J1304,IF(H1304="4)",J1304,IF(H1304="5)",J1304,IF(H1304="6)",J1304,IF(H1304="7)",J1304,IF(H1304="8)",J1304,0))))))))</f>
        <v/>
      </c>
    </row>
    <row r="1306">
      <c r="A1306" s="0" t="inlineStr">
        <is>
          <t>Line</t>
        </is>
      </c>
      <c r="B1306" s="0" t="inlineStr">
        <is>
          <t>Prize</t>
        </is>
      </c>
      <c r="C1306" s="0" t="inlineStr">
        <is>
          <t>Acquired</t>
        </is>
      </c>
      <c r="D1306" s="0" t="inlineStr">
        <is>
          <t>:</t>
        </is>
      </c>
      <c r="E1306" s="0" t="inlineStr">
        <is>
          <t>2.75M</t>
        </is>
      </c>
      <c r="F1306" s="0" t="inlineStr">
        <is>
          <t>(Stage</t>
        </is>
      </c>
      <c r="G1306" s="0" t="inlineStr">
        <is>
          <t>:</t>
        </is>
      </c>
      <c r="H1306" s="0" t="inlineStr">
        <is>
          <t>7)</t>
        </is>
      </c>
      <c r="I1306" s="0" t="inlineStr">
        <is>
          <t>-</t>
        </is>
      </c>
      <c r="J1306" s="0" t="n">
        <v>2750000</v>
      </c>
      <c r="K1306" s="0">
        <f>IF(H1305="1)",1,IF(H1305="2)",2,IF(H1305="3)",3,IF(H1305="4)",4,IF(H1305="5)",5,IF(H1305="6)",6,IF(H1305="7)",7,IF(H1305="8)",8,0))))))))</f>
        <v/>
      </c>
      <c r="L1306" s="0">
        <f>IF(H1305="1)",J1305,IF(H1305="2)",J1305,IF(H1305="3)",J1305,IF(H1305="4)",J1305,IF(H1305="5)",J1305,IF(H1305="6)",J1305,IF(H1305="7)",J1305,IF(H1305="8)",J1305,0))))))))</f>
        <v/>
      </c>
    </row>
    <row r="1307">
      <c r="A1307" s="0" t="inlineStr">
        <is>
          <t>Clear</t>
        </is>
      </c>
      <c r="B1307" s="0" t="inlineStr">
        <is>
          <t>Gem</t>
        </is>
      </c>
      <c r="C1307" s="0" t="inlineStr">
        <is>
          <t>Acquired</t>
        </is>
      </c>
      <c r="D1307" s="0" t="inlineStr">
        <is>
          <t>:</t>
        </is>
      </c>
      <c r="E1307" s="0" t="n">
        <v>7800</v>
      </c>
      <c r="F1307" s="0" t="inlineStr">
        <is>
          <t>-&gt;</t>
        </is>
      </c>
      <c r="G1307" s="0" t="n">
        <v>7900</v>
      </c>
      <c r="H1307" s="0" t="inlineStr">
        <is>
          <t>(Stage</t>
        </is>
      </c>
      <c r="I1307" s="0" t="inlineStr">
        <is>
          <t>:</t>
        </is>
      </c>
      <c r="J1307" s="0" t="inlineStr">
        <is>
          <t>7)</t>
        </is>
      </c>
      <c r="K1307" s="0">
        <f>IF(H1306="1)",1,IF(H1306="2)",2,IF(H1306="3)",3,IF(H1306="4)",4,IF(H1306="5)",5,IF(H1306="6)",6,IF(H1306="7)",7,IF(H1306="8)",8,0))))))))</f>
        <v/>
      </c>
      <c r="L1307" s="0">
        <f>IF(H1306="1)",J1306,IF(H1306="2)",J1306,IF(H1306="3)",J1306,IF(H1306="4)",J1306,IF(H1306="5)",J1306,IF(H1306="6)",J1306,IF(H1306="7)",J1306,IF(H1306="8)",J1306,0))))))))</f>
        <v/>
      </c>
    </row>
    <row r="1308">
      <c r="A1308" s="0" t="inlineStr">
        <is>
          <t>New</t>
        </is>
      </c>
      <c r="B1308" s="0" t="inlineStr">
        <is>
          <t>Item</t>
        </is>
      </c>
      <c r="C1308" s="0" t="inlineStr">
        <is>
          <t>Acquired</t>
        </is>
      </c>
      <c r="D1308" s="0" t="inlineStr">
        <is>
          <t>:</t>
        </is>
      </c>
      <c r="E1308" s="0" t="inlineStr">
        <is>
          <t>67.50K</t>
        </is>
      </c>
      <c r="F1308" s="0" t="inlineStr">
        <is>
          <t>(5,</t>
        </is>
      </c>
      <c r="G1308" s="0" t="inlineStr">
        <is>
          <t>15)</t>
        </is>
      </c>
      <c r="K1308" s="0">
        <f>IF(H1307="1)",1,IF(H1307="2)",2,IF(H1307="3)",3,IF(H1307="4)",4,IF(H1307="5)",5,IF(H1307="6)",6,IF(H1307="7)",7,IF(H1307="8)",8,0))))))))</f>
        <v/>
      </c>
      <c r="L1308" s="0">
        <f>IF(H1307="1)",J1307,IF(H1307="2)",J1307,IF(H1307="3)",J1307,IF(H1307="4)",J1307,IF(H1307="5)",J1307,IF(H1307="6)",J1307,IF(H1307="7)",J1307,IF(H1307="8)",J1307,0))))))))</f>
        <v/>
      </c>
    </row>
    <row r="1309">
      <c r="A1309" s="0" t="inlineStr">
        <is>
          <t>New</t>
        </is>
      </c>
      <c r="B1309" s="0" t="inlineStr">
        <is>
          <t>Item</t>
        </is>
      </c>
      <c r="C1309" s="0" t="inlineStr">
        <is>
          <t>Acquired</t>
        </is>
      </c>
      <c r="D1309" s="0" t="inlineStr">
        <is>
          <t>:</t>
        </is>
      </c>
      <c r="E1309" s="0" t="inlineStr">
        <is>
          <t>75.00K</t>
        </is>
      </c>
      <c r="F1309" s="0" t="inlineStr">
        <is>
          <t>(6,</t>
        </is>
      </c>
      <c r="G1309" s="0" t="inlineStr">
        <is>
          <t>19)</t>
        </is>
      </c>
      <c r="K1309" s="0">
        <f>IF(H1308="1)",1,IF(H1308="2)",2,IF(H1308="3)",3,IF(H1308="4)",4,IF(H1308="5)",5,IF(H1308="6)",6,IF(H1308="7)",7,IF(H1308="8)",8,0))))))))</f>
        <v/>
      </c>
      <c r="L1309" s="0">
        <f>IF(H1308="1)",J1308,IF(H1308="2)",J1308,IF(H1308="3)",J1308,IF(H1308="4)",J1308,IF(H1308="5)",J1308,IF(H1308="6)",J1308,IF(H1308="7)",J1308,IF(H1308="8)",J1308,0))))))))</f>
        <v/>
      </c>
    </row>
    <row r="1310">
      <c r="A1310" s="0" t="inlineStr">
        <is>
          <t>New</t>
        </is>
      </c>
      <c r="B1310" s="0" t="inlineStr">
        <is>
          <t>Item</t>
        </is>
      </c>
      <c r="C1310" s="0" t="inlineStr">
        <is>
          <t>Acquired</t>
        </is>
      </c>
      <c r="D1310" s="0" t="inlineStr">
        <is>
          <t>:</t>
        </is>
      </c>
      <c r="E1310" s="0" t="inlineStr">
        <is>
          <t>175.00K</t>
        </is>
      </c>
      <c r="F1310" s="0" t="inlineStr">
        <is>
          <t>(6,</t>
        </is>
      </c>
      <c r="G1310" s="0" t="inlineStr">
        <is>
          <t>15)</t>
        </is>
      </c>
      <c r="K1310" s="0">
        <f>IF(H1309="1)",1,IF(H1309="2)",2,IF(H1309="3)",3,IF(H1309="4)",4,IF(H1309="5)",5,IF(H1309="6)",6,IF(H1309="7)",7,IF(H1309="8)",8,0))))))))</f>
        <v/>
      </c>
      <c r="L1310" s="0">
        <f>IF(H1309="1)",J1309,IF(H1309="2)",J1309,IF(H1309="3)",J1309,IF(H1309="4)",J1309,IF(H1309="5)",J1309,IF(H1309="6)",J1309,IF(H1309="7)",J1309,IF(H1309="8)",J1309,0))))))))</f>
        <v/>
      </c>
    </row>
    <row r="1311">
      <c r="A1311" s="0" t="inlineStr">
        <is>
          <t>New</t>
        </is>
      </c>
      <c r="B1311" s="0" t="inlineStr">
        <is>
          <t>Item</t>
        </is>
      </c>
      <c r="C1311" s="0" t="inlineStr">
        <is>
          <t>Acquired</t>
        </is>
      </c>
      <c r="D1311" s="0" t="inlineStr">
        <is>
          <t>:</t>
        </is>
      </c>
      <c r="E1311" s="0" t="inlineStr">
        <is>
          <t>125.00K</t>
        </is>
      </c>
      <c r="F1311" s="0" t="inlineStr">
        <is>
          <t>(6,</t>
        </is>
      </c>
      <c r="G1311" s="0" t="inlineStr">
        <is>
          <t>7)</t>
        </is>
      </c>
      <c r="K1311" s="0">
        <f>IF(H1310="1)",1,IF(H1310="2)",2,IF(H1310="3)",3,IF(H1310="4)",4,IF(H1310="5)",5,IF(H1310="6)",6,IF(H1310="7)",7,IF(H1310="8)",8,0))))))))</f>
        <v/>
      </c>
      <c r="L1311" s="0">
        <f>IF(H1310="1)",J1310,IF(H1310="2)",J1310,IF(H1310="3)",J1310,IF(H1310="4)",J1310,IF(H1310="5)",J1310,IF(H1310="6)",J1310,IF(H1310="7)",J1310,IF(H1310="8)",J1310,0))))))))</f>
        <v/>
      </c>
    </row>
    <row r="1312">
      <c r="A1312" s="0" t="inlineStr">
        <is>
          <t>New</t>
        </is>
      </c>
      <c r="B1312" s="0" t="inlineStr">
        <is>
          <t>Item</t>
        </is>
      </c>
      <c r="C1312" s="0" t="inlineStr">
        <is>
          <t>Acquired</t>
        </is>
      </c>
      <c r="D1312" s="0" t="inlineStr">
        <is>
          <t>:</t>
        </is>
      </c>
      <c r="E1312" s="0" t="inlineStr">
        <is>
          <t>120.00K</t>
        </is>
      </c>
      <c r="F1312" s="0" t="inlineStr">
        <is>
          <t>(8,</t>
        </is>
      </c>
      <c r="G1312" s="0" t="inlineStr">
        <is>
          <t>10)</t>
        </is>
      </c>
      <c r="K1312" s="0">
        <f>IF(H1311="1)",1,IF(H1311="2)",2,IF(H1311="3)",3,IF(H1311="4)",4,IF(H1311="5)",5,IF(H1311="6)",6,IF(H1311="7)",7,IF(H1311="8)",8,0))))))))</f>
        <v/>
      </c>
      <c r="L1312" s="0">
        <f>IF(H1311="1)",J1311,IF(H1311="2)",J1311,IF(H1311="3)",J1311,IF(H1311="4)",J1311,IF(H1311="5)",J1311,IF(H1311="6)",J1311,IF(H1311="7)",J1311,IF(H1311="8)",J1311,0))))))))</f>
        <v/>
      </c>
    </row>
    <row r="1313">
      <c r="A1313" s="0" t="inlineStr">
        <is>
          <t>New</t>
        </is>
      </c>
      <c r="B1313" s="0" t="inlineStr">
        <is>
          <t>Item</t>
        </is>
      </c>
      <c r="C1313" s="0" t="inlineStr">
        <is>
          <t>Acquired</t>
        </is>
      </c>
      <c r="D1313" s="0" t="inlineStr">
        <is>
          <t>:</t>
        </is>
      </c>
      <c r="E1313" s="0" t="inlineStr">
        <is>
          <t>75.00K</t>
        </is>
      </c>
      <c r="F1313" s="0" t="inlineStr">
        <is>
          <t>(4,</t>
        </is>
      </c>
      <c r="G1313" s="0" t="inlineStr">
        <is>
          <t>21)</t>
        </is>
      </c>
      <c r="K1313" s="0">
        <f>IF(H1312="1)",1,IF(H1312="2)",2,IF(H1312="3)",3,IF(H1312="4)",4,IF(H1312="5)",5,IF(H1312="6)",6,IF(H1312="7)",7,IF(H1312="8)",8,0))))))))</f>
        <v/>
      </c>
      <c r="L1313" s="0">
        <f>IF(H1312="1)",J1312,IF(H1312="2)",J1312,IF(H1312="3)",J1312,IF(H1312="4)",J1312,IF(H1312="5)",J1312,IF(H1312="6)",J1312,IF(H1312="7)",J1312,IF(H1312="8)",J1312,0))))))))</f>
        <v/>
      </c>
    </row>
    <row r="1314">
      <c r="A1314" s="0" t="inlineStr">
        <is>
          <t>New</t>
        </is>
      </c>
      <c r="B1314" s="0" t="inlineStr">
        <is>
          <t>Item</t>
        </is>
      </c>
      <c r="C1314" s="0" t="inlineStr">
        <is>
          <t>Acquired</t>
        </is>
      </c>
      <c r="D1314" s="0" t="inlineStr">
        <is>
          <t>:</t>
        </is>
      </c>
      <c r="E1314" s="0" t="inlineStr">
        <is>
          <t>30.00K</t>
        </is>
      </c>
      <c r="F1314" s="0" t="inlineStr">
        <is>
          <t>(1,</t>
        </is>
      </c>
      <c r="G1314" s="0" t="inlineStr">
        <is>
          <t>3)</t>
        </is>
      </c>
      <c r="K1314" s="0">
        <f>IF(H1313="1)",1,IF(H1313="2)",2,IF(H1313="3)",3,IF(H1313="4)",4,IF(H1313="5)",5,IF(H1313="6)",6,IF(H1313="7)",7,IF(H1313="8)",8,0))))))))</f>
        <v/>
      </c>
      <c r="L1314" s="0">
        <f>IF(H1313="1)",J1313,IF(H1313="2)",J1313,IF(H1313="3)",J1313,IF(H1313="4)",J1313,IF(H1313="5)",J1313,IF(H1313="6)",J1313,IF(H1313="7)",J1313,IF(H1313="8)",J1313,0))))))))</f>
        <v/>
      </c>
    </row>
    <row r="1315">
      <c r="A1315" s="0" t="inlineStr">
        <is>
          <t>New</t>
        </is>
      </c>
      <c r="B1315" s="0" t="inlineStr">
        <is>
          <t>Item</t>
        </is>
      </c>
      <c r="C1315" s="0" t="inlineStr">
        <is>
          <t>Acquired</t>
        </is>
      </c>
      <c r="D1315" s="0" t="inlineStr">
        <is>
          <t>:</t>
        </is>
      </c>
      <c r="E1315" s="0" t="inlineStr">
        <is>
          <t>60.00K</t>
        </is>
      </c>
      <c r="F1315" s="0" t="inlineStr">
        <is>
          <t>(4,</t>
        </is>
      </c>
      <c r="G1315" s="0" t="inlineStr">
        <is>
          <t>4)</t>
        </is>
      </c>
      <c r="K1315" s="0">
        <f>IF(H1314="1)",1,IF(H1314="2)",2,IF(H1314="3)",3,IF(H1314="4)",4,IF(H1314="5)",5,IF(H1314="6)",6,IF(H1314="7)",7,IF(H1314="8)",8,0))))))))</f>
        <v/>
      </c>
      <c r="L1315" s="0">
        <f>IF(H1314="1)",J1314,IF(H1314="2)",J1314,IF(H1314="3)",J1314,IF(H1314="4)",J1314,IF(H1314="5)",J1314,IF(H1314="6)",J1314,IF(H1314="7)",J1314,IF(H1314="8)",J1314,0))))))))</f>
        <v/>
      </c>
    </row>
    <row r="1316">
      <c r="A1316" s="0" t="inlineStr">
        <is>
          <t>New</t>
        </is>
      </c>
      <c r="B1316" s="0" t="inlineStr">
        <is>
          <t>Item</t>
        </is>
      </c>
      <c r="C1316" s="0" t="inlineStr">
        <is>
          <t>Acquired</t>
        </is>
      </c>
      <c r="D1316" s="0" t="inlineStr">
        <is>
          <t>:</t>
        </is>
      </c>
      <c r="E1316" s="0" t="inlineStr">
        <is>
          <t>67.50K</t>
        </is>
      </c>
      <c r="F1316" s="0" t="inlineStr">
        <is>
          <t>(5,</t>
        </is>
      </c>
      <c r="G1316" s="0" t="inlineStr">
        <is>
          <t>3)</t>
        </is>
      </c>
      <c r="K1316" s="0">
        <f>IF(H1315="1)",1,IF(H1315="2)",2,IF(H1315="3)",3,IF(H1315="4)",4,IF(H1315="5)",5,IF(H1315="6)",6,IF(H1315="7)",7,IF(H1315="8)",8,0))))))))</f>
        <v/>
      </c>
      <c r="L1316" s="0">
        <f>IF(H1315="1)",J1315,IF(H1315="2)",J1315,IF(H1315="3)",J1315,IF(H1315="4)",J1315,IF(H1315="5)",J1315,IF(H1315="6)",J1315,IF(H1315="7)",J1315,IF(H1315="8)",J1315,0))))))))</f>
        <v/>
      </c>
    </row>
    <row r="1317">
      <c r="A1317" s="0" t="inlineStr">
        <is>
          <t>New</t>
        </is>
      </c>
      <c r="B1317" s="0" t="inlineStr">
        <is>
          <t>Item</t>
        </is>
      </c>
      <c r="C1317" s="0" t="inlineStr">
        <is>
          <t>Acquired</t>
        </is>
      </c>
      <c r="D1317" s="0" t="inlineStr">
        <is>
          <t>:</t>
        </is>
      </c>
      <c r="E1317" s="0" t="inlineStr">
        <is>
          <t>30.00K</t>
        </is>
      </c>
      <c r="F1317" s="0" t="inlineStr">
        <is>
          <t>(1,</t>
        </is>
      </c>
      <c r="G1317" s="0" t="inlineStr">
        <is>
          <t>20)</t>
        </is>
      </c>
      <c r="K1317" s="0">
        <f>IF(H1316="1)",1,IF(H1316="2)",2,IF(H1316="3)",3,IF(H1316="4)",4,IF(H1316="5)",5,IF(H1316="6)",6,IF(H1316="7)",7,IF(H1316="8)",8,0))))))))</f>
        <v/>
      </c>
      <c r="L1317" s="0">
        <f>IF(H1316="1)",J1316,IF(H1316="2)",J1316,IF(H1316="3)",J1316,IF(H1316="4)",J1316,IF(H1316="5)",J1316,IF(H1316="6)",J1316,IF(H1316="7)",J1316,IF(H1316="8)",J1316,0))))))))</f>
        <v/>
      </c>
    </row>
    <row r="1318">
      <c r="A1318" s="0" t="inlineStr">
        <is>
          <t>New</t>
        </is>
      </c>
      <c r="B1318" s="0" t="inlineStr">
        <is>
          <t>Item</t>
        </is>
      </c>
      <c r="C1318" s="0" t="inlineStr">
        <is>
          <t>Acquired</t>
        </is>
      </c>
      <c r="D1318" s="0" t="inlineStr">
        <is>
          <t>:</t>
        </is>
      </c>
      <c r="E1318" s="0" t="inlineStr">
        <is>
          <t>Minor</t>
        </is>
      </c>
      <c r="F1318" s="0" t="inlineStr">
        <is>
          <t>(3,</t>
        </is>
      </c>
      <c r="G1318" s="0" t="inlineStr">
        <is>
          <t>23)</t>
        </is>
      </c>
      <c r="K1318" s="0">
        <f>IF(H1317="1)",1,IF(H1317="2)",2,IF(H1317="3)",3,IF(H1317="4)",4,IF(H1317="5)",5,IF(H1317="6)",6,IF(H1317="7)",7,IF(H1317="8)",8,0))))))))</f>
        <v/>
      </c>
      <c r="L1318" s="0">
        <f>IF(H1317="1)",J1317,IF(H1317="2)",J1317,IF(H1317="3)",J1317,IF(H1317="4)",J1317,IF(H1317="5)",J1317,IF(H1317="6)",J1317,IF(H1317="7)",J1317,IF(H1317="8)",J1317,0))))))))</f>
        <v/>
      </c>
    </row>
    <row r="1319">
      <c r="A1319" s="0" t="inlineStr">
        <is>
          <t>Line</t>
        </is>
      </c>
      <c r="B1319" s="0" t="inlineStr">
        <is>
          <t>Prize</t>
        </is>
      </c>
      <c r="C1319" s="0" t="inlineStr">
        <is>
          <t>Acquired</t>
        </is>
      </c>
      <c r="D1319" s="0" t="inlineStr">
        <is>
          <t>:</t>
        </is>
      </c>
      <c r="E1319" s="0" t="inlineStr">
        <is>
          <t>1.22M</t>
        </is>
      </c>
      <c r="F1319" s="0" t="inlineStr">
        <is>
          <t>(Stage</t>
        </is>
      </c>
      <c r="G1319" s="0" t="inlineStr">
        <is>
          <t>:</t>
        </is>
      </c>
      <c r="H1319" s="0" t="inlineStr">
        <is>
          <t>3)</t>
        </is>
      </c>
      <c r="I1319" s="0" t="inlineStr">
        <is>
          <t>-</t>
        </is>
      </c>
      <c r="J1319" s="0" t="n">
        <v>1215000</v>
      </c>
      <c r="K1319" s="0">
        <f>IF(H1318="1)",1,IF(H1318="2)",2,IF(H1318="3)",3,IF(H1318="4)",4,IF(H1318="5)",5,IF(H1318="6)",6,IF(H1318="7)",7,IF(H1318="8)",8,0))))))))</f>
        <v/>
      </c>
      <c r="L1319" s="0">
        <f>IF(H1318="1)",J1318,IF(H1318="2)",J1318,IF(H1318="3)",J1318,IF(H1318="4)",J1318,IF(H1318="5)",J1318,IF(H1318="6)",J1318,IF(H1318="7)",J1318,IF(H1318="8)",J1318,0))))))))</f>
        <v/>
      </c>
    </row>
    <row r="1320">
      <c r="A1320" s="0" t="inlineStr">
        <is>
          <t>Clear</t>
        </is>
      </c>
      <c r="B1320" s="0" t="inlineStr">
        <is>
          <t>Gem</t>
        </is>
      </c>
      <c r="C1320" s="0" t="inlineStr">
        <is>
          <t>Acquired</t>
        </is>
      </c>
      <c r="D1320" s="0" t="inlineStr">
        <is>
          <t>:</t>
        </is>
      </c>
      <c r="E1320" s="0" t="n">
        <v>7900</v>
      </c>
      <c r="F1320" s="0" t="inlineStr">
        <is>
          <t>-&gt;</t>
        </is>
      </c>
      <c r="G1320" s="0" t="n">
        <v>8000</v>
      </c>
      <c r="H1320" s="0" t="inlineStr">
        <is>
          <t>(Stage</t>
        </is>
      </c>
      <c r="I1320" s="0" t="inlineStr">
        <is>
          <t>:</t>
        </is>
      </c>
      <c r="J1320" s="0" t="inlineStr">
        <is>
          <t>3)</t>
        </is>
      </c>
      <c r="K1320" s="0">
        <f>IF(H1319="1)",1,IF(H1319="2)",2,IF(H1319="3)",3,IF(H1319="4)",4,IF(H1319="5)",5,IF(H1319="6)",6,IF(H1319="7)",7,IF(H1319="8)",8,0))))))))</f>
        <v/>
      </c>
      <c r="L1320" s="0">
        <f>IF(H1319="1)",J1319,IF(H1319="2)",J1319,IF(H1319="3)",J1319,IF(H1319="4)",J1319,IF(H1319="5)",J1319,IF(H1319="6)",J1319,IF(H1319="7)",J1319,IF(H1319="8)",J1319,0))))))))</f>
        <v/>
      </c>
    </row>
    <row r="1321">
      <c r="A1321" s="0" t="inlineStr">
        <is>
          <t>New</t>
        </is>
      </c>
      <c r="B1321" s="0" t="inlineStr">
        <is>
          <t>Item</t>
        </is>
      </c>
      <c r="C1321" s="0" t="inlineStr">
        <is>
          <t>Acquired</t>
        </is>
      </c>
      <c r="D1321" s="0" t="inlineStr">
        <is>
          <t>:</t>
        </is>
      </c>
      <c r="E1321" s="0" t="inlineStr">
        <is>
          <t>75.00K</t>
        </is>
      </c>
      <c r="F1321" s="0" t="inlineStr">
        <is>
          <t>(3,</t>
        </is>
      </c>
      <c r="G1321" s="0" t="inlineStr">
        <is>
          <t>7)</t>
        </is>
      </c>
      <c r="K1321" s="0">
        <f>IF(H1320="1)",1,IF(H1320="2)",2,IF(H1320="3)",3,IF(H1320="4)",4,IF(H1320="5)",5,IF(H1320="6)",6,IF(H1320="7)",7,IF(H1320="8)",8,0))))))))</f>
        <v/>
      </c>
      <c r="L1321" s="0">
        <f>IF(H1320="1)",J1320,IF(H1320="2)",J1320,IF(H1320="3)",J1320,IF(H1320="4)",J1320,IF(H1320="5)",J1320,IF(H1320="6)",J1320,IF(H1320="7)",J1320,IF(H1320="8)",J1320,0))))))))</f>
        <v/>
      </c>
    </row>
    <row r="1322">
      <c r="A1322" s="0" t="inlineStr">
        <is>
          <t>New</t>
        </is>
      </c>
      <c r="B1322" s="0" t="inlineStr">
        <is>
          <t>Item</t>
        </is>
      </c>
      <c r="C1322" s="0" t="inlineStr">
        <is>
          <t>Acquired</t>
        </is>
      </c>
      <c r="D1322" s="0" t="inlineStr">
        <is>
          <t>:</t>
        </is>
      </c>
      <c r="E1322" s="0" t="inlineStr">
        <is>
          <t>70.00K</t>
        </is>
      </c>
      <c r="F1322" s="0" t="inlineStr">
        <is>
          <t>(1,</t>
        </is>
      </c>
      <c r="G1322" s="0" t="inlineStr">
        <is>
          <t>14)</t>
        </is>
      </c>
      <c r="K1322" s="0">
        <f>IF(H1321="1)",1,IF(H1321="2)",2,IF(H1321="3)",3,IF(H1321="4)",4,IF(H1321="5)",5,IF(H1321="6)",6,IF(H1321="7)",7,IF(H1321="8)",8,0))))))))</f>
        <v/>
      </c>
      <c r="L1322" s="0">
        <f>IF(H1321="1)",J1321,IF(H1321="2)",J1321,IF(H1321="3)",J1321,IF(H1321="4)",J1321,IF(H1321="5)",J1321,IF(H1321="6)",J1321,IF(H1321="7)",J1321,IF(H1321="8)",J1321,0))))))))</f>
        <v/>
      </c>
    </row>
    <row r="1323">
      <c r="A1323" s="0" t="inlineStr">
        <is>
          <t>New</t>
        </is>
      </c>
      <c r="B1323" s="0" t="inlineStr">
        <is>
          <t>Item</t>
        </is>
      </c>
      <c r="C1323" s="0" t="inlineStr">
        <is>
          <t>Acquired</t>
        </is>
      </c>
      <c r="D1323" s="0" t="inlineStr">
        <is>
          <t>:</t>
        </is>
      </c>
      <c r="E1323" s="0" t="inlineStr">
        <is>
          <t>Major</t>
        </is>
      </c>
      <c r="F1323" s="0" t="inlineStr">
        <is>
          <t>(1,</t>
        </is>
      </c>
      <c r="G1323" s="0" t="inlineStr">
        <is>
          <t>6)</t>
        </is>
      </c>
      <c r="K1323" s="0">
        <f>IF(H1322="1)",1,IF(H1322="2)",2,IF(H1322="3)",3,IF(H1322="4)",4,IF(H1322="5)",5,IF(H1322="6)",6,IF(H1322="7)",7,IF(H1322="8)",8,0))))))))</f>
        <v/>
      </c>
      <c r="L1323" s="0">
        <f>IF(H1322="1)",J1322,IF(H1322="2)",J1322,IF(H1322="3)",J1322,IF(H1322="4)",J1322,IF(H1322="5)",J1322,IF(H1322="6)",J1322,IF(H1322="7)",J1322,IF(H1322="8)",J1322,0))))))))</f>
        <v/>
      </c>
    </row>
    <row r="1324">
      <c r="A1324" s="0" t="inlineStr">
        <is>
          <t>New</t>
        </is>
      </c>
      <c r="B1324" s="0" t="inlineStr">
        <is>
          <t>Item</t>
        </is>
      </c>
      <c r="C1324" s="0" t="inlineStr">
        <is>
          <t>Acquired</t>
        </is>
      </c>
      <c r="D1324" s="0" t="inlineStr">
        <is>
          <t>:</t>
        </is>
      </c>
      <c r="E1324" s="0" t="inlineStr">
        <is>
          <t>112.50K</t>
        </is>
      </c>
      <c r="F1324" s="0" t="inlineStr">
        <is>
          <t>(5,</t>
        </is>
      </c>
      <c r="G1324" s="0" t="inlineStr">
        <is>
          <t>24)</t>
        </is>
      </c>
      <c r="K1324" s="0">
        <f>IF(H1323="1)",1,IF(H1323="2)",2,IF(H1323="3)",3,IF(H1323="4)",4,IF(H1323="5)",5,IF(H1323="6)",6,IF(H1323="7)",7,IF(H1323="8)",8,0))))))))</f>
        <v/>
      </c>
      <c r="L1324" s="0">
        <f>IF(H1323="1)",J1323,IF(H1323="2)",J1323,IF(H1323="3)",J1323,IF(H1323="4)",J1323,IF(H1323="5)",J1323,IF(H1323="6)",J1323,IF(H1323="7)",J1323,IF(H1323="8)",J1323,0))))))))</f>
        <v/>
      </c>
    </row>
    <row r="1325">
      <c r="A1325" s="0" t="inlineStr">
        <is>
          <t>New</t>
        </is>
      </c>
      <c r="B1325" s="0" t="inlineStr">
        <is>
          <t>Item</t>
        </is>
      </c>
      <c r="C1325" s="0" t="inlineStr">
        <is>
          <t>Acquired</t>
        </is>
      </c>
      <c r="D1325" s="0" t="inlineStr">
        <is>
          <t>:</t>
        </is>
      </c>
      <c r="E1325" s="0" t="inlineStr">
        <is>
          <t>112.50K</t>
        </is>
      </c>
      <c r="F1325" s="0" t="inlineStr">
        <is>
          <t>(5,</t>
        </is>
      </c>
      <c r="G1325" s="0" t="inlineStr">
        <is>
          <t>18)</t>
        </is>
      </c>
      <c r="K1325" s="0">
        <f>IF(H1324="1)",1,IF(H1324="2)",2,IF(H1324="3)",3,IF(H1324="4)",4,IF(H1324="5)",5,IF(H1324="6)",6,IF(H1324="7)",7,IF(H1324="8)",8,0))))))))</f>
        <v/>
      </c>
      <c r="L1325" s="0">
        <f>IF(H1324="1)",J1324,IF(H1324="2)",J1324,IF(H1324="3)",J1324,IF(H1324="4)",J1324,IF(H1324="5)",J1324,IF(H1324="6)",J1324,IF(H1324="7)",J1324,IF(H1324="8)",J1324,0))))))))</f>
        <v/>
      </c>
    </row>
    <row r="1326">
      <c r="A1326" s="0" t="inlineStr">
        <is>
          <t>New</t>
        </is>
      </c>
      <c r="B1326" s="0" t="inlineStr">
        <is>
          <t>Item</t>
        </is>
      </c>
      <c r="C1326" s="0" t="inlineStr">
        <is>
          <t>Acquired</t>
        </is>
      </c>
      <c r="D1326" s="0" t="inlineStr">
        <is>
          <t>:</t>
        </is>
      </c>
      <c r="E1326" s="0" t="inlineStr">
        <is>
          <t>67.50K</t>
        </is>
      </c>
      <c r="F1326" s="0" t="inlineStr">
        <is>
          <t>(5,</t>
        </is>
      </c>
      <c r="G1326" s="0" t="inlineStr">
        <is>
          <t>6)</t>
        </is>
      </c>
      <c r="K1326" s="0">
        <f>IF(H1325="1)",1,IF(H1325="2)",2,IF(H1325="3)",3,IF(H1325="4)",4,IF(H1325="5)",5,IF(H1325="6)",6,IF(H1325="7)",7,IF(H1325="8)",8,0))))))))</f>
        <v/>
      </c>
      <c r="L1326" s="0">
        <f>IF(H1325="1)",J1325,IF(H1325="2)",J1325,IF(H1325="3)",J1325,IF(H1325="4)",J1325,IF(H1325="5)",J1325,IF(H1325="6)",J1325,IF(H1325="7)",J1325,IF(H1325="8)",J1325,0))))))))</f>
        <v/>
      </c>
    </row>
    <row r="1327">
      <c r="A1327" s="0" t="inlineStr">
        <is>
          <t>New</t>
        </is>
      </c>
      <c r="B1327" s="0" t="inlineStr">
        <is>
          <t>Item</t>
        </is>
      </c>
      <c r="C1327" s="0" t="inlineStr">
        <is>
          <t>Acquired</t>
        </is>
      </c>
      <c r="D1327" s="0" t="inlineStr">
        <is>
          <t>:</t>
        </is>
      </c>
      <c r="E1327" s="0" t="inlineStr">
        <is>
          <t>90.00K</t>
        </is>
      </c>
      <c r="F1327" s="0" t="inlineStr">
        <is>
          <t>(7,</t>
        </is>
      </c>
      <c r="G1327" s="0" t="inlineStr">
        <is>
          <t>22)</t>
        </is>
      </c>
      <c r="K1327" s="0">
        <f>IF(H1326="1)",1,IF(H1326="2)",2,IF(H1326="3)",3,IF(H1326="4)",4,IF(H1326="5)",5,IF(H1326="6)",6,IF(H1326="7)",7,IF(H1326="8)",8,0))))))))</f>
        <v/>
      </c>
      <c r="L1327" s="0">
        <f>IF(H1326="1)",J1326,IF(H1326="2)",J1326,IF(H1326="3)",J1326,IF(H1326="4)",J1326,IF(H1326="5)",J1326,IF(H1326="6)",J1326,IF(H1326="7)",J1326,IF(H1326="8)",J1326,0))))))))</f>
        <v/>
      </c>
    </row>
    <row r="1328">
      <c r="A1328" s="0" t="inlineStr">
        <is>
          <t>New</t>
        </is>
      </c>
      <c r="B1328" s="0" t="inlineStr">
        <is>
          <t>Item</t>
        </is>
      </c>
      <c r="C1328" s="0" t="inlineStr">
        <is>
          <t>Acquired</t>
        </is>
      </c>
      <c r="D1328" s="0" t="inlineStr">
        <is>
          <t>:</t>
        </is>
      </c>
      <c r="E1328" s="0" t="inlineStr">
        <is>
          <t>37.50K</t>
        </is>
      </c>
      <c r="F1328" s="0" t="inlineStr">
        <is>
          <t>(2,</t>
        </is>
      </c>
      <c r="G1328" s="0" t="inlineStr">
        <is>
          <t>1)</t>
        </is>
      </c>
      <c r="K1328" s="0">
        <f>IF(H1327="1)",1,IF(H1327="2)",2,IF(H1327="3)",3,IF(H1327="4)",4,IF(H1327="5)",5,IF(H1327="6)",6,IF(H1327="7)",7,IF(H1327="8)",8,0))))))))</f>
        <v/>
      </c>
      <c r="L1328" s="0">
        <f>IF(H1327="1)",J1327,IF(H1327="2)",J1327,IF(H1327="3)",J1327,IF(H1327="4)",J1327,IF(H1327="5)",J1327,IF(H1327="6)",J1327,IF(H1327="7)",J1327,IF(H1327="8)",J1327,0))))))))</f>
        <v/>
      </c>
    </row>
    <row r="1329">
      <c r="A1329" s="0" t="inlineStr">
        <is>
          <t>New</t>
        </is>
      </c>
      <c r="B1329" s="0" t="inlineStr">
        <is>
          <t>Item</t>
        </is>
      </c>
      <c r="C1329" s="0" t="inlineStr">
        <is>
          <t>Acquired</t>
        </is>
      </c>
      <c r="D1329" s="0" t="inlineStr">
        <is>
          <t>:</t>
        </is>
      </c>
      <c r="E1329" s="0" t="inlineStr">
        <is>
          <t>75.00K</t>
        </is>
      </c>
      <c r="F1329" s="0" t="inlineStr">
        <is>
          <t>(6,</t>
        </is>
      </c>
      <c r="G1329" s="0" t="inlineStr">
        <is>
          <t>24)</t>
        </is>
      </c>
      <c r="K1329" s="0">
        <f>IF(H1328="1)",1,IF(H1328="2)",2,IF(H1328="3)",3,IF(H1328="4)",4,IF(H1328="5)",5,IF(H1328="6)",6,IF(H1328="7)",7,IF(H1328="8)",8,0))))))))</f>
        <v/>
      </c>
      <c r="L1329" s="0">
        <f>IF(H1328="1)",J1328,IF(H1328="2)",J1328,IF(H1328="3)",J1328,IF(H1328="4)",J1328,IF(H1328="5)",J1328,IF(H1328="6)",J1328,IF(H1328="7)",J1328,IF(H1328="8)",J1328,0))))))))</f>
        <v/>
      </c>
    </row>
    <row r="1330">
      <c r="A1330" s="0" t="inlineStr">
        <is>
          <t>New</t>
        </is>
      </c>
      <c r="B1330" s="0" t="inlineStr">
        <is>
          <t>Item</t>
        </is>
      </c>
      <c r="C1330" s="0" t="inlineStr">
        <is>
          <t>Acquired</t>
        </is>
      </c>
      <c r="D1330" s="0" t="inlineStr">
        <is>
          <t>:</t>
        </is>
      </c>
      <c r="E1330" s="0" t="inlineStr">
        <is>
          <t>87.50K</t>
        </is>
      </c>
      <c r="F1330" s="0" t="inlineStr">
        <is>
          <t>(2,</t>
        </is>
      </c>
      <c r="G1330" s="0" t="inlineStr">
        <is>
          <t>6)</t>
        </is>
      </c>
      <c r="K1330" s="0">
        <f>IF(H1329="1)",1,IF(H1329="2)",2,IF(H1329="3)",3,IF(H1329="4)",4,IF(H1329="5)",5,IF(H1329="6)",6,IF(H1329="7)",7,IF(H1329="8)",8,0))))))))</f>
        <v/>
      </c>
      <c r="L1330" s="0">
        <f>IF(H1329="1)",J1329,IF(H1329="2)",J1329,IF(H1329="3)",J1329,IF(H1329="4)",J1329,IF(H1329="5)",J1329,IF(H1329="6)",J1329,IF(H1329="7)",J1329,IF(H1329="8)",J1329,0))))))))</f>
        <v/>
      </c>
    </row>
    <row r="1331">
      <c r="A1331" s="0" t="inlineStr">
        <is>
          <t>New</t>
        </is>
      </c>
      <c r="B1331" s="0" t="inlineStr">
        <is>
          <t>Item</t>
        </is>
      </c>
      <c r="C1331" s="0" t="inlineStr">
        <is>
          <t>Acquired</t>
        </is>
      </c>
      <c r="D1331" s="0" t="inlineStr">
        <is>
          <t>:</t>
        </is>
      </c>
      <c r="E1331" s="0" t="inlineStr">
        <is>
          <t>200.00K</t>
        </is>
      </c>
      <c r="F1331" s="0" t="inlineStr">
        <is>
          <t>(8,</t>
        </is>
      </c>
      <c r="G1331" s="0" t="inlineStr">
        <is>
          <t>11)</t>
        </is>
      </c>
      <c r="K1331" s="0">
        <f>IF(H1330="1)",1,IF(H1330="2)",2,IF(H1330="3)",3,IF(H1330="4)",4,IF(H1330="5)",5,IF(H1330="6)",6,IF(H1330="7)",7,IF(H1330="8)",8,0))))))))</f>
        <v/>
      </c>
      <c r="L1331" s="0">
        <f>IF(H1330="1)",J1330,IF(H1330="2)",J1330,IF(H1330="3)",J1330,IF(H1330="4)",J1330,IF(H1330="5)",J1330,IF(H1330="6)",J1330,IF(H1330="7)",J1330,IF(H1330="8)",J1330,0))))))))</f>
        <v/>
      </c>
    </row>
    <row r="1332">
      <c r="A1332" s="0" t="inlineStr">
        <is>
          <t>New</t>
        </is>
      </c>
      <c r="B1332" s="0" t="inlineStr">
        <is>
          <t>Item</t>
        </is>
      </c>
      <c r="C1332" s="0" t="inlineStr">
        <is>
          <t>Acquired</t>
        </is>
      </c>
      <c r="D1332" s="0" t="inlineStr">
        <is>
          <t>:</t>
        </is>
      </c>
      <c r="E1332" s="0" t="inlineStr">
        <is>
          <t>37.50K</t>
        </is>
      </c>
      <c r="F1332" s="0" t="inlineStr">
        <is>
          <t>(2,</t>
        </is>
      </c>
      <c r="G1332" s="0" t="inlineStr">
        <is>
          <t>9)</t>
        </is>
      </c>
      <c r="K1332" s="0">
        <f>IF(H1331="1)",1,IF(H1331="2)",2,IF(H1331="3)",3,IF(H1331="4)",4,IF(H1331="5)",5,IF(H1331="6)",6,IF(H1331="7)",7,IF(H1331="8)",8,0))))))))</f>
        <v/>
      </c>
      <c r="L1332" s="0">
        <f>IF(H1331="1)",J1331,IF(H1331="2)",J1331,IF(H1331="3)",J1331,IF(H1331="4)",J1331,IF(H1331="5)",J1331,IF(H1331="6)",J1331,IF(H1331="7)",J1331,IF(H1331="8)",J1331,0))))))))</f>
        <v/>
      </c>
    </row>
    <row r="1333">
      <c r="A1333" s="0" t="inlineStr">
        <is>
          <t>New</t>
        </is>
      </c>
      <c r="B1333" s="0" t="inlineStr">
        <is>
          <t>Item</t>
        </is>
      </c>
      <c r="C1333" s="0" t="inlineStr">
        <is>
          <t>Acquired</t>
        </is>
      </c>
      <c r="D1333" s="0" t="inlineStr">
        <is>
          <t>:</t>
        </is>
      </c>
      <c r="E1333" s="0" t="inlineStr">
        <is>
          <t>75.00K</t>
        </is>
      </c>
      <c r="F1333" s="0" t="inlineStr">
        <is>
          <t>(3,</t>
        </is>
      </c>
      <c r="G1333" s="0" t="inlineStr">
        <is>
          <t>2)</t>
        </is>
      </c>
      <c r="K1333" s="0">
        <f>IF(H1332="1)",1,IF(H1332="2)",2,IF(H1332="3)",3,IF(H1332="4)",4,IF(H1332="5)",5,IF(H1332="6)",6,IF(H1332="7)",7,IF(H1332="8)",8,0))))))))</f>
        <v/>
      </c>
      <c r="L1333" s="0">
        <f>IF(H1332="1)",J1332,IF(H1332="2)",J1332,IF(H1332="3)",J1332,IF(H1332="4)",J1332,IF(H1332="5)",J1332,IF(H1332="6)",J1332,IF(H1332="7)",J1332,IF(H1332="8)",J1332,0))))))))</f>
        <v/>
      </c>
    </row>
    <row r="1334">
      <c r="A1334" s="0" t="inlineStr">
        <is>
          <t>New</t>
        </is>
      </c>
      <c r="B1334" s="0" t="inlineStr">
        <is>
          <t>Item</t>
        </is>
      </c>
      <c r="C1334" s="0" t="inlineStr">
        <is>
          <t>Acquired</t>
        </is>
      </c>
      <c r="D1334" s="0" t="inlineStr">
        <is>
          <t>:</t>
        </is>
      </c>
      <c r="E1334" s="0" t="inlineStr">
        <is>
          <t>60.00K</t>
        </is>
      </c>
      <c r="F1334" s="0" t="inlineStr">
        <is>
          <t>(4,</t>
        </is>
      </c>
      <c r="G1334" s="0" t="inlineStr">
        <is>
          <t>23)</t>
        </is>
      </c>
      <c r="K1334" s="0">
        <f>IF(H1333="1)",1,IF(H1333="2)",2,IF(H1333="3)",3,IF(H1333="4)",4,IF(H1333="5)",5,IF(H1333="6)",6,IF(H1333="7)",7,IF(H1333="8)",8,0))))))))</f>
        <v/>
      </c>
      <c r="L1334" s="0">
        <f>IF(H1333="1)",J1333,IF(H1333="2)",J1333,IF(H1333="3)",J1333,IF(H1333="4)",J1333,IF(H1333="5)",J1333,IF(H1333="6)",J1333,IF(H1333="7)",J1333,IF(H1333="8)",J1333,0))))))))</f>
        <v/>
      </c>
    </row>
    <row r="1335">
      <c r="A1335" s="0" t="inlineStr">
        <is>
          <t>New</t>
        </is>
      </c>
      <c r="B1335" s="0" t="inlineStr">
        <is>
          <t>Item</t>
        </is>
      </c>
      <c r="C1335" s="0" t="inlineStr">
        <is>
          <t>Acquired</t>
        </is>
      </c>
      <c r="D1335" s="0" t="inlineStr">
        <is>
          <t>:</t>
        </is>
      </c>
      <c r="E1335" s="0" t="inlineStr">
        <is>
          <t>50.00K</t>
        </is>
      </c>
      <c r="F1335" s="0" t="inlineStr">
        <is>
          <t>(1,</t>
        </is>
      </c>
      <c r="G1335" s="0" t="inlineStr">
        <is>
          <t>1)</t>
        </is>
      </c>
      <c r="K1335" s="0">
        <f>IF(H1334="1)",1,IF(H1334="2)",2,IF(H1334="3)",3,IF(H1334="4)",4,IF(H1334="5)",5,IF(H1334="6)",6,IF(H1334="7)",7,IF(H1334="8)",8,0))))))))</f>
        <v/>
      </c>
      <c r="L1335" s="0">
        <f>IF(H1334="1)",J1334,IF(H1334="2)",J1334,IF(H1334="3)",J1334,IF(H1334="4)",J1334,IF(H1334="5)",J1334,IF(H1334="6)",J1334,IF(H1334="7)",J1334,IF(H1334="8)",J1334,0))))))))</f>
        <v/>
      </c>
    </row>
    <row r="1336">
      <c r="A1336" s="0" t="inlineStr">
        <is>
          <t>New</t>
        </is>
      </c>
      <c r="B1336" s="0" t="inlineStr">
        <is>
          <t>Item</t>
        </is>
      </c>
      <c r="C1336" s="0" t="inlineStr">
        <is>
          <t>Acquired</t>
        </is>
      </c>
      <c r="D1336" s="0" t="inlineStr">
        <is>
          <t>:</t>
        </is>
      </c>
      <c r="E1336" s="0" t="inlineStr">
        <is>
          <t>120.00K</t>
        </is>
      </c>
      <c r="F1336" s="0" t="inlineStr">
        <is>
          <t>(8,</t>
        </is>
      </c>
      <c r="G1336" s="0" t="inlineStr">
        <is>
          <t>12)</t>
        </is>
      </c>
      <c r="K1336" s="0">
        <f>IF(H1335="1)",1,IF(H1335="2)",2,IF(H1335="3)",3,IF(H1335="4)",4,IF(H1335="5)",5,IF(H1335="6)",6,IF(H1335="7)",7,IF(H1335="8)",8,0))))))))</f>
        <v/>
      </c>
      <c r="L1336" s="0">
        <f>IF(H1335="1)",J1335,IF(H1335="2)",J1335,IF(H1335="3)",J1335,IF(H1335="4)",J1335,IF(H1335="5)",J1335,IF(H1335="6)",J1335,IF(H1335="7)",J1335,IF(H1335="8)",J1335,0))))))))</f>
        <v/>
      </c>
    </row>
    <row r="1337">
      <c r="A1337" s="0" t="inlineStr">
        <is>
          <t>Line</t>
        </is>
      </c>
      <c r="B1337" s="0" t="inlineStr">
        <is>
          <t>Prize</t>
        </is>
      </c>
      <c r="C1337" s="0" t="inlineStr">
        <is>
          <t>Acquired</t>
        </is>
      </c>
      <c r="D1337" s="0" t="inlineStr">
        <is>
          <t>:</t>
        </is>
      </c>
      <c r="E1337" s="0" t="inlineStr">
        <is>
          <t>3.52M</t>
        </is>
      </c>
      <c r="F1337" s="0" t="inlineStr">
        <is>
          <t>(Stage</t>
        </is>
      </c>
      <c r="G1337" s="0" t="inlineStr">
        <is>
          <t>:</t>
        </is>
      </c>
      <c r="H1337" s="0" t="inlineStr">
        <is>
          <t>8)</t>
        </is>
      </c>
      <c r="I1337" s="0" t="inlineStr">
        <is>
          <t>-</t>
        </is>
      </c>
      <c r="J1337" s="0" t="n">
        <v>3520000</v>
      </c>
      <c r="K1337" s="0">
        <f>IF(H1336="1)",1,IF(H1336="2)",2,IF(H1336="3)",3,IF(H1336="4)",4,IF(H1336="5)",5,IF(H1336="6)",6,IF(H1336="7)",7,IF(H1336="8)",8,0))))))))</f>
        <v/>
      </c>
      <c r="L1337" s="0">
        <f>IF(H1336="1)",J1336,IF(H1336="2)",J1336,IF(H1336="3)",J1336,IF(H1336="4)",J1336,IF(H1336="5)",J1336,IF(H1336="6)",J1336,IF(H1336="7)",J1336,IF(H1336="8)",J1336,0))))))))</f>
        <v/>
      </c>
    </row>
    <row r="1338">
      <c r="A1338" s="0" t="inlineStr">
        <is>
          <t>Clear</t>
        </is>
      </c>
      <c r="B1338" s="0" t="inlineStr">
        <is>
          <t>Gem</t>
        </is>
      </c>
      <c r="C1338" s="0" t="inlineStr">
        <is>
          <t>Acquired</t>
        </is>
      </c>
      <c r="D1338" s="0" t="inlineStr">
        <is>
          <t>:</t>
        </is>
      </c>
      <c r="E1338" s="0" t="n">
        <v>8000</v>
      </c>
      <c r="F1338" s="0" t="inlineStr">
        <is>
          <t>-&gt;</t>
        </is>
      </c>
      <c r="G1338" s="0" t="n">
        <v>8100</v>
      </c>
      <c r="H1338" s="0" t="inlineStr">
        <is>
          <t>(Stage</t>
        </is>
      </c>
      <c r="I1338" s="0" t="inlineStr">
        <is>
          <t>:</t>
        </is>
      </c>
      <c r="J1338" s="0" t="inlineStr">
        <is>
          <t>8)</t>
        </is>
      </c>
      <c r="K1338" s="0">
        <f>IF(H1337="1)",1,IF(H1337="2)",2,IF(H1337="3)",3,IF(H1337="4)",4,IF(H1337="5)",5,IF(H1337="6)",6,IF(H1337="7)",7,IF(H1337="8)",8,0))))))))</f>
        <v/>
      </c>
      <c r="L1338" s="0">
        <f>IF(H1337="1)",J1337,IF(H1337="2)",J1337,IF(H1337="3)",J1337,IF(H1337="4)",J1337,IF(H1337="5)",J1337,IF(H1337="6)",J1337,IF(H1337="7)",J1337,IF(H1337="8)",J1337,0))))))))</f>
        <v/>
      </c>
    </row>
    <row r="1339">
      <c r="A1339" s="0" t="inlineStr">
        <is>
          <t>New</t>
        </is>
      </c>
      <c r="B1339" s="0" t="inlineStr">
        <is>
          <t>Item</t>
        </is>
      </c>
      <c r="C1339" s="0" t="inlineStr">
        <is>
          <t>Acquired</t>
        </is>
      </c>
      <c r="D1339" s="0" t="inlineStr">
        <is>
          <t>:</t>
        </is>
      </c>
      <c r="E1339" s="0" t="inlineStr">
        <is>
          <t>62.50K</t>
        </is>
      </c>
      <c r="F1339" s="0" t="inlineStr">
        <is>
          <t>(2,</t>
        </is>
      </c>
      <c r="G1339" s="0" t="inlineStr">
        <is>
          <t>22)</t>
        </is>
      </c>
      <c r="K1339" s="0">
        <f>IF(H1338="1)",1,IF(H1338="2)",2,IF(H1338="3)",3,IF(H1338="4)",4,IF(H1338="5)",5,IF(H1338="6)",6,IF(H1338="7)",7,IF(H1338="8)",8,0))))))))</f>
        <v/>
      </c>
      <c r="L1339" s="0">
        <f>IF(H1338="1)",J1338,IF(H1338="2)",J1338,IF(H1338="3)",J1338,IF(H1338="4)",J1338,IF(H1338="5)",J1338,IF(H1338="6)",J1338,IF(H1338="7)",J1338,IF(H1338="8)",J1338,0))))))))</f>
        <v/>
      </c>
    </row>
    <row r="1340">
      <c r="A1340" s="0" t="inlineStr">
        <is>
          <t>New</t>
        </is>
      </c>
      <c r="B1340" s="0" t="inlineStr">
        <is>
          <t>Item</t>
        </is>
      </c>
      <c r="C1340" s="0" t="inlineStr">
        <is>
          <t>Acquired</t>
        </is>
      </c>
      <c r="D1340" s="0" t="inlineStr">
        <is>
          <t>:</t>
        </is>
      </c>
      <c r="E1340" s="0" t="inlineStr">
        <is>
          <t>200.00K</t>
        </is>
      </c>
      <c r="F1340" s="0" t="inlineStr">
        <is>
          <t>(8,</t>
        </is>
      </c>
      <c r="G1340" s="0" t="inlineStr">
        <is>
          <t>18)</t>
        </is>
      </c>
      <c r="K1340" s="0">
        <f>IF(H1339="1)",1,IF(H1339="2)",2,IF(H1339="3)",3,IF(H1339="4)",4,IF(H1339="5)",5,IF(H1339="6)",6,IF(H1339="7)",7,IF(H1339="8)",8,0))))))))</f>
        <v/>
      </c>
      <c r="L1340" s="0">
        <f>IF(H1339="1)",J1339,IF(H1339="2)",J1339,IF(H1339="3)",J1339,IF(H1339="4)",J1339,IF(H1339="5)",J1339,IF(H1339="6)",J1339,IF(H1339="7)",J1339,IF(H1339="8)",J1339,0))))))))</f>
        <v/>
      </c>
    </row>
    <row r="1341">
      <c r="A1341" s="0" t="inlineStr">
        <is>
          <t>New</t>
        </is>
      </c>
      <c r="B1341" s="0" t="inlineStr">
        <is>
          <t>Item</t>
        </is>
      </c>
      <c r="C1341" s="0" t="inlineStr">
        <is>
          <t>Acquired</t>
        </is>
      </c>
      <c r="D1341" s="0" t="inlineStr">
        <is>
          <t>:</t>
        </is>
      </c>
      <c r="E1341" s="0" t="inlineStr">
        <is>
          <t>105.00K</t>
        </is>
      </c>
      <c r="F1341" s="0" t="inlineStr">
        <is>
          <t>(3,</t>
        </is>
      </c>
      <c r="G1341" s="0" t="inlineStr">
        <is>
          <t>19)</t>
        </is>
      </c>
      <c r="K1341" s="0">
        <f>IF(H1340="1)",1,IF(H1340="2)",2,IF(H1340="3)",3,IF(H1340="4)",4,IF(H1340="5)",5,IF(H1340="6)",6,IF(H1340="7)",7,IF(H1340="8)",8,0))))))))</f>
        <v/>
      </c>
      <c r="L1341" s="0">
        <f>IF(H1340="1)",J1340,IF(H1340="2)",J1340,IF(H1340="3)",J1340,IF(H1340="4)",J1340,IF(H1340="5)",J1340,IF(H1340="6)",J1340,IF(H1340="7)",J1340,IF(H1340="8)",J1340,0))))))))</f>
        <v/>
      </c>
    </row>
    <row r="1342">
      <c r="A1342" s="0" t="inlineStr">
        <is>
          <t>New</t>
        </is>
      </c>
      <c r="B1342" s="0" t="inlineStr">
        <is>
          <t>Item</t>
        </is>
      </c>
      <c r="C1342" s="0" t="inlineStr">
        <is>
          <t>Acquired</t>
        </is>
      </c>
      <c r="D1342" s="0" t="inlineStr">
        <is>
          <t>:</t>
        </is>
      </c>
      <c r="E1342" s="0" t="inlineStr">
        <is>
          <t>75.00K</t>
        </is>
      </c>
      <c r="F1342" s="0" t="inlineStr">
        <is>
          <t>(4,</t>
        </is>
      </c>
      <c r="G1342" s="0" t="inlineStr">
        <is>
          <t>10)</t>
        </is>
      </c>
      <c r="K1342" s="0">
        <f>IF(H1341="1)",1,IF(H1341="2)",2,IF(H1341="3)",3,IF(H1341="4)",4,IF(H1341="5)",5,IF(H1341="6)",6,IF(H1341="7)",7,IF(H1341="8)",8,0))))))))</f>
        <v/>
      </c>
      <c r="L1342" s="0">
        <f>IF(H1341="1)",J1341,IF(H1341="2)",J1341,IF(H1341="3)",J1341,IF(H1341="4)",J1341,IF(H1341="5)",J1341,IF(H1341="6)",J1341,IF(H1341="7)",J1341,IF(H1341="8)",J1341,0))))))))</f>
        <v/>
      </c>
    </row>
    <row r="1343">
      <c r="A1343" s="0" t="inlineStr">
        <is>
          <t>New</t>
        </is>
      </c>
      <c r="B1343" s="0" t="inlineStr">
        <is>
          <t>Item</t>
        </is>
      </c>
      <c r="C1343" s="0" t="inlineStr">
        <is>
          <t>Acquired</t>
        </is>
      </c>
      <c r="D1343" s="0" t="inlineStr">
        <is>
          <t>:</t>
        </is>
      </c>
      <c r="E1343" s="0" t="inlineStr">
        <is>
          <t>150.00K</t>
        </is>
      </c>
      <c r="F1343" s="0" t="inlineStr">
        <is>
          <t>(7,</t>
        </is>
      </c>
      <c r="G1343" s="0" t="inlineStr">
        <is>
          <t>2)</t>
        </is>
      </c>
      <c r="K1343" s="0">
        <f>IF(H1342="1)",1,IF(H1342="2)",2,IF(H1342="3)",3,IF(H1342="4)",4,IF(H1342="5)",5,IF(H1342="6)",6,IF(H1342="7)",7,IF(H1342="8)",8,0))))))))</f>
        <v/>
      </c>
      <c r="L1343" s="0">
        <f>IF(H1342="1)",J1342,IF(H1342="2)",J1342,IF(H1342="3)",J1342,IF(H1342="4)",J1342,IF(H1342="5)",J1342,IF(H1342="6)",J1342,IF(H1342="7)",J1342,IF(H1342="8)",J1342,0))))))))</f>
        <v/>
      </c>
    </row>
    <row r="1344">
      <c r="A1344" s="0" t="inlineStr">
        <is>
          <t>New</t>
        </is>
      </c>
      <c r="B1344" s="0" t="inlineStr">
        <is>
          <t>Item</t>
        </is>
      </c>
      <c r="C1344" s="0" t="inlineStr">
        <is>
          <t>Acquired</t>
        </is>
      </c>
      <c r="D1344" s="0" t="inlineStr">
        <is>
          <t>:</t>
        </is>
      </c>
      <c r="E1344" s="0" t="inlineStr">
        <is>
          <t>Mini</t>
        </is>
      </c>
      <c r="F1344" s="0" t="inlineStr">
        <is>
          <t>(6,</t>
        </is>
      </c>
      <c r="G1344" s="0" t="inlineStr">
        <is>
          <t>10)</t>
        </is>
      </c>
      <c r="K1344" s="0">
        <f>IF(H1343="1)",1,IF(H1343="2)",2,IF(H1343="3)",3,IF(H1343="4)",4,IF(H1343="5)",5,IF(H1343="6)",6,IF(H1343="7)",7,IF(H1343="8)",8,0))))))))</f>
        <v/>
      </c>
      <c r="L1344" s="0">
        <f>IF(H1343="1)",J1343,IF(H1343="2)",J1343,IF(H1343="3)",J1343,IF(H1343="4)",J1343,IF(H1343="5)",J1343,IF(H1343="6)",J1343,IF(H1343="7)",J1343,IF(H1343="8)",J1343,0))))))))</f>
        <v/>
      </c>
    </row>
    <row r="1345">
      <c r="A1345" s="0" t="inlineStr">
        <is>
          <t>New</t>
        </is>
      </c>
      <c r="B1345" s="0" t="inlineStr">
        <is>
          <t>Item</t>
        </is>
      </c>
      <c r="C1345" s="0" t="inlineStr">
        <is>
          <t>Acquired</t>
        </is>
      </c>
      <c r="D1345" s="0" t="inlineStr">
        <is>
          <t>:</t>
        </is>
      </c>
      <c r="E1345" s="0" t="inlineStr">
        <is>
          <t>30.00K</t>
        </is>
      </c>
      <c r="F1345" s="0" t="inlineStr">
        <is>
          <t>(1,</t>
        </is>
      </c>
      <c r="G1345" s="0" t="inlineStr">
        <is>
          <t>9)</t>
        </is>
      </c>
      <c r="K1345" s="0">
        <f>IF(H1344="1)",1,IF(H1344="2)",2,IF(H1344="3)",3,IF(H1344="4)",4,IF(H1344="5)",5,IF(H1344="6)",6,IF(H1344="7)",7,IF(H1344="8)",8,0))))))))</f>
        <v/>
      </c>
      <c r="L1345" s="0">
        <f>IF(H1344="1)",J1344,IF(H1344="2)",J1344,IF(H1344="3)",J1344,IF(H1344="4)",J1344,IF(H1344="5)",J1344,IF(H1344="6)",J1344,IF(H1344="7)",J1344,IF(H1344="8)",J1344,0))))))))</f>
        <v/>
      </c>
    </row>
    <row r="1346">
      <c r="A1346" s="0" t="inlineStr">
        <is>
          <t>Line</t>
        </is>
      </c>
      <c r="B1346" s="0" t="inlineStr">
        <is>
          <t>Prize</t>
        </is>
      </c>
      <c r="C1346" s="0" t="inlineStr">
        <is>
          <t>Acquired</t>
        </is>
      </c>
      <c r="D1346" s="0" t="inlineStr">
        <is>
          <t>:</t>
        </is>
      </c>
      <c r="E1346" s="0" t="inlineStr">
        <is>
          <t>270.00K</t>
        </is>
      </c>
      <c r="F1346" s="0" t="inlineStr">
        <is>
          <t>(Stage</t>
        </is>
      </c>
      <c r="G1346" s="0" t="inlineStr">
        <is>
          <t>:</t>
        </is>
      </c>
      <c r="H1346" s="0" t="inlineStr">
        <is>
          <t>1)</t>
        </is>
      </c>
      <c r="I1346" s="0" t="inlineStr">
        <is>
          <t>-</t>
        </is>
      </c>
      <c r="J1346" s="0" t="n">
        <v>270000</v>
      </c>
      <c r="K1346" s="0">
        <f>IF(H1345="1)",1,IF(H1345="2)",2,IF(H1345="3)",3,IF(H1345="4)",4,IF(H1345="5)",5,IF(H1345="6)",6,IF(H1345="7)",7,IF(H1345="8)",8,0))))))))</f>
        <v/>
      </c>
      <c r="L1346" s="0">
        <f>IF(H1345="1)",J1345,IF(H1345="2)",J1345,IF(H1345="3)",J1345,IF(H1345="4)",J1345,IF(H1345="5)",J1345,IF(H1345="6)",J1345,IF(H1345="7)",J1345,IF(H1345="8)",J1345,0))))))))</f>
        <v/>
      </c>
    </row>
    <row r="1347">
      <c r="A1347" s="0" t="inlineStr">
        <is>
          <t>Clear</t>
        </is>
      </c>
      <c r="B1347" s="0" t="inlineStr">
        <is>
          <t>Gem</t>
        </is>
      </c>
      <c r="C1347" s="0" t="inlineStr">
        <is>
          <t>Acquired</t>
        </is>
      </c>
      <c r="D1347" s="0" t="inlineStr">
        <is>
          <t>:</t>
        </is>
      </c>
      <c r="E1347" s="0" t="n">
        <v>8100</v>
      </c>
      <c r="F1347" s="0" t="inlineStr">
        <is>
          <t>-&gt;</t>
        </is>
      </c>
      <c r="G1347" s="0" t="n">
        <v>8200</v>
      </c>
      <c r="H1347" s="0" t="inlineStr">
        <is>
          <t>(Stage</t>
        </is>
      </c>
      <c r="I1347" s="0" t="inlineStr">
        <is>
          <t>:</t>
        </is>
      </c>
      <c r="J1347" s="0" t="inlineStr">
        <is>
          <t>1)</t>
        </is>
      </c>
      <c r="K1347" s="0">
        <f>IF(H1346="1)",1,IF(H1346="2)",2,IF(H1346="3)",3,IF(H1346="4)",4,IF(H1346="5)",5,IF(H1346="6)",6,IF(H1346="7)",7,IF(H1346="8)",8,0))))))))</f>
        <v/>
      </c>
      <c r="L1347" s="0">
        <f>IF(H1346="1)",J1346,IF(H1346="2)",J1346,IF(H1346="3)",J1346,IF(H1346="4)",J1346,IF(H1346="5)",J1346,IF(H1346="6)",J1346,IF(H1346="7)",J1346,IF(H1346="8)",J1346,0))))))))</f>
        <v/>
      </c>
    </row>
    <row r="1348">
      <c r="A1348" s="0" t="inlineStr">
        <is>
          <t>New</t>
        </is>
      </c>
      <c r="B1348" s="0" t="inlineStr">
        <is>
          <t>Item</t>
        </is>
      </c>
      <c r="C1348" s="0" t="inlineStr">
        <is>
          <t>Acquired</t>
        </is>
      </c>
      <c r="D1348" s="0" t="inlineStr">
        <is>
          <t>:</t>
        </is>
      </c>
      <c r="E1348" s="0" t="inlineStr">
        <is>
          <t>50.00K</t>
        </is>
      </c>
      <c r="F1348" s="0" t="inlineStr">
        <is>
          <t>(1,</t>
        </is>
      </c>
      <c r="G1348" s="0" t="inlineStr">
        <is>
          <t>23)</t>
        </is>
      </c>
      <c r="K1348" s="0">
        <f>IF(H1347="1)",1,IF(H1347="2)",2,IF(H1347="3)",3,IF(H1347="4)",4,IF(H1347="5)",5,IF(H1347="6)",6,IF(H1347="7)",7,IF(H1347="8)",8,0))))))))</f>
        <v/>
      </c>
      <c r="L1348" s="0">
        <f>IF(H1347="1)",J1347,IF(H1347="2)",J1347,IF(H1347="3)",J1347,IF(H1347="4)",J1347,IF(H1347="5)",J1347,IF(H1347="6)",J1347,IF(H1347="7)",J1347,IF(H1347="8)",J1347,0))))))))</f>
        <v/>
      </c>
    </row>
    <row r="1349">
      <c r="A1349" s="0" t="inlineStr">
        <is>
          <t>New</t>
        </is>
      </c>
      <c r="B1349" s="0" t="inlineStr">
        <is>
          <t>Item</t>
        </is>
      </c>
      <c r="C1349" s="0" t="inlineStr">
        <is>
          <t>Acquired</t>
        </is>
      </c>
      <c r="D1349" s="0" t="inlineStr">
        <is>
          <t>:</t>
        </is>
      </c>
      <c r="E1349" s="0" t="inlineStr">
        <is>
          <t>67.50K</t>
        </is>
      </c>
      <c r="F1349" s="0" t="inlineStr">
        <is>
          <t>(5,</t>
        </is>
      </c>
      <c r="G1349" s="0" t="inlineStr">
        <is>
          <t>4)</t>
        </is>
      </c>
      <c r="K1349" s="0">
        <f>IF(H1348="1)",1,IF(H1348="2)",2,IF(H1348="3)",3,IF(H1348="4)",4,IF(H1348="5)",5,IF(H1348="6)",6,IF(H1348="7)",7,IF(H1348="8)",8,0))))))))</f>
        <v/>
      </c>
      <c r="L1349" s="0">
        <f>IF(H1348="1)",J1348,IF(H1348="2)",J1348,IF(H1348="3)",J1348,IF(H1348="4)",J1348,IF(H1348="5)",J1348,IF(H1348="6)",J1348,IF(H1348="7)",J1348,IF(H1348="8)",J1348,0))))))))</f>
        <v/>
      </c>
    </row>
    <row r="1350">
      <c r="A1350" s="0" t="inlineStr">
        <is>
          <t>New</t>
        </is>
      </c>
      <c r="B1350" s="0" t="inlineStr">
        <is>
          <t>Item</t>
        </is>
      </c>
      <c r="C1350" s="0" t="inlineStr">
        <is>
          <t>Acquired</t>
        </is>
      </c>
      <c r="D1350" s="0" t="inlineStr">
        <is>
          <t>:</t>
        </is>
      </c>
      <c r="E1350" s="0" t="inlineStr">
        <is>
          <t>90.00K</t>
        </is>
      </c>
      <c r="F1350" s="0" t="inlineStr">
        <is>
          <t>(7,</t>
        </is>
      </c>
      <c r="G1350" s="0" t="inlineStr">
        <is>
          <t>18)</t>
        </is>
      </c>
      <c r="K1350" s="0">
        <f>IF(H1349="1)",1,IF(H1349="2)",2,IF(H1349="3)",3,IF(H1349="4)",4,IF(H1349="5)",5,IF(H1349="6)",6,IF(H1349="7)",7,IF(H1349="8)",8,0))))))))</f>
        <v/>
      </c>
      <c r="L1350" s="0">
        <f>IF(H1349="1)",J1349,IF(H1349="2)",J1349,IF(H1349="3)",J1349,IF(H1349="4)",J1349,IF(H1349="5)",J1349,IF(H1349="6)",J1349,IF(H1349="7)",J1349,IF(H1349="8)",J1349,0))))))))</f>
        <v/>
      </c>
    </row>
    <row r="1351">
      <c r="A1351" s="0" t="inlineStr">
        <is>
          <t>New</t>
        </is>
      </c>
      <c r="B1351" s="0" t="inlineStr">
        <is>
          <t>Item</t>
        </is>
      </c>
      <c r="C1351" s="0" t="inlineStr">
        <is>
          <t>Acquired</t>
        </is>
      </c>
      <c r="D1351" s="0" t="inlineStr">
        <is>
          <t>:</t>
        </is>
      </c>
      <c r="E1351" s="0" t="inlineStr">
        <is>
          <t>30.00K</t>
        </is>
      </c>
      <c r="F1351" s="0" t="inlineStr">
        <is>
          <t>(1,</t>
        </is>
      </c>
      <c r="G1351" s="0" t="inlineStr">
        <is>
          <t>12)</t>
        </is>
      </c>
      <c r="K1351" s="0">
        <f>IF(H1350="1)",1,IF(H1350="2)",2,IF(H1350="3)",3,IF(H1350="4)",4,IF(H1350="5)",5,IF(H1350="6)",6,IF(H1350="7)",7,IF(H1350="8)",8,0))))))))</f>
        <v/>
      </c>
      <c r="L1351" s="0">
        <f>IF(H1350="1)",J1350,IF(H1350="2)",J1350,IF(H1350="3)",J1350,IF(H1350="4)",J1350,IF(H1350="5)",J1350,IF(H1350="6)",J1350,IF(H1350="7)",J1350,IF(H1350="8)",J1350,0))))))))</f>
        <v/>
      </c>
    </row>
    <row r="1352">
      <c r="A1352" s="0" t="inlineStr">
        <is>
          <t>New</t>
        </is>
      </c>
      <c r="B1352" s="0" t="inlineStr">
        <is>
          <t>Item</t>
        </is>
      </c>
      <c r="C1352" s="0" t="inlineStr">
        <is>
          <t>Acquired</t>
        </is>
      </c>
      <c r="D1352" s="0" t="inlineStr">
        <is>
          <t>:</t>
        </is>
      </c>
      <c r="E1352" s="0" t="inlineStr">
        <is>
          <t>120.00K</t>
        </is>
      </c>
      <c r="F1352" s="0" t="inlineStr">
        <is>
          <t>(8,</t>
        </is>
      </c>
      <c r="G1352" s="0" t="inlineStr">
        <is>
          <t>8)</t>
        </is>
      </c>
      <c r="K1352" s="0">
        <f>IF(H1351="1)",1,IF(H1351="2)",2,IF(H1351="3)",3,IF(H1351="4)",4,IF(H1351="5)",5,IF(H1351="6)",6,IF(H1351="7)",7,IF(H1351="8)",8,0))))))))</f>
        <v/>
      </c>
      <c r="L1352" s="0">
        <f>IF(H1351="1)",J1351,IF(H1351="2)",J1351,IF(H1351="3)",J1351,IF(H1351="4)",J1351,IF(H1351="5)",J1351,IF(H1351="6)",J1351,IF(H1351="7)",J1351,IF(H1351="8)",J1351,0))))))))</f>
        <v/>
      </c>
    </row>
    <row r="1353">
      <c r="A1353" s="0" t="inlineStr">
        <is>
          <t>New</t>
        </is>
      </c>
      <c r="B1353" s="0" t="inlineStr">
        <is>
          <t>Item</t>
        </is>
      </c>
      <c r="C1353" s="0" t="inlineStr">
        <is>
          <t>Acquired</t>
        </is>
      </c>
      <c r="D1353" s="0" t="inlineStr">
        <is>
          <t>:</t>
        </is>
      </c>
      <c r="E1353" s="0" t="inlineStr">
        <is>
          <t>75.00K</t>
        </is>
      </c>
      <c r="F1353" s="0" t="inlineStr">
        <is>
          <t>(6,</t>
        </is>
      </c>
      <c r="G1353" s="0" t="inlineStr">
        <is>
          <t>16)</t>
        </is>
      </c>
      <c r="K1353" s="0">
        <f>IF(H1352="1)",1,IF(H1352="2)",2,IF(H1352="3)",3,IF(H1352="4)",4,IF(H1352="5)",5,IF(H1352="6)",6,IF(H1352="7)",7,IF(H1352="8)",8,0))))))))</f>
        <v/>
      </c>
      <c r="L1353" s="0">
        <f>IF(H1352="1)",J1352,IF(H1352="2)",J1352,IF(H1352="3)",J1352,IF(H1352="4)",J1352,IF(H1352="5)",J1352,IF(H1352="6)",J1352,IF(H1352="7)",J1352,IF(H1352="8)",J1352,0))))))))</f>
        <v/>
      </c>
    </row>
    <row r="1354">
      <c r="A1354" s="0" t="inlineStr">
        <is>
          <t>New</t>
        </is>
      </c>
      <c r="B1354" s="0" t="inlineStr">
        <is>
          <t>Item</t>
        </is>
      </c>
      <c r="C1354" s="0" t="inlineStr">
        <is>
          <t>Acquired</t>
        </is>
      </c>
      <c r="D1354" s="0" t="inlineStr">
        <is>
          <t>:</t>
        </is>
      </c>
      <c r="E1354" s="0" t="inlineStr">
        <is>
          <t>210.00K</t>
        </is>
      </c>
      <c r="F1354" s="0" t="inlineStr">
        <is>
          <t>(7,</t>
        </is>
      </c>
      <c r="G1354" s="0" t="inlineStr">
        <is>
          <t>23)</t>
        </is>
      </c>
      <c r="K1354" s="0">
        <f>IF(H1353="1)",1,IF(H1353="2)",2,IF(H1353="3)",3,IF(H1353="4)",4,IF(H1353="5)",5,IF(H1353="6)",6,IF(H1353="7)",7,IF(H1353="8)",8,0))))))))</f>
        <v/>
      </c>
      <c r="L1354" s="0">
        <f>IF(H1353="1)",J1353,IF(H1353="2)",J1353,IF(H1353="3)",J1353,IF(H1353="4)",J1353,IF(H1353="5)",J1353,IF(H1353="6)",J1353,IF(H1353="7)",J1353,IF(H1353="8)",J1353,0))))))))</f>
        <v/>
      </c>
    </row>
    <row r="1355">
      <c r="A1355" s="0" t="inlineStr">
        <is>
          <t>New</t>
        </is>
      </c>
      <c r="B1355" s="0" t="inlineStr">
        <is>
          <t>Item</t>
        </is>
      </c>
      <c r="C1355" s="0" t="inlineStr">
        <is>
          <t>Acquired</t>
        </is>
      </c>
      <c r="D1355" s="0" t="inlineStr">
        <is>
          <t>:</t>
        </is>
      </c>
      <c r="E1355" s="0" t="inlineStr">
        <is>
          <t>150.00K</t>
        </is>
      </c>
      <c r="F1355" s="0" t="inlineStr">
        <is>
          <t>(7,</t>
        </is>
      </c>
      <c r="G1355" s="0" t="inlineStr">
        <is>
          <t>12)</t>
        </is>
      </c>
      <c r="K1355" s="0">
        <f>IF(H1354="1)",1,IF(H1354="2)",2,IF(H1354="3)",3,IF(H1354="4)",4,IF(H1354="5)",5,IF(H1354="6)",6,IF(H1354="7)",7,IF(H1354="8)",8,0))))))))</f>
        <v/>
      </c>
      <c r="L1355" s="0">
        <f>IF(H1354="1)",J1354,IF(H1354="2)",J1354,IF(H1354="3)",J1354,IF(H1354="4)",J1354,IF(H1354="5)",J1354,IF(H1354="6)",J1354,IF(H1354="7)",J1354,IF(H1354="8)",J1354,0))))))))</f>
        <v/>
      </c>
    </row>
    <row r="1356">
      <c r="A1356" s="0" t="inlineStr">
        <is>
          <t>New</t>
        </is>
      </c>
      <c r="B1356" s="0" t="inlineStr">
        <is>
          <t>Item</t>
        </is>
      </c>
      <c r="C1356" s="0" t="inlineStr">
        <is>
          <t>Acquired</t>
        </is>
      </c>
      <c r="D1356" s="0" t="inlineStr">
        <is>
          <t>:</t>
        </is>
      </c>
      <c r="E1356" s="0" t="inlineStr">
        <is>
          <t>37.50K</t>
        </is>
      </c>
      <c r="F1356" s="0" t="inlineStr">
        <is>
          <t>(2,</t>
        </is>
      </c>
      <c r="G1356" s="0" t="inlineStr">
        <is>
          <t>4)</t>
        </is>
      </c>
      <c r="K1356" s="0">
        <f>IF(H1355="1)",1,IF(H1355="2)",2,IF(H1355="3)",3,IF(H1355="4)",4,IF(H1355="5)",5,IF(H1355="6)",6,IF(H1355="7)",7,IF(H1355="8)",8,0))))))))</f>
        <v/>
      </c>
      <c r="L1356" s="0">
        <f>IF(H1355="1)",J1355,IF(H1355="2)",J1355,IF(H1355="3)",J1355,IF(H1355="4)",J1355,IF(H1355="5)",J1355,IF(H1355="6)",J1355,IF(H1355="7)",J1355,IF(H1355="8)",J1355,0))))))))</f>
        <v/>
      </c>
    </row>
    <row r="1357">
      <c r="A1357" s="0" t="inlineStr">
        <is>
          <t>New</t>
        </is>
      </c>
      <c r="B1357" s="0" t="inlineStr">
        <is>
          <t>Item</t>
        </is>
      </c>
      <c r="C1357" s="0" t="inlineStr">
        <is>
          <t>Acquired</t>
        </is>
      </c>
      <c r="D1357" s="0" t="inlineStr">
        <is>
          <t>:</t>
        </is>
      </c>
      <c r="E1357" s="0" t="inlineStr">
        <is>
          <t>37.50K</t>
        </is>
      </c>
      <c r="F1357" s="0" t="inlineStr">
        <is>
          <t>(2,</t>
        </is>
      </c>
      <c r="G1357" s="0" t="inlineStr">
        <is>
          <t>23)</t>
        </is>
      </c>
      <c r="K1357" s="0">
        <f>IF(H1356="1)",1,IF(H1356="2)",2,IF(H1356="3)",3,IF(H1356="4)",4,IF(H1356="5)",5,IF(H1356="6)",6,IF(H1356="7)",7,IF(H1356="8)",8,0))))))))</f>
        <v/>
      </c>
      <c r="L1357" s="0">
        <f>IF(H1356="1)",J1356,IF(H1356="2)",J1356,IF(H1356="3)",J1356,IF(H1356="4)",J1356,IF(H1356="5)",J1356,IF(H1356="6)",J1356,IF(H1356="7)",J1356,IF(H1356="8)",J1356,0))))))))</f>
        <v/>
      </c>
    </row>
    <row r="1358">
      <c r="A1358" s="0" t="inlineStr">
        <is>
          <t>New</t>
        </is>
      </c>
      <c r="B1358" s="0" t="inlineStr">
        <is>
          <t>Item</t>
        </is>
      </c>
      <c r="C1358" s="0" t="inlineStr">
        <is>
          <t>Acquired</t>
        </is>
      </c>
      <c r="D1358" s="0" t="inlineStr">
        <is>
          <t>:</t>
        </is>
      </c>
      <c r="E1358" s="0" t="inlineStr">
        <is>
          <t>120.00K</t>
        </is>
      </c>
      <c r="F1358" s="0" t="inlineStr">
        <is>
          <t>(8,</t>
        </is>
      </c>
      <c r="G1358" s="0" t="inlineStr">
        <is>
          <t>1)</t>
        </is>
      </c>
      <c r="K1358" s="0">
        <f>IF(H1357="1)",1,IF(H1357="2)",2,IF(H1357="3)",3,IF(H1357="4)",4,IF(H1357="5)",5,IF(H1357="6)",6,IF(H1357="7)",7,IF(H1357="8)",8,0))))))))</f>
        <v/>
      </c>
      <c r="L1358" s="0">
        <f>IF(H1357="1)",J1357,IF(H1357="2)",J1357,IF(H1357="3)",J1357,IF(H1357="4)",J1357,IF(H1357="5)",J1357,IF(H1357="6)",J1357,IF(H1357="7)",J1357,IF(H1357="8)",J1357,0))))))))</f>
        <v/>
      </c>
    </row>
    <row r="1359">
      <c r="A1359" s="0" t="inlineStr">
        <is>
          <t>New</t>
        </is>
      </c>
      <c r="B1359" s="0" t="inlineStr">
        <is>
          <t>Item</t>
        </is>
      </c>
      <c r="C1359" s="0" t="inlineStr">
        <is>
          <t>Acquired</t>
        </is>
      </c>
      <c r="D1359" s="0" t="inlineStr">
        <is>
          <t>:</t>
        </is>
      </c>
      <c r="E1359" s="0" t="inlineStr">
        <is>
          <t>Minor</t>
        </is>
      </c>
      <c r="F1359" s="0" t="inlineStr">
        <is>
          <t>(7,</t>
        </is>
      </c>
      <c r="G1359" s="0" t="inlineStr">
        <is>
          <t>20)</t>
        </is>
      </c>
      <c r="K1359" s="0">
        <f>IF(H1358="1)",1,IF(H1358="2)",2,IF(H1358="3)",3,IF(H1358="4)",4,IF(H1358="5)",5,IF(H1358="6)",6,IF(H1358="7)",7,IF(H1358="8)",8,0))))))))</f>
        <v/>
      </c>
      <c r="L1359" s="0">
        <f>IF(H1358="1)",J1358,IF(H1358="2)",J1358,IF(H1358="3)",J1358,IF(H1358="4)",J1358,IF(H1358="5)",J1358,IF(H1358="6)",J1358,IF(H1358="7)",J1358,IF(H1358="8)",J1358,0))))))))</f>
        <v/>
      </c>
    </row>
    <row r="1360">
      <c r="A1360" s="0" t="inlineStr">
        <is>
          <t>New</t>
        </is>
      </c>
      <c r="B1360" s="0" t="inlineStr">
        <is>
          <t>Item</t>
        </is>
      </c>
      <c r="C1360" s="0" t="inlineStr">
        <is>
          <t>Acquired</t>
        </is>
      </c>
      <c r="D1360" s="0" t="inlineStr">
        <is>
          <t>:</t>
        </is>
      </c>
      <c r="E1360" s="0" t="inlineStr">
        <is>
          <t>75.00K</t>
        </is>
      </c>
      <c r="F1360" s="0" t="inlineStr">
        <is>
          <t>(3,</t>
        </is>
      </c>
      <c r="G1360" s="0" t="inlineStr">
        <is>
          <t>25)</t>
        </is>
      </c>
      <c r="K1360" s="0">
        <f>IF(H1359="1)",1,IF(H1359="2)",2,IF(H1359="3)",3,IF(H1359="4)",4,IF(H1359="5)",5,IF(H1359="6)",6,IF(H1359="7)",7,IF(H1359="8)",8,0))))))))</f>
        <v/>
      </c>
      <c r="L1360" s="0">
        <f>IF(H1359="1)",J1359,IF(H1359="2)",J1359,IF(H1359="3)",J1359,IF(H1359="4)",J1359,IF(H1359="5)",J1359,IF(H1359="6)",J1359,IF(H1359="7)",J1359,IF(H1359="8)",J1359,0))))))))</f>
        <v/>
      </c>
    </row>
    <row r="1361">
      <c r="A1361" s="0" t="inlineStr">
        <is>
          <t>New</t>
        </is>
      </c>
      <c r="B1361" s="0" t="inlineStr">
        <is>
          <t>Item</t>
        </is>
      </c>
      <c r="C1361" s="0" t="inlineStr">
        <is>
          <t>Acquired</t>
        </is>
      </c>
      <c r="D1361" s="0" t="inlineStr">
        <is>
          <t>:</t>
        </is>
      </c>
      <c r="E1361" s="0" t="inlineStr">
        <is>
          <t>105.00K</t>
        </is>
      </c>
      <c r="F1361" s="0" t="inlineStr">
        <is>
          <t>(4,</t>
        </is>
      </c>
      <c r="G1361" s="0" t="inlineStr">
        <is>
          <t>22)</t>
        </is>
      </c>
      <c r="K1361" s="0">
        <f>IF(H1360="1)",1,IF(H1360="2)",2,IF(H1360="3)",3,IF(H1360="4)",4,IF(H1360="5)",5,IF(H1360="6)",6,IF(H1360="7)",7,IF(H1360="8)",8,0))))))))</f>
        <v/>
      </c>
      <c r="L1361" s="0">
        <f>IF(H1360="1)",J1360,IF(H1360="2)",J1360,IF(H1360="3)",J1360,IF(H1360="4)",J1360,IF(H1360="5)",J1360,IF(H1360="6)",J1360,IF(H1360="7)",J1360,IF(H1360="8)",J1360,0))))))))</f>
        <v/>
      </c>
    </row>
    <row r="1362">
      <c r="A1362" s="0" t="inlineStr">
        <is>
          <t>New</t>
        </is>
      </c>
      <c r="B1362" s="0" t="inlineStr">
        <is>
          <t>Item</t>
        </is>
      </c>
      <c r="C1362" s="0" t="inlineStr">
        <is>
          <t>Acquired</t>
        </is>
      </c>
      <c r="D1362" s="0" t="inlineStr">
        <is>
          <t>:</t>
        </is>
      </c>
      <c r="E1362" s="0" t="inlineStr">
        <is>
          <t>125.00K</t>
        </is>
      </c>
      <c r="F1362" s="0" t="inlineStr">
        <is>
          <t>(6,</t>
        </is>
      </c>
      <c r="G1362" s="0" t="inlineStr">
        <is>
          <t>3)</t>
        </is>
      </c>
      <c r="K1362" s="0">
        <f>IF(H1361="1)",1,IF(H1361="2)",2,IF(H1361="3)",3,IF(H1361="4)",4,IF(H1361="5)",5,IF(H1361="6)",6,IF(H1361="7)",7,IF(H1361="8)",8,0))))))))</f>
        <v/>
      </c>
      <c r="L1362" s="0">
        <f>IF(H1361="1)",J1361,IF(H1361="2)",J1361,IF(H1361="3)",J1361,IF(H1361="4)",J1361,IF(H1361="5)",J1361,IF(H1361="6)",J1361,IF(H1361="7)",J1361,IF(H1361="8)",J1361,0))))))))</f>
        <v/>
      </c>
    </row>
    <row r="1363">
      <c r="A1363" s="0" t="inlineStr">
        <is>
          <t>New</t>
        </is>
      </c>
      <c r="B1363" s="0" t="inlineStr">
        <is>
          <t>Item</t>
        </is>
      </c>
      <c r="C1363" s="0" t="inlineStr">
        <is>
          <t>Acquired</t>
        </is>
      </c>
      <c r="D1363" s="0" t="inlineStr">
        <is>
          <t>:</t>
        </is>
      </c>
      <c r="E1363" s="0" t="inlineStr">
        <is>
          <t>150.00K</t>
        </is>
      </c>
      <c r="F1363" s="0" t="inlineStr">
        <is>
          <t>(7,</t>
        </is>
      </c>
      <c r="G1363" s="0" t="inlineStr">
        <is>
          <t>1)</t>
        </is>
      </c>
      <c r="K1363" s="0">
        <f>IF(H1362="1)",1,IF(H1362="2)",2,IF(H1362="3)",3,IF(H1362="4)",4,IF(H1362="5)",5,IF(H1362="6)",6,IF(H1362="7)",7,IF(H1362="8)",8,0))))))))</f>
        <v/>
      </c>
      <c r="L1363" s="0">
        <f>IF(H1362="1)",J1362,IF(H1362="2)",J1362,IF(H1362="3)",J1362,IF(H1362="4)",J1362,IF(H1362="5)",J1362,IF(H1362="6)",J1362,IF(H1362="7)",J1362,IF(H1362="8)",J1362,0))))))))</f>
        <v/>
      </c>
    </row>
    <row r="1364">
      <c r="A1364" s="0" t="inlineStr">
        <is>
          <t>New</t>
        </is>
      </c>
      <c r="B1364" s="0" t="inlineStr">
        <is>
          <t>Item</t>
        </is>
      </c>
      <c r="C1364" s="0" t="inlineStr">
        <is>
          <t>Acquired</t>
        </is>
      </c>
      <c r="D1364" s="0" t="inlineStr">
        <is>
          <t>:</t>
        </is>
      </c>
      <c r="E1364" s="0" t="inlineStr">
        <is>
          <t>30.00K</t>
        </is>
      </c>
      <c r="F1364" s="0" t="inlineStr">
        <is>
          <t>(1,</t>
        </is>
      </c>
      <c r="G1364" s="0" t="inlineStr">
        <is>
          <t>22)</t>
        </is>
      </c>
      <c r="K1364" s="0">
        <f>IF(H1363="1)",1,IF(H1363="2)",2,IF(H1363="3)",3,IF(H1363="4)",4,IF(H1363="5)",5,IF(H1363="6)",6,IF(H1363="7)",7,IF(H1363="8)",8,0))))))))</f>
        <v/>
      </c>
      <c r="L1364" s="0">
        <f>IF(H1363="1)",J1363,IF(H1363="2)",J1363,IF(H1363="3)",J1363,IF(H1363="4)",J1363,IF(H1363="5)",J1363,IF(H1363="6)",J1363,IF(H1363="7)",J1363,IF(H1363="8)",J1363,0))))))))</f>
        <v/>
      </c>
    </row>
    <row r="1365">
      <c r="A1365" s="0" t="inlineStr">
        <is>
          <t>New</t>
        </is>
      </c>
      <c r="B1365" s="0" t="inlineStr">
        <is>
          <t>Item</t>
        </is>
      </c>
      <c r="C1365" s="0" t="inlineStr">
        <is>
          <t>Acquired</t>
        </is>
      </c>
      <c r="D1365" s="0" t="inlineStr">
        <is>
          <t>:</t>
        </is>
      </c>
      <c r="E1365" s="0" t="inlineStr">
        <is>
          <t>37.50K</t>
        </is>
      </c>
      <c r="F1365" s="0" t="inlineStr">
        <is>
          <t>(2,</t>
        </is>
      </c>
      <c r="G1365" s="0" t="inlineStr">
        <is>
          <t>25)</t>
        </is>
      </c>
      <c r="K1365" s="0">
        <f>IF(H1364="1)",1,IF(H1364="2)",2,IF(H1364="3)",3,IF(H1364="4)",4,IF(H1364="5)",5,IF(H1364="6)",6,IF(H1364="7)",7,IF(H1364="8)",8,0))))))))</f>
        <v/>
      </c>
      <c r="L1365" s="0">
        <f>IF(H1364="1)",J1364,IF(H1364="2)",J1364,IF(H1364="3)",J1364,IF(H1364="4)",J1364,IF(H1364="5)",J1364,IF(H1364="6)",J1364,IF(H1364="7)",J1364,IF(H1364="8)",J1364,0))))))))</f>
        <v/>
      </c>
    </row>
    <row r="1366">
      <c r="A1366" s="0" t="inlineStr">
        <is>
          <t>New</t>
        </is>
      </c>
      <c r="B1366" s="0" t="inlineStr">
        <is>
          <t>Item</t>
        </is>
      </c>
      <c r="C1366" s="0" t="inlineStr">
        <is>
          <t>Acquired</t>
        </is>
      </c>
      <c r="D1366" s="0" t="inlineStr">
        <is>
          <t>:</t>
        </is>
      </c>
      <c r="E1366" s="0" t="inlineStr">
        <is>
          <t>45.00K</t>
        </is>
      </c>
      <c r="F1366" s="0" t="inlineStr">
        <is>
          <t>(3,</t>
        </is>
      </c>
      <c r="G1366" s="0" t="inlineStr">
        <is>
          <t>10)</t>
        </is>
      </c>
      <c r="K1366" s="0">
        <f>IF(H1365="1)",1,IF(H1365="2)",2,IF(H1365="3)",3,IF(H1365="4)",4,IF(H1365="5)",5,IF(H1365="6)",6,IF(H1365="7)",7,IF(H1365="8)",8,0))))))))</f>
        <v/>
      </c>
      <c r="L1366" s="0">
        <f>IF(H1365="1)",J1365,IF(H1365="2)",J1365,IF(H1365="3)",J1365,IF(H1365="4)",J1365,IF(H1365="5)",J1365,IF(H1365="6)",J1365,IF(H1365="7)",J1365,IF(H1365="8)",J1365,0))))))))</f>
        <v/>
      </c>
    </row>
    <row r="1367">
      <c r="A1367" s="0" t="inlineStr">
        <is>
          <t>New</t>
        </is>
      </c>
      <c r="B1367" s="0" t="inlineStr">
        <is>
          <t>Item</t>
        </is>
      </c>
      <c r="C1367" s="0" t="inlineStr">
        <is>
          <t>Acquired</t>
        </is>
      </c>
      <c r="D1367" s="0" t="inlineStr">
        <is>
          <t>:</t>
        </is>
      </c>
      <c r="E1367" s="0" t="inlineStr">
        <is>
          <t>75.00K</t>
        </is>
      </c>
      <c r="F1367" s="0" t="inlineStr">
        <is>
          <t>(3,</t>
        </is>
      </c>
      <c r="G1367" s="0" t="inlineStr">
        <is>
          <t>5)</t>
        </is>
      </c>
      <c r="K1367" s="0">
        <f>IF(H1366="1)",1,IF(H1366="2)",2,IF(H1366="3)",3,IF(H1366="4)",4,IF(H1366="5)",5,IF(H1366="6)",6,IF(H1366="7)",7,IF(H1366="8)",8,0))))))))</f>
        <v/>
      </c>
      <c r="L1367" s="0">
        <f>IF(H1366="1)",J1366,IF(H1366="2)",J1366,IF(H1366="3)",J1366,IF(H1366="4)",J1366,IF(H1366="5)",J1366,IF(H1366="6)",J1366,IF(H1366="7)",J1366,IF(H1366="8)",J1366,0))))))))</f>
        <v/>
      </c>
    </row>
    <row r="1368">
      <c r="A1368" s="0" t="inlineStr">
        <is>
          <t>New</t>
        </is>
      </c>
      <c r="B1368" s="0" t="inlineStr">
        <is>
          <t>Item</t>
        </is>
      </c>
      <c r="C1368" s="0" t="inlineStr">
        <is>
          <t>Acquired</t>
        </is>
      </c>
      <c r="D1368" s="0" t="inlineStr">
        <is>
          <t>:</t>
        </is>
      </c>
      <c r="E1368" s="0" t="inlineStr">
        <is>
          <t>280.00K</t>
        </is>
      </c>
      <c r="F1368" s="0" t="inlineStr">
        <is>
          <t>(8,</t>
        </is>
      </c>
      <c r="G1368" s="0" t="inlineStr">
        <is>
          <t>2)</t>
        </is>
      </c>
      <c r="K1368" s="0">
        <f>IF(H1367="1)",1,IF(H1367="2)",2,IF(H1367="3)",3,IF(H1367="4)",4,IF(H1367="5)",5,IF(H1367="6)",6,IF(H1367="7)",7,IF(H1367="8)",8,0))))))))</f>
        <v/>
      </c>
      <c r="L1368" s="0">
        <f>IF(H1367="1)",J1367,IF(H1367="2)",J1367,IF(H1367="3)",J1367,IF(H1367="4)",J1367,IF(H1367="5)",J1367,IF(H1367="6)",J1367,IF(H1367="7)",J1367,IF(H1367="8)",J1367,0))))))))</f>
        <v/>
      </c>
    </row>
    <row r="1369">
      <c r="A1369" s="0" t="inlineStr">
        <is>
          <t>New</t>
        </is>
      </c>
      <c r="B1369" s="0" t="inlineStr">
        <is>
          <t>Item</t>
        </is>
      </c>
      <c r="C1369" s="0" t="inlineStr">
        <is>
          <t>Acquired</t>
        </is>
      </c>
      <c r="D1369" s="0" t="inlineStr">
        <is>
          <t>:</t>
        </is>
      </c>
      <c r="E1369" s="0" t="inlineStr">
        <is>
          <t>125.00K</t>
        </is>
      </c>
      <c r="F1369" s="0" t="inlineStr">
        <is>
          <t>(6,</t>
        </is>
      </c>
      <c r="G1369" s="0" t="inlineStr">
        <is>
          <t>14)</t>
        </is>
      </c>
      <c r="K1369" s="0">
        <f>IF(H1368="1)",1,IF(H1368="2)",2,IF(H1368="3)",3,IF(H1368="4)",4,IF(H1368="5)",5,IF(H1368="6)",6,IF(H1368="7)",7,IF(H1368="8)",8,0))))))))</f>
        <v/>
      </c>
      <c r="L1369" s="0">
        <f>IF(H1368="1)",J1368,IF(H1368="2)",J1368,IF(H1368="3)",J1368,IF(H1368="4)",J1368,IF(H1368="5)",J1368,IF(H1368="6)",J1368,IF(H1368="7)",J1368,IF(H1368="8)",J1368,0))))))))</f>
        <v/>
      </c>
    </row>
    <row r="1370">
      <c r="A1370" s="0" t="inlineStr">
        <is>
          <t>New</t>
        </is>
      </c>
      <c r="B1370" s="0" t="inlineStr">
        <is>
          <t>Item</t>
        </is>
      </c>
      <c r="C1370" s="0" t="inlineStr">
        <is>
          <t>Acquired</t>
        </is>
      </c>
      <c r="D1370" s="0" t="inlineStr">
        <is>
          <t>:</t>
        </is>
      </c>
      <c r="E1370" s="0" t="inlineStr">
        <is>
          <t>105.00K</t>
        </is>
      </c>
      <c r="F1370" s="0" t="inlineStr">
        <is>
          <t>(4,</t>
        </is>
      </c>
      <c r="G1370" s="0" t="inlineStr">
        <is>
          <t>19)</t>
        </is>
      </c>
      <c r="K1370" s="0">
        <f>IF(H1369="1)",1,IF(H1369="2)",2,IF(H1369="3)",3,IF(H1369="4)",4,IF(H1369="5)",5,IF(H1369="6)",6,IF(H1369="7)",7,IF(H1369="8)",8,0))))))))</f>
        <v/>
      </c>
      <c r="L1370" s="0">
        <f>IF(H1369="1)",J1369,IF(H1369="2)",J1369,IF(H1369="3)",J1369,IF(H1369="4)",J1369,IF(H1369="5)",J1369,IF(H1369="6)",J1369,IF(H1369="7)",J1369,IF(H1369="8)",J1369,0))))))))</f>
        <v/>
      </c>
    </row>
    <row r="1371">
      <c r="A1371" s="0" t="inlineStr">
        <is>
          <t>New</t>
        </is>
      </c>
      <c r="B1371" s="0" t="inlineStr">
        <is>
          <t>Item</t>
        </is>
      </c>
      <c r="C1371" s="0" t="inlineStr">
        <is>
          <t>Acquired</t>
        </is>
      </c>
      <c r="D1371" s="0" t="inlineStr">
        <is>
          <t>:</t>
        </is>
      </c>
      <c r="E1371" s="0" t="inlineStr">
        <is>
          <t>112.50K</t>
        </is>
      </c>
      <c r="F1371" s="0" t="inlineStr">
        <is>
          <t>(5,</t>
        </is>
      </c>
      <c r="G1371" s="0" t="inlineStr">
        <is>
          <t>16)</t>
        </is>
      </c>
      <c r="K1371" s="0">
        <f>IF(H1370="1)",1,IF(H1370="2)",2,IF(H1370="3)",3,IF(H1370="4)",4,IF(H1370="5)",5,IF(H1370="6)",6,IF(H1370="7)",7,IF(H1370="8)",8,0))))))))</f>
        <v/>
      </c>
      <c r="L1371" s="0">
        <f>IF(H1370="1)",J1370,IF(H1370="2)",J1370,IF(H1370="3)",J1370,IF(H1370="4)",J1370,IF(H1370="5)",J1370,IF(H1370="6)",J1370,IF(H1370="7)",J1370,IF(H1370="8)",J1370,0))))))))</f>
        <v/>
      </c>
    </row>
    <row r="1372">
      <c r="A1372" s="0" t="inlineStr">
        <is>
          <t>New</t>
        </is>
      </c>
      <c r="B1372" s="0" t="inlineStr">
        <is>
          <t>Item</t>
        </is>
      </c>
      <c r="C1372" s="0" t="inlineStr">
        <is>
          <t>Acquired</t>
        </is>
      </c>
      <c r="D1372" s="0" t="inlineStr">
        <is>
          <t>:</t>
        </is>
      </c>
      <c r="E1372" s="0" t="inlineStr">
        <is>
          <t>Minor</t>
        </is>
      </c>
      <c r="F1372" s="0" t="inlineStr">
        <is>
          <t>(6,</t>
        </is>
      </c>
      <c r="G1372" s="0" t="inlineStr">
        <is>
          <t>5)</t>
        </is>
      </c>
      <c r="K1372" s="0">
        <f>IF(H1371="1)",1,IF(H1371="2)",2,IF(H1371="3)",3,IF(H1371="4)",4,IF(H1371="5)",5,IF(H1371="6)",6,IF(H1371="7)",7,IF(H1371="8)",8,0))))))))</f>
        <v/>
      </c>
      <c r="L1372" s="0">
        <f>IF(H1371="1)",J1371,IF(H1371="2)",J1371,IF(H1371="3)",J1371,IF(H1371="4)",J1371,IF(H1371="5)",J1371,IF(H1371="6)",J1371,IF(H1371="7)",J1371,IF(H1371="8)",J1371,0))))))))</f>
        <v/>
      </c>
    </row>
    <row r="1373">
      <c r="A1373" s="0" t="inlineStr">
        <is>
          <t>New</t>
        </is>
      </c>
      <c r="B1373" s="0" t="inlineStr">
        <is>
          <t>Item</t>
        </is>
      </c>
      <c r="C1373" s="0" t="inlineStr">
        <is>
          <t>Acquired</t>
        </is>
      </c>
      <c r="D1373" s="0" t="inlineStr">
        <is>
          <t>:</t>
        </is>
      </c>
      <c r="E1373" s="0" t="inlineStr">
        <is>
          <t>105.00K</t>
        </is>
      </c>
      <c r="F1373" s="0" t="inlineStr">
        <is>
          <t>(4,</t>
        </is>
      </c>
      <c r="G1373" s="0" t="inlineStr">
        <is>
          <t>6)</t>
        </is>
      </c>
      <c r="K1373" s="0">
        <f>IF(H1372="1)",1,IF(H1372="2)",2,IF(H1372="3)",3,IF(H1372="4)",4,IF(H1372="5)",5,IF(H1372="6)",6,IF(H1372="7)",7,IF(H1372="8)",8,0))))))))</f>
        <v/>
      </c>
      <c r="L1373" s="0">
        <f>IF(H1372="1)",J1372,IF(H1372="2)",J1372,IF(H1372="3)",J1372,IF(H1372="4)",J1372,IF(H1372="5)",J1372,IF(H1372="6)",J1372,IF(H1372="7)",J1372,IF(H1372="8)",J1372,0))))))))</f>
        <v/>
      </c>
    </row>
    <row r="1374">
      <c r="A1374" s="0" t="inlineStr">
        <is>
          <t>New</t>
        </is>
      </c>
      <c r="B1374" s="0" t="inlineStr">
        <is>
          <t>Item</t>
        </is>
      </c>
      <c r="C1374" s="0" t="inlineStr">
        <is>
          <t>Acquired</t>
        </is>
      </c>
      <c r="D1374" s="0" t="inlineStr">
        <is>
          <t>:</t>
        </is>
      </c>
      <c r="E1374" s="0" t="inlineStr">
        <is>
          <t>37.50K</t>
        </is>
      </c>
      <c r="F1374" s="0" t="inlineStr">
        <is>
          <t>(2,</t>
        </is>
      </c>
      <c r="G1374" s="0" t="inlineStr">
        <is>
          <t>7)</t>
        </is>
      </c>
      <c r="K1374" s="0">
        <f>IF(H1373="1)",1,IF(H1373="2)",2,IF(H1373="3)",3,IF(H1373="4)",4,IF(H1373="5)",5,IF(H1373="6)",6,IF(H1373="7)",7,IF(H1373="8)",8,0))))))))</f>
        <v/>
      </c>
      <c r="L1374" s="0">
        <f>IF(H1373="1)",J1373,IF(H1373="2)",J1373,IF(H1373="3)",J1373,IF(H1373="4)",J1373,IF(H1373="5)",J1373,IF(H1373="6)",J1373,IF(H1373="7)",J1373,IF(H1373="8)",J1373,0))))))))</f>
        <v/>
      </c>
    </row>
    <row r="1375">
      <c r="A1375" s="0" t="inlineStr">
        <is>
          <t>New</t>
        </is>
      </c>
      <c r="B1375" s="0" t="inlineStr">
        <is>
          <t>Item</t>
        </is>
      </c>
      <c r="C1375" s="0" t="inlineStr">
        <is>
          <t>Acquired</t>
        </is>
      </c>
      <c r="D1375" s="0" t="inlineStr">
        <is>
          <t>:</t>
        </is>
      </c>
      <c r="E1375" s="0" t="inlineStr">
        <is>
          <t>45.00K</t>
        </is>
      </c>
      <c r="F1375" s="0" t="inlineStr">
        <is>
          <t>(3,</t>
        </is>
      </c>
      <c r="G1375" s="0" t="inlineStr">
        <is>
          <t>16)</t>
        </is>
      </c>
      <c r="K1375" s="0">
        <f>IF(H1374="1)",1,IF(H1374="2)",2,IF(H1374="3)",3,IF(H1374="4)",4,IF(H1374="5)",5,IF(H1374="6)",6,IF(H1374="7)",7,IF(H1374="8)",8,0))))))))</f>
        <v/>
      </c>
      <c r="L1375" s="0">
        <f>IF(H1374="1)",J1374,IF(H1374="2)",J1374,IF(H1374="3)",J1374,IF(H1374="4)",J1374,IF(H1374="5)",J1374,IF(H1374="6)",J1374,IF(H1374="7)",J1374,IF(H1374="8)",J1374,0))))))))</f>
        <v/>
      </c>
    </row>
    <row r="1376">
      <c r="A1376" s="0" t="inlineStr">
        <is>
          <t>New</t>
        </is>
      </c>
      <c r="B1376" s="0" t="inlineStr">
        <is>
          <t>Item</t>
        </is>
      </c>
      <c r="C1376" s="0" t="inlineStr">
        <is>
          <t>Acquired</t>
        </is>
      </c>
      <c r="D1376" s="0" t="inlineStr">
        <is>
          <t>:</t>
        </is>
      </c>
      <c r="E1376" s="0" t="inlineStr">
        <is>
          <t>67.50K</t>
        </is>
      </c>
      <c r="F1376" s="0" t="inlineStr">
        <is>
          <t>(5,</t>
        </is>
      </c>
      <c r="G1376" s="0" t="inlineStr">
        <is>
          <t>7)</t>
        </is>
      </c>
      <c r="K1376" s="0">
        <f>IF(H1375="1)",1,IF(H1375="2)",2,IF(H1375="3)",3,IF(H1375="4)",4,IF(H1375="5)",5,IF(H1375="6)",6,IF(H1375="7)",7,IF(H1375="8)",8,0))))))))</f>
        <v/>
      </c>
      <c r="L1376" s="0">
        <f>IF(H1375="1)",J1375,IF(H1375="2)",J1375,IF(H1375="3)",J1375,IF(H1375="4)",J1375,IF(H1375="5)",J1375,IF(H1375="6)",J1375,IF(H1375="7)",J1375,IF(H1375="8)",J1375,0))))))))</f>
        <v/>
      </c>
    </row>
    <row r="1377">
      <c r="A1377" s="0" t="inlineStr">
        <is>
          <t>New</t>
        </is>
      </c>
      <c r="B1377" s="0" t="inlineStr">
        <is>
          <t>Item</t>
        </is>
      </c>
      <c r="C1377" s="0" t="inlineStr">
        <is>
          <t>Acquired</t>
        </is>
      </c>
      <c r="D1377" s="0" t="inlineStr">
        <is>
          <t>:</t>
        </is>
      </c>
      <c r="E1377" s="0" t="inlineStr">
        <is>
          <t>150.00K</t>
        </is>
      </c>
      <c r="F1377" s="0" t="inlineStr">
        <is>
          <t>(7,</t>
        </is>
      </c>
      <c r="G1377" s="0" t="inlineStr">
        <is>
          <t>9)</t>
        </is>
      </c>
      <c r="K1377" s="0">
        <f>IF(H1376="1)",1,IF(H1376="2)",2,IF(H1376="3)",3,IF(H1376="4)",4,IF(H1376="5)",5,IF(H1376="6)",6,IF(H1376="7)",7,IF(H1376="8)",8,0))))))))</f>
        <v/>
      </c>
      <c r="L1377" s="0">
        <f>IF(H1376="1)",J1376,IF(H1376="2)",J1376,IF(H1376="3)",J1376,IF(H1376="4)",J1376,IF(H1376="5)",J1376,IF(H1376="6)",J1376,IF(H1376="7)",J1376,IF(H1376="8)",J1376,0))))))))</f>
        <v/>
      </c>
    </row>
    <row r="1378">
      <c r="A1378" s="0" t="inlineStr">
        <is>
          <t>New</t>
        </is>
      </c>
      <c r="B1378" s="0" t="inlineStr">
        <is>
          <t>Item</t>
        </is>
      </c>
      <c r="C1378" s="0" t="inlineStr">
        <is>
          <t>Acquired</t>
        </is>
      </c>
      <c r="D1378" s="0" t="inlineStr">
        <is>
          <t>:</t>
        </is>
      </c>
      <c r="E1378" s="0" t="inlineStr">
        <is>
          <t>90.00K</t>
        </is>
      </c>
      <c r="F1378" s="0" t="inlineStr">
        <is>
          <t>(7,</t>
        </is>
      </c>
      <c r="G1378" s="0" t="inlineStr">
        <is>
          <t>10)</t>
        </is>
      </c>
      <c r="K1378" s="0">
        <f>IF(H1377="1)",1,IF(H1377="2)",2,IF(H1377="3)",3,IF(H1377="4)",4,IF(H1377="5)",5,IF(H1377="6)",6,IF(H1377="7)",7,IF(H1377="8)",8,0))))))))</f>
        <v/>
      </c>
      <c r="L1378" s="0">
        <f>IF(H1377="1)",J1377,IF(H1377="2)",J1377,IF(H1377="3)",J1377,IF(H1377="4)",J1377,IF(H1377="5)",J1377,IF(H1377="6)",J1377,IF(H1377="7)",J1377,IF(H1377="8)",J1377,0))))))))</f>
        <v/>
      </c>
    </row>
    <row r="1379">
      <c r="A1379" s="0" t="inlineStr">
        <is>
          <t>New</t>
        </is>
      </c>
      <c r="B1379" s="0" t="inlineStr">
        <is>
          <t>Item</t>
        </is>
      </c>
      <c r="C1379" s="0" t="inlineStr">
        <is>
          <t>Acquired</t>
        </is>
      </c>
      <c r="D1379" s="0" t="inlineStr">
        <is>
          <t>:</t>
        </is>
      </c>
      <c r="E1379" s="0" t="inlineStr">
        <is>
          <t>Minor</t>
        </is>
      </c>
      <c r="F1379" s="0" t="inlineStr">
        <is>
          <t>(6,</t>
        </is>
      </c>
      <c r="G1379" s="0" t="inlineStr">
        <is>
          <t>11)</t>
        </is>
      </c>
      <c r="K1379" s="0">
        <f>IF(H1378="1)",1,IF(H1378="2)",2,IF(H1378="3)",3,IF(H1378="4)",4,IF(H1378="5)",5,IF(H1378="6)",6,IF(H1378="7)",7,IF(H1378="8)",8,0))))))))</f>
        <v/>
      </c>
      <c r="L1379" s="0">
        <f>IF(H1378="1)",J1378,IF(H1378="2)",J1378,IF(H1378="3)",J1378,IF(H1378="4)",J1378,IF(H1378="5)",J1378,IF(H1378="6)",J1378,IF(H1378="7)",J1378,IF(H1378="8)",J1378,0))))))))</f>
        <v/>
      </c>
    </row>
    <row r="1380">
      <c r="A1380" s="0" t="inlineStr">
        <is>
          <t>New</t>
        </is>
      </c>
      <c r="B1380" s="0" t="inlineStr">
        <is>
          <t>Item</t>
        </is>
      </c>
      <c r="C1380" s="0" t="inlineStr">
        <is>
          <t>Acquired</t>
        </is>
      </c>
      <c r="D1380" s="0" t="inlineStr">
        <is>
          <t>:</t>
        </is>
      </c>
      <c r="E1380" s="0" t="inlineStr">
        <is>
          <t>30.00K</t>
        </is>
      </c>
      <c r="F1380" s="0" t="inlineStr">
        <is>
          <t>(1,</t>
        </is>
      </c>
      <c r="G1380" s="0" t="inlineStr">
        <is>
          <t>5)</t>
        </is>
      </c>
      <c r="K1380" s="0">
        <f>IF(H1379="1)",1,IF(H1379="2)",2,IF(H1379="3)",3,IF(H1379="4)",4,IF(H1379="5)",5,IF(H1379="6)",6,IF(H1379="7)",7,IF(H1379="8)",8,0))))))))</f>
        <v/>
      </c>
      <c r="L1380" s="0">
        <f>IF(H1379="1)",J1379,IF(H1379="2)",J1379,IF(H1379="3)",J1379,IF(H1379="4)",J1379,IF(H1379="5)",J1379,IF(H1379="6)",J1379,IF(H1379="7)",J1379,IF(H1379="8)",J1379,0))))))))</f>
        <v/>
      </c>
    </row>
    <row r="1381">
      <c r="A1381" s="0" t="inlineStr">
        <is>
          <t>New</t>
        </is>
      </c>
      <c r="B1381" s="0" t="inlineStr">
        <is>
          <t>Item</t>
        </is>
      </c>
      <c r="C1381" s="0" t="inlineStr">
        <is>
          <t>Acquired</t>
        </is>
      </c>
      <c r="D1381" s="0" t="inlineStr">
        <is>
          <t>:</t>
        </is>
      </c>
      <c r="E1381" s="0" t="inlineStr">
        <is>
          <t>90.00K</t>
        </is>
      </c>
      <c r="F1381" s="0" t="inlineStr">
        <is>
          <t>(7,</t>
        </is>
      </c>
      <c r="G1381" s="0" t="inlineStr">
        <is>
          <t>8)</t>
        </is>
      </c>
      <c r="K1381" s="0">
        <f>IF(H1380="1)",1,IF(H1380="2)",2,IF(H1380="3)",3,IF(H1380="4)",4,IF(H1380="5)",5,IF(H1380="6)",6,IF(H1380="7)",7,IF(H1380="8)",8,0))))))))</f>
        <v/>
      </c>
      <c r="L1381" s="0">
        <f>IF(H1380="1)",J1380,IF(H1380="2)",J1380,IF(H1380="3)",J1380,IF(H1380="4)",J1380,IF(H1380="5)",J1380,IF(H1380="6)",J1380,IF(H1380="7)",J1380,IF(H1380="8)",J1380,0))))))))</f>
        <v/>
      </c>
    </row>
    <row r="1382">
      <c r="A1382" s="0" t="inlineStr">
        <is>
          <t>New</t>
        </is>
      </c>
      <c r="B1382" s="0" t="inlineStr">
        <is>
          <t>Item</t>
        </is>
      </c>
      <c r="C1382" s="0" t="inlineStr">
        <is>
          <t>Acquired</t>
        </is>
      </c>
      <c r="D1382" s="0" t="inlineStr">
        <is>
          <t>:</t>
        </is>
      </c>
      <c r="E1382" s="0" t="inlineStr">
        <is>
          <t>75.00K</t>
        </is>
      </c>
      <c r="F1382" s="0" t="inlineStr">
        <is>
          <t>(3,</t>
        </is>
      </c>
      <c r="G1382" s="0" t="inlineStr">
        <is>
          <t>9)</t>
        </is>
      </c>
      <c r="K1382" s="0">
        <f>IF(H1381="1)",1,IF(H1381="2)",2,IF(H1381="3)",3,IF(H1381="4)",4,IF(H1381="5)",5,IF(H1381="6)",6,IF(H1381="7)",7,IF(H1381="8)",8,0))))))))</f>
        <v/>
      </c>
      <c r="L1382" s="0">
        <f>IF(H1381="1)",J1381,IF(H1381="2)",J1381,IF(H1381="3)",J1381,IF(H1381="4)",J1381,IF(H1381="5)",J1381,IF(H1381="6)",J1381,IF(H1381="7)",J1381,IF(H1381="8)",J1381,0))))))))</f>
        <v/>
      </c>
    </row>
    <row r="1383">
      <c r="A1383" s="0" t="inlineStr">
        <is>
          <t>New</t>
        </is>
      </c>
      <c r="B1383" s="0" t="inlineStr">
        <is>
          <t>Item</t>
        </is>
      </c>
      <c r="C1383" s="0" t="inlineStr">
        <is>
          <t>Acquired</t>
        </is>
      </c>
      <c r="D1383" s="0" t="inlineStr">
        <is>
          <t>:</t>
        </is>
      </c>
      <c r="E1383" s="0" t="inlineStr">
        <is>
          <t>45.00K</t>
        </is>
      </c>
      <c r="F1383" s="0" t="inlineStr">
        <is>
          <t>(3,</t>
        </is>
      </c>
      <c r="G1383" s="0" t="inlineStr">
        <is>
          <t>1)</t>
        </is>
      </c>
      <c r="K1383" s="0">
        <f>IF(H1382="1)",1,IF(H1382="2)",2,IF(H1382="3)",3,IF(H1382="4)",4,IF(H1382="5)",5,IF(H1382="6)",6,IF(H1382="7)",7,IF(H1382="8)",8,0))))))))</f>
        <v/>
      </c>
      <c r="L1383" s="0">
        <f>IF(H1382="1)",J1382,IF(H1382="2)",J1382,IF(H1382="3)",J1382,IF(H1382="4)",J1382,IF(H1382="5)",J1382,IF(H1382="6)",J1382,IF(H1382="7)",J1382,IF(H1382="8)",J1382,0))))))))</f>
        <v/>
      </c>
    </row>
    <row r="1384">
      <c r="A1384" s="0" t="inlineStr">
        <is>
          <t>Line</t>
        </is>
      </c>
      <c r="B1384" s="0" t="inlineStr">
        <is>
          <t>Prize</t>
        </is>
      </c>
      <c r="C1384" s="0" t="inlineStr">
        <is>
          <t>Acquired</t>
        </is>
      </c>
      <c r="D1384" s="0" t="inlineStr">
        <is>
          <t>:</t>
        </is>
      </c>
      <c r="E1384" s="0" t="inlineStr">
        <is>
          <t>900.00K</t>
        </is>
      </c>
      <c r="F1384" s="0" t="inlineStr">
        <is>
          <t>(Stage</t>
        </is>
      </c>
      <c r="G1384" s="0" t="inlineStr">
        <is>
          <t>:</t>
        </is>
      </c>
      <c r="H1384" s="0" t="inlineStr">
        <is>
          <t>3)</t>
        </is>
      </c>
      <c r="I1384" s="0" t="inlineStr">
        <is>
          <t>-</t>
        </is>
      </c>
      <c r="J1384" s="0" t="n">
        <v>900000</v>
      </c>
      <c r="K1384" s="0">
        <f>IF(H1383="1)",1,IF(H1383="2)",2,IF(H1383="3)",3,IF(H1383="4)",4,IF(H1383="5)",5,IF(H1383="6)",6,IF(H1383="7)",7,IF(H1383="8)",8,0))))))))</f>
        <v/>
      </c>
      <c r="L1384" s="0">
        <f>IF(H1383="1)",J1383,IF(H1383="2)",J1383,IF(H1383="3)",J1383,IF(H1383="4)",J1383,IF(H1383="5)",J1383,IF(H1383="6)",J1383,IF(H1383="7)",J1383,IF(H1383="8)",J1383,0))))))))</f>
        <v/>
      </c>
    </row>
    <row r="1385">
      <c r="A1385" s="0" t="inlineStr">
        <is>
          <t>Clear</t>
        </is>
      </c>
      <c r="B1385" s="0" t="inlineStr">
        <is>
          <t>Gem</t>
        </is>
      </c>
      <c r="C1385" s="0" t="inlineStr">
        <is>
          <t>Acquired</t>
        </is>
      </c>
      <c r="D1385" s="0" t="inlineStr">
        <is>
          <t>:</t>
        </is>
      </c>
      <c r="E1385" s="0" t="n">
        <v>8200</v>
      </c>
      <c r="F1385" s="0" t="inlineStr">
        <is>
          <t>-&gt;</t>
        </is>
      </c>
      <c r="G1385" s="0" t="n">
        <v>8300</v>
      </c>
      <c r="H1385" s="0" t="inlineStr">
        <is>
          <t>(Stage</t>
        </is>
      </c>
      <c r="I1385" s="0" t="inlineStr">
        <is>
          <t>:</t>
        </is>
      </c>
      <c r="J1385" s="0" t="inlineStr">
        <is>
          <t>3)</t>
        </is>
      </c>
      <c r="K1385" s="0">
        <f>IF(H1384="1)",1,IF(H1384="2)",2,IF(H1384="3)",3,IF(H1384="4)",4,IF(H1384="5)",5,IF(H1384="6)",6,IF(H1384="7)",7,IF(H1384="8)",8,0))))))))</f>
        <v/>
      </c>
      <c r="L1385" s="0">
        <f>IF(H1384="1)",J1384,IF(H1384="2)",J1384,IF(H1384="3)",J1384,IF(H1384="4)",J1384,IF(H1384="5)",J1384,IF(H1384="6)",J1384,IF(H1384="7)",J1384,IF(H1384="8)",J1384,0))))))))</f>
        <v/>
      </c>
    </row>
    <row r="1386">
      <c r="A1386" s="0" t="inlineStr">
        <is>
          <t>New</t>
        </is>
      </c>
      <c r="B1386" s="0" t="inlineStr">
        <is>
          <t>Item</t>
        </is>
      </c>
      <c r="C1386" s="0" t="inlineStr">
        <is>
          <t>Acquired</t>
        </is>
      </c>
      <c r="D1386" s="0" t="inlineStr">
        <is>
          <t>:</t>
        </is>
      </c>
      <c r="E1386" s="0" t="inlineStr">
        <is>
          <t>45.00K</t>
        </is>
      </c>
      <c r="F1386" s="0" t="inlineStr">
        <is>
          <t>(3,</t>
        </is>
      </c>
      <c r="G1386" s="0" t="inlineStr">
        <is>
          <t>6)</t>
        </is>
      </c>
      <c r="K1386" s="0">
        <f>IF(H1385="1)",1,IF(H1385="2)",2,IF(H1385="3)",3,IF(H1385="4)",4,IF(H1385="5)",5,IF(H1385="6)",6,IF(H1385="7)",7,IF(H1385="8)",8,0))))))))</f>
        <v/>
      </c>
      <c r="L1386" s="0">
        <f>IF(H1385="1)",J1385,IF(H1385="2)",J1385,IF(H1385="3)",J1385,IF(H1385="4)",J1385,IF(H1385="5)",J1385,IF(H1385="6)",J1385,IF(H1385="7)",J1385,IF(H1385="8)",J1385,0))))))))</f>
        <v/>
      </c>
    </row>
    <row r="1387">
      <c r="A1387" s="0" t="inlineStr">
        <is>
          <t>New</t>
        </is>
      </c>
      <c r="B1387" s="0" t="inlineStr">
        <is>
          <t>Item</t>
        </is>
      </c>
      <c r="C1387" s="0" t="inlineStr">
        <is>
          <t>Acquired</t>
        </is>
      </c>
      <c r="D1387" s="0" t="inlineStr">
        <is>
          <t>:</t>
        </is>
      </c>
      <c r="E1387" s="0" t="inlineStr">
        <is>
          <t>105.00K</t>
        </is>
      </c>
      <c r="F1387" s="0" t="inlineStr">
        <is>
          <t>(3,</t>
        </is>
      </c>
      <c r="G1387" s="0" t="inlineStr">
        <is>
          <t>24)</t>
        </is>
      </c>
      <c r="K1387" s="0">
        <f>IF(H1386="1)",1,IF(H1386="2)",2,IF(H1386="3)",3,IF(H1386="4)",4,IF(H1386="5)",5,IF(H1386="6)",6,IF(H1386="7)",7,IF(H1386="8)",8,0))))))))</f>
        <v/>
      </c>
      <c r="L1387" s="0">
        <f>IF(H1386="1)",J1386,IF(H1386="2)",J1386,IF(H1386="3)",J1386,IF(H1386="4)",J1386,IF(H1386="5)",J1386,IF(H1386="6)",J1386,IF(H1386="7)",J1386,IF(H1386="8)",J1386,0))))))))</f>
        <v/>
      </c>
    </row>
    <row r="1388">
      <c r="A1388" s="0" t="inlineStr">
        <is>
          <t>New</t>
        </is>
      </c>
      <c r="B1388" s="0" t="inlineStr">
        <is>
          <t>Item</t>
        </is>
      </c>
      <c r="C1388" s="0" t="inlineStr">
        <is>
          <t>Acquired</t>
        </is>
      </c>
      <c r="D1388" s="0" t="inlineStr">
        <is>
          <t>:</t>
        </is>
      </c>
      <c r="E1388" s="0" t="inlineStr">
        <is>
          <t>Mini</t>
        </is>
      </c>
      <c r="F1388" s="0" t="inlineStr">
        <is>
          <t>(8,</t>
        </is>
      </c>
      <c r="G1388" s="0" t="inlineStr">
        <is>
          <t>16)</t>
        </is>
      </c>
      <c r="K1388" s="0">
        <f>IF(H1387="1)",1,IF(H1387="2)",2,IF(H1387="3)",3,IF(H1387="4)",4,IF(H1387="5)",5,IF(H1387="6)",6,IF(H1387="7)",7,IF(H1387="8)",8,0))))))))</f>
        <v/>
      </c>
      <c r="L1388" s="0">
        <f>IF(H1387="1)",J1387,IF(H1387="2)",J1387,IF(H1387="3)",J1387,IF(H1387="4)",J1387,IF(H1387="5)",J1387,IF(H1387="6)",J1387,IF(H1387="7)",J1387,IF(H1387="8)",J1387,0))))))))</f>
        <v/>
      </c>
    </row>
    <row r="1389">
      <c r="A1389" s="0" t="inlineStr">
        <is>
          <t>New</t>
        </is>
      </c>
      <c r="B1389" s="0" t="inlineStr">
        <is>
          <t>Item</t>
        </is>
      </c>
      <c r="C1389" s="0" t="inlineStr">
        <is>
          <t>Acquired</t>
        </is>
      </c>
      <c r="D1389" s="0" t="inlineStr">
        <is>
          <t>:</t>
        </is>
      </c>
      <c r="E1389" s="0" t="inlineStr">
        <is>
          <t>70.00K</t>
        </is>
      </c>
      <c r="F1389" s="0" t="inlineStr">
        <is>
          <t>(1,</t>
        </is>
      </c>
      <c r="G1389" s="0" t="inlineStr">
        <is>
          <t>10)</t>
        </is>
      </c>
      <c r="K1389" s="0">
        <f>IF(H1388="1)",1,IF(H1388="2)",2,IF(H1388="3)",3,IF(H1388="4)",4,IF(H1388="5)",5,IF(H1388="6)",6,IF(H1388="7)",7,IF(H1388="8)",8,0))))))))</f>
        <v/>
      </c>
      <c r="L1389" s="0">
        <f>IF(H1388="1)",J1388,IF(H1388="2)",J1388,IF(H1388="3)",J1388,IF(H1388="4)",J1388,IF(H1388="5)",J1388,IF(H1388="6)",J1388,IF(H1388="7)",J1388,IF(H1388="8)",J1388,0))))))))</f>
        <v/>
      </c>
    </row>
    <row r="1390">
      <c r="A1390" s="0" t="inlineStr">
        <is>
          <t>New</t>
        </is>
      </c>
      <c r="B1390" s="0" t="inlineStr">
        <is>
          <t>Item</t>
        </is>
      </c>
      <c r="C1390" s="0" t="inlineStr">
        <is>
          <t>Acquired</t>
        </is>
      </c>
      <c r="D1390" s="0" t="inlineStr">
        <is>
          <t>:</t>
        </is>
      </c>
      <c r="E1390" s="0" t="inlineStr">
        <is>
          <t>75.00K</t>
        </is>
      </c>
      <c r="F1390" s="0" t="inlineStr">
        <is>
          <t>(3,</t>
        </is>
      </c>
      <c r="G1390" s="0" t="inlineStr">
        <is>
          <t>11)</t>
        </is>
      </c>
      <c r="K1390" s="0">
        <f>IF(H1389="1)",1,IF(H1389="2)",2,IF(H1389="3)",3,IF(H1389="4)",4,IF(H1389="5)",5,IF(H1389="6)",6,IF(H1389="7)",7,IF(H1389="8)",8,0))))))))</f>
        <v/>
      </c>
      <c r="L1390" s="0">
        <f>IF(H1389="1)",J1389,IF(H1389="2)",J1389,IF(H1389="3)",J1389,IF(H1389="4)",J1389,IF(H1389="5)",J1389,IF(H1389="6)",J1389,IF(H1389="7)",J1389,IF(H1389="8)",J1389,0))))))))</f>
        <v/>
      </c>
    </row>
    <row r="1391">
      <c r="A1391" s="0" t="inlineStr">
        <is>
          <t>New</t>
        </is>
      </c>
      <c r="B1391" s="0" t="inlineStr">
        <is>
          <t>Item</t>
        </is>
      </c>
      <c r="C1391" s="0" t="inlineStr">
        <is>
          <t>Acquired</t>
        </is>
      </c>
      <c r="D1391" s="0" t="inlineStr">
        <is>
          <t>:</t>
        </is>
      </c>
      <c r="E1391" s="0" t="inlineStr">
        <is>
          <t>105.00K</t>
        </is>
      </c>
      <c r="F1391" s="0" t="inlineStr">
        <is>
          <t>(3,</t>
        </is>
      </c>
      <c r="G1391" s="0" t="inlineStr">
        <is>
          <t>16)</t>
        </is>
      </c>
      <c r="K1391" s="0">
        <f>IF(H1390="1)",1,IF(H1390="2)",2,IF(H1390="3)",3,IF(H1390="4)",4,IF(H1390="5)",5,IF(H1390="6)",6,IF(H1390="7)",7,IF(H1390="8)",8,0))))))))</f>
        <v/>
      </c>
      <c r="L1391" s="0">
        <f>IF(H1390="1)",J1390,IF(H1390="2)",J1390,IF(H1390="3)",J1390,IF(H1390="4)",J1390,IF(H1390="5)",J1390,IF(H1390="6)",J1390,IF(H1390="7)",J1390,IF(H1390="8)",J1390,0))))))))</f>
        <v/>
      </c>
    </row>
    <row r="1392">
      <c r="A1392" s="0" t="inlineStr">
        <is>
          <t>New</t>
        </is>
      </c>
      <c r="B1392" s="0" t="inlineStr">
        <is>
          <t>Item</t>
        </is>
      </c>
      <c r="C1392" s="0" t="inlineStr">
        <is>
          <t>Acquired</t>
        </is>
      </c>
      <c r="D1392" s="0" t="inlineStr">
        <is>
          <t>:</t>
        </is>
      </c>
      <c r="E1392" s="0" t="inlineStr">
        <is>
          <t>105.00K</t>
        </is>
      </c>
      <c r="F1392" s="0" t="inlineStr">
        <is>
          <t>(4,</t>
        </is>
      </c>
      <c r="G1392" s="0" t="inlineStr">
        <is>
          <t>15)</t>
        </is>
      </c>
      <c r="K1392" s="0">
        <f>IF(H1391="1)",1,IF(H1391="2)",2,IF(H1391="3)",3,IF(H1391="4)",4,IF(H1391="5)",5,IF(H1391="6)",6,IF(H1391="7)",7,IF(H1391="8)",8,0))))))))</f>
        <v/>
      </c>
      <c r="L1392" s="0">
        <f>IF(H1391="1)",J1391,IF(H1391="2)",J1391,IF(H1391="3)",J1391,IF(H1391="4)",J1391,IF(H1391="5)",J1391,IF(H1391="6)",J1391,IF(H1391="7)",J1391,IF(H1391="8)",J1391,0))))))))</f>
        <v/>
      </c>
    </row>
    <row r="1393">
      <c r="A1393" s="0" t="inlineStr">
        <is>
          <t>New</t>
        </is>
      </c>
      <c r="B1393" s="0" t="inlineStr">
        <is>
          <t>Item</t>
        </is>
      </c>
      <c r="C1393" s="0" t="inlineStr">
        <is>
          <t>Acquired</t>
        </is>
      </c>
      <c r="D1393" s="0" t="inlineStr">
        <is>
          <t>:</t>
        </is>
      </c>
      <c r="E1393" s="0" t="inlineStr">
        <is>
          <t>Mini</t>
        </is>
      </c>
      <c r="F1393" s="0" t="inlineStr">
        <is>
          <t>(7,</t>
        </is>
      </c>
      <c r="G1393" s="0" t="inlineStr">
        <is>
          <t>4)</t>
        </is>
      </c>
      <c r="K1393" s="0">
        <f>IF(H1392="1)",1,IF(H1392="2)",2,IF(H1392="3)",3,IF(H1392="4)",4,IF(H1392="5)",5,IF(H1392="6)",6,IF(H1392="7)",7,IF(H1392="8)",8,0))))))))</f>
        <v/>
      </c>
      <c r="L1393" s="0">
        <f>IF(H1392="1)",J1392,IF(H1392="2)",J1392,IF(H1392="3)",J1392,IF(H1392="4)",J1392,IF(H1392="5)",J1392,IF(H1392="6)",J1392,IF(H1392="7)",J1392,IF(H1392="8)",J1392,0))))))))</f>
        <v/>
      </c>
    </row>
    <row r="1394">
      <c r="A1394" s="0" t="inlineStr">
        <is>
          <t>New</t>
        </is>
      </c>
      <c r="B1394" s="0" t="inlineStr">
        <is>
          <t>Item</t>
        </is>
      </c>
      <c r="C1394" s="0" t="inlineStr">
        <is>
          <t>Acquired</t>
        </is>
      </c>
      <c r="D1394" s="0" t="inlineStr">
        <is>
          <t>:</t>
        </is>
      </c>
      <c r="E1394" s="0" t="inlineStr">
        <is>
          <t>60.00K</t>
        </is>
      </c>
      <c r="F1394" s="0" t="inlineStr">
        <is>
          <t>(4,</t>
        </is>
      </c>
      <c r="G1394" s="0" t="inlineStr">
        <is>
          <t>25)</t>
        </is>
      </c>
      <c r="K1394" s="0">
        <f>IF(H1393="1)",1,IF(H1393="2)",2,IF(H1393="3)",3,IF(H1393="4)",4,IF(H1393="5)",5,IF(H1393="6)",6,IF(H1393="7)",7,IF(H1393="8)",8,0))))))))</f>
        <v/>
      </c>
      <c r="L1394" s="0">
        <f>IF(H1393="1)",J1393,IF(H1393="2)",J1393,IF(H1393="3)",J1393,IF(H1393="4)",J1393,IF(H1393="5)",J1393,IF(H1393="6)",J1393,IF(H1393="7)",J1393,IF(H1393="8)",J1393,0))))))))</f>
        <v/>
      </c>
    </row>
    <row r="1395">
      <c r="A1395" s="0" t="inlineStr">
        <is>
          <t>Line</t>
        </is>
      </c>
      <c r="B1395" s="0" t="inlineStr">
        <is>
          <t>Prize</t>
        </is>
      </c>
      <c r="C1395" s="0" t="inlineStr">
        <is>
          <t>Acquired</t>
        </is>
      </c>
      <c r="D1395" s="0" t="inlineStr">
        <is>
          <t>:</t>
        </is>
      </c>
      <c r="E1395" s="0" t="inlineStr">
        <is>
          <t>405.00K</t>
        </is>
      </c>
      <c r="F1395" s="0" t="inlineStr">
        <is>
          <t>(Stage</t>
        </is>
      </c>
      <c r="G1395" s="0" t="inlineStr">
        <is>
          <t>:</t>
        </is>
      </c>
      <c r="H1395" s="0" t="inlineStr">
        <is>
          <t>4)</t>
        </is>
      </c>
      <c r="I1395" s="0" t="inlineStr">
        <is>
          <t>-</t>
        </is>
      </c>
      <c r="J1395" s="0" t="n">
        <v>405000</v>
      </c>
      <c r="K1395" s="0">
        <f>IF(H1394="1)",1,IF(H1394="2)",2,IF(H1394="3)",3,IF(H1394="4)",4,IF(H1394="5)",5,IF(H1394="6)",6,IF(H1394="7)",7,IF(H1394="8)",8,0))))))))</f>
        <v/>
      </c>
      <c r="L1395" s="0">
        <f>IF(H1394="1)",J1394,IF(H1394="2)",J1394,IF(H1394="3)",J1394,IF(H1394="4)",J1394,IF(H1394="5)",J1394,IF(H1394="6)",J1394,IF(H1394="7)",J1394,IF(H1394="8)",J1394,0))))))))</f>
        <v/>
      </c>
    </row>
    <row r="1396">
      <c r="A1396" s="0" t="inlineStr">
        <is>
          <t>Line</t>
        </is>
      </c>
      <c r="B1396" s="0" t="inlineStr">
        <is>
          <t>Prize</t>
        </is>
      </c>
      <c r="C1396" s="0" t="inlineStr">
        <is>
          <t>Acquired</t>
        </is>
      </c>
      <c r="D1396" s="0" t="inlineStr">
        <is>
          <t>:</t>
        </is>
      </c>
      <c r="E1396" s="0" t="inlineStr">
        <is>
          <t>1.08M</t>
        </is>
      </c>
      <c r="F1396" s="0" t="inlineStr">
        <is>
          <t>(Stage</t>
        </is>
      </c>
      <c r="G1396" s="0" t="inlineStr">
        <is>
          <t>:</t>
        </is>
      </c>
      <c r="H1396" s="0" t="inlineStr">
        <is>
          <t>4)</t>
        </is>
      </c>
      <c r="I1396" s="0" t="inlineStr">
        <is>
          <t>-</t>
        </is>
      </c>
      <c r="J1396" s="0" t="n">
        <v>1085000</v>
      </c>
      <c r="K1396" s="0">
        <f>IF(H1395="1)",1,IF(H1395="2)",2,IF(H1395="3)",3,IF(H1395="4)",4,IF(H1395="5)",5,IF(H1395="6)",6,IF(H1395="7)",7,IF(H1395="8)",8,0))))))))</f>
        <v/>
      </c>
      <c r="L1396" s="0">
        <f>IF(H1395="1)",J1395,IF(H1395="2)",J1395,IF(H1395="3)",J1395,IF(H1395="4)",J1395,IF(H1395="5)",J1395,IF(H1395="6)",J1395,IF(H1395="7)",J1395,IF(H1395="8)",J1395,0))))))))</f>
        <v/>
      </c>
    </row>
    <row r="1397">
      <c r="A1397" s="0" t="inlineStr">
        <is>
          <t>Clear</t>
        </is>
      </c>
      <c r="B1397" s="0" t="inlineStr">
        <is>
          <t>Gem</t>
        </is>
      </c>
      <c r="C1397" s="0" t="inlineStr">
        <is>
          <t>Acquired</t>
        </is>
      </c>
      <c r="D1397" s="0" t="inlineStr">
        <is>
          <t>:</t>
        </is>
      </c>
      <c r="E1397" s="0" t="n">
        <v>8300</v>
      </c>
      <c r="F1397" s="0" t="inlineStr">
        <is>
          <t>-&gt;</t>
        </is>
      </c>
      <c r="G1397" s="0" t="n">
        <v>8400</v>
      </c>
      <c r="H1397" s="0" t="inlineStr">
        <is>
          <t>(Stage</t>
        </is>
      </c>
      <c r="I1397" s="0" t="inlineStr">
        <is>
          <t>:</t>
        </is>
      </c>
      <c r="J1397" s="0" t="inlineStr">
        <is>
          <t>4)</t>
        </is>
      </c>
      <c r="K1397" s="0">
        <f>IF(H1396="1)",1,IF(H1396="2)",2,IF(H1396="3)",3,IF(H1396="4)",4,IF(H1396="5)",5,IF(H1396="6)",6,IF(H1396="7)",7,IF(H1396="8)",8,0))))))))</f>
        <v/>
      </c>
      <c r="L1397" s="0">
        <f>IF(H1396="1)",J1396,IF(H1396="2)",J1396,IF(H1396="3)",J1396,IF(H1396="4)",J1396,IF(H1396="5)",J1396,IF(H1396="6)",J1396,IF(H1396="7)",J1396,IF(H1396="8)",J1396,0))))))))</f>
        <v/>
      </c>
    </row>
    <row r="1398">
      <c r="A1398" s="0" t="inlineStr">
        <is>
          <t>New</t>
        </is>
      </c>
      <c r="B1398" s="0" t="inlineStr">
        <is>
          <t>Item</t>
        </is>
      </c>
      <c r="C1398" s="0" t="inlineStr">
        <is>
          <t>Acquired</t>
        </is>
      </c>
      <c r="D1398" s="0" t="inlineStr">
        <is>
          <t>:</t>
        </is>
      </c>
      <c r="E1398" s="0" t="inlineStr">
        <is>
          <t>120.00K</t>
        </is>
      </c>
      <c r="F1398" s="0" t="inlineStr">
        <is>
          <t>(8,</t>
        </is>
      </c>
      <c r="G1398" s="0" t="inlineStr">
        <is>
          <t>7)</t>
        </is>
      </c>
      <c r="K1398" s="0">
        <f>IF(H1397="1)",1,IF(H1397="2)",2,IF(H1397="3)",3,IF(H1397="4)",4,IF(H1397="5)",5,IF(H1397="6)",6,IF(H1397="7)",7,IF(H1397="8)",8,0))))))))</f>
        <v/>
      </c>
      <c r="L1398" s="0">
        <f>IF(H1397="1)",J1397,IF(H1397="2)",J1397,IF(H1397="3)",J1397,IF(H1397="4)",J1397,IF(H1397="5)",J1397,IF(H1397="6)",J1397,IF(H1397="7)",J1397,IF(H1397="8)",J1397,0))))))))</f>
        <v/>
      </c>
    </row>
    <row r="1399">
      <c r="A1399" s="0" t="inlineStr">
        <is>
          <t>New</t>
        </is>
      </c>
      <c r="B1399" s="0" t="inlineStr">
        <is>
          <t>Item</t>
        </is>
      </c>
      <c r="C1399" s="0" t="inlineStr">
        <is>
          <t>Acquired</t>
        </is>
      </c>
      <c r="D1399" s="0" t="inlineStr">
        <is>
          <t>:</t>
        </is>
      </c>
      <c r="E1399" s="0" t="inlineStr">
        <is>
          <t>75.00K</t>
        </is>
      </c>
      <c r="F1399" s="0" t="inlineStr">
        <is>
          <t>(6,</t>
        </is>
      </c>
      <c r="G1399" s="0" t="inlineStr">
        <is>
          <t>1)</t>
        </is>
      </c>
      <c r="K1399" s="0">
        <f>IF(H1398="1)",1,IF(H1398="2)",2,IF(H1398="3)",3,IF(H1398="4)",4,IF(H1398="5)",5,IF(H1398="6)",6,IF(H1398="7)",7,IF(H1398="8)",8,0))))))))</f>
        <v/>
      </c>
      <c r="L1399" s="0">
        <f>IF(H1398="1)",J1398,IF(H1398="2)",J1398,IF(H1398="3)",J1398,IF(H1398="4)",J1398,IF(H1398="5)",J1398,IF(H1398="6)",J1398,IF(H1398="7)",J1398,IF(H1398="8)",J1398,0))))))))</f>
        <v/>
      </c>
    </row>
    <row r="1400">
      <c r="A1400" s="0" t="inlineStr">
        <is>
          <t>New</t>
        </is>
      </c>
      <c r="B1400" s="0" t="inlineStr">
        <is>
          <t>Item</t>
        </is>
      </c>
      <c r="C1400" s="0" t="inlineStr">
        <is>
          <t>Acquired</t>
        </is>
      </c>
      <c r="D1400" s="0" t="inlineStr">
        <is>
          <t>:</t>
        </is>
      </c>
      <c r="E1400" s="0" t="inlineStr">
        <is>
          <t>75.00K</t>
        </is>
      </c>
      <c r="F1400" s="0" t="inlineStr">
        <is>
          <t>(4,</t>
        </is>
      </c>
      <c r="G1400" s="0" t="inlineStr">
        <is>
          <t>15)</t>
        </is>
      </c>
      <c r="K1400" s="0">
        <f>IF(H1399="1)",1,IF(H1399="2)",2,IF(H1399="3)",3,IF(H1399="4)",4,IF(H1399="5)",5,IF(H1399="6)",6,IF(H1399="7)",7,IF(H1399="8)",8,0))))))))</f>
        <v/>
      </c>
      <c r="L1400" s="0">
        <f>IF(H1399="1)",J1399,IF(H1399="2)",J1399,IF(H1399="3)",J1399,IF(H1399="4)",J1399,IF(H1399="5)",J1399,IF(H1399="6)",J1399,IF(H1399="7)",J1399,IF(H1399="8)",J1399,0))))))))</f>
        <v/>
      </c>
    </row>
    <row r="1401">
      <c r="A1401" s="0" t="inlineStr">
        <is>
          <t>New</t>
        </is>
      </c>
      <c r="B1401" s="0" t="inlineStr">
        <is>
          <t>Item</t>
        </is>
      </c>
      <c r="C1401" s="0" t="inlineStr">
        <is>
          <t>Acquired</t>
        </is>
      </c>
      <c r="D1401" s="0" t="inlineStr">
        <is>
          <t>:</t>
        </is>
      </c>
      <c r="E1401" s="0" t="inlineStr">
        <is>
          <t>150.00K</t>
        </is>
      </c>
      <c r="F1401" s="0" t="inlineStr">
        <is>
          <t>(7,</t>
        </is>
      </c>
      <c r="G1401" s="0" t="inlineStr">
        <is>
          <t>19)</t>
        </is>
      </c>
      <c r="K1401" s="0">
        <f>IF(H1400="1)",1,IF(H1400="2)",2,IF(H1400="3)",3,IF(H1400="4)",4,IF(H1400="5)",5,IF(H1400="6)",6,IF(H1400="7)",7,IF(H1400="8)",8,0))))))))</f>
        <v/>
      </c>
      <c r="L1401" s="0">
        <f>IF(H1400="1)",J1400,IF(H1400="2)",J1400,IF(H1400="3)",J1400,IF(H1400="4)",J1400,IF(H1400="5)",J1400,IF(H1400="6)",J1400,IF(H1400="7)",J1400,IF(H1400="8)",J1400,0))))))))</f>
        <v/>
      </c>
    </row>
    <row r="1402">
      <c r="A1402" s="0" t="inlineStr">
        <is>
          <t>New</t>
        </is>
      </c>
      <c r="B1402" s="0" t="inlineStr">
        <is>
          <t>Item</t>
        </is>
      </c>
      <c r="C1402" s="0" t="inlineStr">
        <is>
          <t>Acquired</t>
        </is>
      </c>
      <c r="D1402" s="0" t="inlineStr">
        <is>
          <t>:</t>
        </is>
      </c>
      <c r="E1402" s="0" t="inlineStr">
        <is>
          <t>105.00K</t>
        </is>
      </c>
      <c r="F1402" s="0" t="inlineStr">
        <is>
          <t>(4,</t>
        </is>
      </c>
      <c r="G1402" s="0" t="inlineStr">
        <is>
          <t>17)</t>
        </is>
      </c>
      <c r="K1402" s="0">
        <f>IF(H1401="1)",1,IF(H1401="2)",2,IF(H1401="3)",3,IF(H1401="4)",4,IF(H1401="5)",5,IF(H1401="6)",6,IF(H1401="7)",7,IF(H1401="8)",8,0))))))))</f>
        <v/>
      </c>
      <c r="L1402" s="0">
        <f>IF(H1401="1)",J1401,IF(H1401="2)",J1401,IF(H1401="3)",J1401,IF(H1401="4)",J1401,IF(H1401="5)",J1401,IF(H1401="6)",J1401,IF(H1401="7)",J1401,IF(H1401="8)",J1401,0))))))))</f>
        <v/>
      </c>
    </row>
    <row r="1403">
      <c r="A1403" s="0" t="inlineStr">
        <is>
          <t>New</t>
        </is>
      </c>
      <c r="B1403" s="0" t="inlineStr">
        <is>
          <t>Item</t>
        </is>
      </c>
      <c r="C1403" s="0" t="inlineStr">
        <is>
          <t>Acquired</t>
        </is>
      </c>
      <c r="D1403" s="0" t="inlineStr">
        <is>
          <t>:</t>
        </is>
      </c>
      <c r="E1403" s="0" t="inlineStr">
        <is>
          <t>45.00K</t>
        </is>
      </c>
      <c r="F1403" s="0" t="inlineStr">
        <is>
          <t>(3,</t>
        </is>
      </c>
      <c r="G1403" s="0" t="inlineStr">
        <is>
          <t>22)</t>
        </is>
      </c>
      <c r="K1403" s="0">
        <f>IF(H1402="1)",1,IF(H1402="2)",2,IF(H1402="3)",3,IF(H1402="4)",4,IF(H1402="5)",5,IF(H1402="6)",6,IF(H1402="7)",7,IF(H1402="8)",8,0))))))))</f>
        <v/>
      </c>
      <c r="L1403" s="0">
        <f>IF(H1402="1)",J1402,IF(H1402="2)",J1402,IF(H1402="3)",J1402,IF(H1402="4)",J1402,IF(H1402="5)",J1402,IF(H1402="6)",J1402,IF(H1402="7)",J1402,IF(H1402="8)",J1402,0))))))))</f>
        <v/>
      </c>
    </row>
    <row r="1404">
      <c r="A1404" s="0" t="inlineStr">
        <is>
          <t>New</t>
        </is>
      </c>
      <c r="B1404" s="0" t="inlineStr">
        <is>
          <t>Item</t>
        </is>
      </c>
      <c r="C1404" s="0" t="inlineStr">
        <is>
          <t>Acquired</t>
        </is>
      </c>
      <c r="D1404" s="0" t="inlineStr">
        <is>
          <t>:</t>
        </is>
      </c>
      <c r="E1404" s="0" t="inlineStr">
        <is>
          <t>75.00K</t>
        </is>
      </c>
      <c r="F1404" s="0" t="inlineStr">
        <is>
          <t>(4,</t>
        </is>
      </c>
      <c r="G1404" s="0" t="inlineStr">
        <is>
          <t>12)</t>
        </is>
      </c>
      <c r="K1404" s="0">
        <f>IF(H1403="1)",1,IF(H1403="2)",2,IF(H1403="3)",3,IF(H1403="4)",4,IF(H1403="5)",5,IF(H1403="6)",6,IF(H1403="7)",7,IF(H1403="8)",8,0))))))))</f>
        <v/>
      </c>
      <c r="L1404" s="0">
        <f>IF(H1403="1)",J1403,IF(H1403="2)",J1403,IF(H1403="3)",J1403,IF(H1403="4)",J1403,IF(H1403="5)",J1403,IF(H1403="6)",J1403,IF(H1403="7)",J1403,IF(H1403="8)",J1403,0))))))))</f>
        <v/>
      </c>
    </row>
    <row r="1405">
      <c r="A1405" s="0" t="inlineStr">
        <is>
          <t>New</t>
        </is>
      </c>
      <c r="B1405" s="0" t="inlineStr">
        <is>
          <t>Item</t>
        </is>
      </c>
      <c r="C1405" s="0" t="inlineStr">
        <is>
          <t>Acquired</t>
        </is>
      </c>
      <c r="D1405" s="0" t="inlineStr">
        <is>
          <t>:</t>
        </is>
      </c>
      <c r="E1405" s="0" t="inlineStr">
        <is>
          <t>67.50K</t>
        </is>
      </c>
      <c r="F1405" s="0" t="inlineStr">
        <is>
          <t>(5,</t>
        </is>
      </c>
      <c r="G1405" s="0" t="inlineStr">
        <is>
          <t>11)</t>
        </is>
      </c>
      <c r="K1405" s="0">
        <f>IF(H1404="1)",1,IF(H1404="2)",2,IF(H1404="3)",3,IF(H1404="4)",4,IF(H1404="5)",5,IF(H1404="6)",6,IF(H1404="7)",7,IF(H1404="8)",8,0))))))))</f>
        <v/>
      </c>
      <c r="L1405" s="0">
        <f>IF(H1404="1)",J1404,IF(H1404="2)",J1404,IF(H1404="3)",J1404,IF(H1404="4)",J1404,IF(H1404="5)",J1404,IF(H1404="6)",J1404,IF(H1404="7)",J1404,IF(H1404="8)",J1404,0))))))))</f>
        <v/>
      </c>
    </row>
    <row r="1406">
      <c r="A1406" s="0" t="inlineStr">
        <is>
          <t>New</t>
        </is>
      </c>
      <c r="B1406" s="0" t="inlineStr">
        <is>
          <t>Item</t>
        </is>
      </c>
      <c r="C1406" s="0" t="inlineStr">
        <is>
          <t>Acquired</t>
        </is>
      </c>
      <c r="D1406" s="0" t="inlineStr">
        <is>
          <t>:</t>
        </is>
      </c>
      <c r="E1406" s="0" t="inlineStr">
        <is>
          <t>60.00K</t>
        </is>
      </c>
      <c r="F1406" s="0" t="inlineStr">
        <is>
          <t>(4,</t>
        </is>
      </c>
      <c r="G1406" s="0" t="inlineStr">
        <is>
          <t>14)</t>
        </is>
      </c>
      <c r="K1406" s="0">
        <f>IF(H1405="1)",1,IF(H1405="2)",2,IF(H1405="3)",3,IF(H1405="4)",4,IF(H1405="5)",5,IF(H1405="6)",6,IF(H1405="7)",7,IF(H1405="8)",8,0))))))))</f>
        <v/>
      </c>
      <c r="L1406" s="0">
        <f>IF(H1405="1)",J1405,IF(H1405="2)",J1405,IF(H1405="3)",J1405,IF(H1405="4)",J1405,IF(H1405="5)",J1405,IF(H1405="6)",J1405,IF(H1405="7)",J1405,IF(H1405="8)",J1405,0))))))))</f>
        <v/>
      </c>
    </row>
    <row r="1407">
      <c r="A1407" s="0" t="inlineStr">
        <is>
          <t>New</t>
        </is>
      </c>
      <c r="B1407" s="0" t="inlineStr">
        <is>
          <t>Item</t>
        </is>
      </c>
      <c r="C1407" s="0" t="inlineStr">
        <is>
          <t>Acquired</t>
        </is>
      </c>
      <c r="D1407" s="0" t="inlineStr">
        <is>
          <t>:</t>
        </is>
      </c>
      <c r="E1407" s="0" t="inlineStr">
        <is>
          <t>Minor</t>
        </is>
      </c>
      <c r="F1407" s="0" t="inlineStr">
        <is>
          <t>(5,</t>
        </is>
      </c>
      <c r="G1407" s="0" t="inlineStr">
        <is>
          <t>22)</t>
        </is>
      </c>
      <c r="K1407" s="0">
        <f>IF(H1406="1)",1,IF(H1406="2)",2,IF(H1406="3)",3,IF(H1406="4)",4,IF(H1406="5)",5,IF(H1406="6)",6,IF(H1406="7)",7,IF(H1406="8)",8,0))))))))</f>
        <v/>
      </c>
      <c r="L1407" s="0">
        <f>IF(H1406="1)",J1406,IF(H1406="2)",J1406,IF(H1406="3)",J1406,IF(H1406="4)",J1406,IF(H1406="5)",J1406,IF(H1406="6)",J1406,IF(H1406="7)",J1406,IF(H1406="8)",J1406,0))))))))</f>
        <v/>
      </c>
    </row>
    <row r="1408">
      <c r="A1408" s="0" t="inlineStr">
        <is>
          <t>New</t>
        </is>
      </c>
      <c r="B1408" s="0" t="inlineStr">
        <is>
          <t>Item</t>
        </is>
      </c>
      <c r="C1408" s="0" t="inlineStr">
        <is>
          <t>Acquired</t>
        </is>
      </c>
      <c r="D1408" s="0" t="inlineStr">
        <is>
          <t>:</t>
        </is>
      </c>
      <c r="E1408" s="0" t="inlineStr">
        <is>
          <t>75.00K</t>
        </is>
      </c>
      <c r="F1408" s="0" t="inlineStr">
        <is>
          <t>(4,</t>
        </is>
      </c>
      <c r="G1408" s="0" t="inlineStr">
        <is>
          <t>2)</t>
        </is>
      </c>
      <c r="K1408" s="0">
        <f>IF(H1407="1)",1,IF(H1407="2)",2,IF(H1407="3)",3,IF(H1407="4)",4,IF(H1407="5)",5,IF(H1407="6)",6,IF(H1407="7)",7,IF(H1407="8)",8,0))))))))</f>
        <v/>
      </c>
      <c r="L1408" s="0">
        <f>IF(H1407="1)",J1407,IF(H1407="2)",J1407,IF(H1407="3)",J1407,IF(H1407="4)",J1407,IF(H1407="5)",J1407,IF(H1407="6)",J1407,IF(H1407="7)",J1407,IF(H1407="8)",J1407,0))))))))</f>
        <v/>
      </c>
    </row>
    <row r="1409">
      <c r="A1409" s="0" t="inlineStr">
        <is>
          <t>New</t>
        </is>
      </c>
      <c r="B1409" s="0" t="inlineStr">
        <is>
          <t>Item</t>
        </is>
      </c>
      <c r="C1409" s="0" t="inlineStr">
        <is>
          <t>Acquired</t>
        </is>
      </c>
      <c r="D1409" s="0" t="inlineStr">
        <is>
          <t>:</t>
        </is>
      </c>
      <c r="E1409" s="0" t="inlineStr">
        <is>
          <t>60.00K</t>
        </is>
      </c>
      <c r="F1409" s="0" t="inlineStr">
        <is>
          <t>(4,</t>
        </is>
      </c>
      <c r="G1409" s="0" t="inlineStr">
        <is>
          <t>18)</t>
        </is>
      </c>
      <c r="K1409" s="0">
        <f>IF(H1408="1)",1,IF(H1408="2)",2,IF(H1408="3)",3,IF(H1408="4)",4,IF(H1408="5)",5,IF(H1408="6)",6,IF(H1408="7)",7,IF(H1408="8)",8,0))))))))</f>
        <v/>
      </c>
      <c r="L1409" s="0">
        <f>IF(H1408="1)",J1408,IF(H1408="2)",J1408,IF(H1408="3)",J1408,IF(H1408="4)",J1408,IF(H1408="5)",J1408,IF(H1408="6)",J1408,IF(H1408="7)",J1408,IF(H1408="8)",J1408,0))))))))</f>
        <v/>
      </c>
    </row>
    <row r="1410">
      <c r="A1410" s="0" t="inlineStr">
        <is>
          <t>New</t>
        </is>
      </c>
      <c r="B1410" s="0" t="inlineStr">
        <is>
          <t>Item</t>
        </is>
      </c>
      <c r="C1410" s="0" t="inlineStr">
        <is>
          <t>Acquired</t>
        </is>
      </c>
      <c r="D1410" s="0" t="inlineStr">
        <is>
          <t>:</t>
        </is>
      </c>
      <c r="E1410" s="0" t="inlineStr">
        <is>
          <t>105.00K</t>
        </is>
      </c>
      <c r="F1410" s="0" t="inlineStr">
        <is>
          <t>(3,</t>
        </is>
      </c>
      <c r="G1410" s="0" t="inlineStr">
        <is>
          <t>17)</t>
        </is>
      </c>
      <c r="K1410" s="0">
        <f>IF(H1409="1)",1,IF(H1409="2)",2,IF(H1409="3)",3,IF(H1409="4)",4,IF(H1409="5)",5,IF(H1409="6)",6,IF(H1409="7)",7,IF(H1409="8)",8,0))))))))</f>
        <v/>
      </c>
      <c r="L1410" s="0">
        <f>IF(H1409="1)",J1409,IF(H1409="2)",J1409,IF(H1409="3)",J1409,IF(H1409="4)",J1409,IF(H1409="5)",J1409,IF(H1409="6)",J1409,IF(H1409="7)",J1409,IF(H1409="8)",J1409,0))))))))</f>
        <v/>
      </c>
    </row>
    <row r="1411">
      <c r="A1411" s="0" t="inlineStr">
        <is>
          <t>New</t>
        </is>
      </c>
      <c r="B1411" s="0" t="inlineStr">
        <is>
          <t>Item</t>
        </is>
      </c>
      <c r="C1411" s="0" t="inlineStr">
        <is>
          <t>Acquired</t>
        </is>
      </c>
      <c r="D1411" s="0" t="inlineStr">
        <is>
          <t>:</t>
        </is>
      </c>
      <c r="E1411" s="0" t="inlineStr">
        <is>
          <t>75.00K</t>
        </is>
      </c>
      <c r="F1411" s="0" t="inlineStr">
        <is>
          <t>(4,</t>
        </is>
      </c>
      <c r="G1411" s="0" t="inlineStr">
        <is>
          <t>8)</t>
        </is>
      </c>
      <c r="K1411" s="0">
        <f>IF(H1410="1)",1,IF(H1410="2)",2,IF(H1410="3)",3,IF(H1410="4)",4,IF(H1410="5)",5,IF(H1410="6)",6,IF(H1410="7)",7,IF(H1410="8)",8,0))))))))</f>
        <v/>
      </c>
      <c r="L1411" s="0">
        <f>IF(H1410="1)",J1410,IF(H1410="2)",J1410,IF(H1410="3)",J1410,IF(H1410="4)",J1410,IF(H1410="5)",J1410,IF(H1410="6)",J1410,IF(H1410="7)",J1410,IF(H1410="8)",J1410,0))))))))</f>
        <v/>
      </c>
    </row>
    <row r="1412">
      <c r="A1412" s="0" t="inlineStr">
        <is>
          <t>New</t>
        </is>
      </c>
      <c r="B1412" s="0" t="inlineStr">
        <is>
          <t>Item</t>
        </is>
      </c>
      <c r="C1412" s="0" t="inlineStr">
        <is>
          <t>Acquired</t>
        </is>
      </c>
      <c r="D1412" s="0" t="inlineStr">
        <is>
          <t>:</t>
        </is>
      </c>
      <c r="E1412" s="0" t="inlineStr">
        <is>
          <t>Minor</t>
        </is>
      </c>
      <c r="F1412" s="0" t="inlineStr">
        <is>
          <t>(1,</t>
        </is>
      </c>
      <c r="G1412" s="0" t="inlineStr">
        <is>
          <t>11)</t>
        </is>
      </c>
      <c r="K1412" s="0">
        <f>IF(H1411="1)",1,IF(H1411="2)",2,IF(H1411="3)",3,IF(H1411="4)",4,IF(H1411="5)",5,IF(H1411="6)",6,IF(H1411="7)",7,IF(H1411="8)",8,0))))))))</f>
        <v/>
      </c>
      <c r="L1412" s="0">
        <f>IF(H1411="1)",J1411,IF(H1411="2)",J1411,IF(H1411="3)",J1411,IF(H1411="4)",J1411,IF(H1411="5)",J1411,IF(H1411="6)",J1411,IF(H1411="7)",J1411,IF(H1411="8)",J1411,0))))))))</f>
        <v/>
      </c>
    </row>
    <row r="1413">
      <c r="A1413" s="0" t="inlineStr">
        <is>
          <t>New</t>
        </is>
      </c>
      <c r="B1413" s="0" t="inlineStr">
        <is>
          <t>Item</t>
        </is>
      </c>
      <c r="C1413" s="0" t="inlineStr">
        <is>
          <t>Acquired</t>
        </is>
      </c>
      <c r="D1413" s="0" t="inlineStr">
        <is>
          <t>:</t>
        </is>
      </c>
      <c r="E1413" s="0" t="inlineStr">
        <is>
          <t>120.00K</t>
        </is>
      </c>
      <c r="F1413" s="0" t="inlineStr">
        <is>
          <t>(8,</t>
        </is>
      </c>
      <c r="G1413" s="0" t="inlineStr">
        <is>
          <t>6)</t>
        </is>
      </c>
      <c r="K1413" s="0">
        <f>IF(H1412="1)",1,IF(H1412="2)",2,IF(H1412="3)",3,IF(H1412="4)",4,IF(H1412="5)",5,IF(H1412="6)",6,IF(H1412="7)",7,IF(H1412="8)",8,0))))))))</f>
        <v/>
      </c>
      <c r="L1413" s="0">
        <f>IF(H1412="1)",J1412,IF(H1412="2)",J1412,IF(H1412="3)",J1412,IF(H1412="4)",J1412,IF(H1412="5)",J1412,IF(H1412="6)",J1412,IF(H1412="7)",J1412,IF(H1412="8)",J1412,0))))))))</f>
        <v/>
      </c>
    </row>
    <row r="1414">
      <c r="A1414" s="0" t="inlineStr">
        <is>
          <t>New</t>
        </is>
      </c>
      <c r="B1414" s="0" t="inlineStr">
        <is>
          <t>Item</t>
        </is>
      </c>
      <c r="C1414" s="0" t="inlineStr">
        <is>
          <t>Acquired</t>
        </is>
      </c>
      <c r="D1414" s="0" t="inlineStr">
        <is>
          <t>:</t>
        </is>
      </c>
      <c r="E1414" s="0" t="inlineStr">
        <is>
          <t>62.50K</t>
        </is>
      </c>
      <c r="F1414" s="0" t="inlineStr">
        <is>
          <t>(2,</t>
        </is>
      </c>
      <c r="G1414" s="0" t="inlineStr">
        <is>
          <t>19)</t>
        </is>
      </c>
      <c r="K1414" s="0">
        <f>IF(H1413="1)",1,IF(H1413="2)",2,IF(H1413="3)",3,IF(H1413="4)",4,IF(H1413="5)",5,IF(H1413="6)",6,IF(H1413="7)",7,IF(H1413="8)",8,0))))))))</f>
        <v/>
      </c>
      <c r="L1414" s="0">
        <f>IF(H1413="1)",J1413,IF(H1413="2)",J1413,IF(H1413="3)",J1413,IF(H1413="4)",J1413,IF(H1413="5)",J1413,IF(H1413="6)",J1413,IF(H1413="7)",J1413,IF(H1413="8)",J1413,0))))))))</f>
        <v/>
      </c>
    </row>
    <row r="1415">
      <c r="A1415" s="0" t="inlineStr">
        <is>
          <t>Line</t>
        </is>
      </c>
      <c r="B1415" s="0" t="inlineStr">
        <is>
          <t>Prize</t>
        </is>
      </c>
      <c r="C1415" s="0" t="inlineStr">
        <is>
          <t>Acquired</t>
        </is>
      </c>
      <c r="D1415" s="0" t="inlineStr">
        <is>
          <t>:</t>
        </is>
      </c>
      <c r="E1415" s="0" t="inlineStr">
        <is>
          <t>575.00K</t>
        </is>
      </c>
      <c r="F1415" s="0" t="inlineStr">
        <is>
          <t>(Stage</t>
        </is>
      </c>
      <c r="G1415" s="0" t="inlineStr">
        <is>
          <t>:</t>
        </is>
      </c>
      <c r="H1415" s="0" t="inlineStr">
        <is>
          <t>2)</t>
        </is>
      </c>
      <c r="I1415" s="0" t="inlineStr">
        <is>
          <t>-</t>
        </is>
      </c>
      <c r="J1415" s="0" t="n">
        <v>575000</v>
      </c>
      <c r="K1415" s="0">
        <f>IF(H1414="1)",1,IF(H1414="2)",2,IF(H1414="3)",3,IF(H1414="4)",4,IF(H1414="5)",5,IF(H1414="6)",6,IF(H1414="7)",7,IF(H1414="8)",8,0))))))))</f>
        <v/>
      </c>
      <c r="L1415" s="0">
        <f>IF(H1414="1)",J1414,IF(H1414="2)",J1414,IF(H1414="3)",J1414,IF(H1414="4)",J1414,IF(H1414="5)",J1414,IF(H1414="6)",J1414,IF(H1414="7)",J1414,IF(H1414="8)",J1414,0))))))))</f>
        <v/>
      </c>
    </row>
    <row r="1416">
      <c r="A1416" s="0" t="inlineStr">
        <is>
          <t>Clear</t>
        </is>
      </c>
      <c r="B1416" s="0" t="inlineStr">
        <is>
          <t>Gem</t>
        </is>
      </c>
      <c r="C1416" s="0" t="inlineStr">
        <is>
          <t>Acquired</t>
        </is>
      </c>
      <c r="D1416" s="0" t="inlineStr">
        <is>
          <t>:</t>
        </is>
      </c>
      <c r="E1416" s="0" t="n">
        <v>8400</v>
      </c>
      <c r="F1416" s="0" t="inlineStr">
        <is>
          <t>-&gt;</t>
        </is>
      </c>
      <c r="G1416" s="0" t="n">
        <v>8500</v>
      </c>
      <c r="H1416" s="0" t="inlineStr">
        <is>
          <t>(Stage</t>
        </is>
      </c>
      <c r="I1416" s="0" t="inlineStr">
        <is>
          <t>:</t>
        </is>
      </c>
      <c r="J1416" s="0" t="inlineStr">
        <is>
          <t>2)</t>
        </is>
      </c>
      <c r="K1416" s="0">
        <f>IF(H1415="1)",1,IF(H1415="2)",2,IF(H1415="3)",3,IF(H1415="4)",4,IF(H1415="5)",5,IF(H1415="6)",6,IF(H1415="7)",7,IF(H1415="8)",8,0))))))))</f>
        <v/>
      </c>
      <c r="L1416" s="0">
        <f>IF(H1415="1)",J1415,IF(H1415="2)",J1415,IF(H1415="3)",J1415,IF(H1415="4)",J1415,IF(H1415="5)",J1415,IF(H1415="6)",J1415,IF(H1415="7)",J1415,IF(H1415="8)",J1415,0))))))))</f>
        <v/>
      </c>
    </row>
    <row r="1417">
      <c r="A1417" s="0" t="inlineStr">
        <is>
          <t>New</t>
        </is>
      </c>
      <c r="B1417" s="0" t="inlineStr">
        <is>
          <t>Item</t>
        </is>
      </c>
      <c r="C1417" s="0" t="inlineStr">
        <is>
          <t>Acquired</t>
        </is>
      </c>
      <c r="D1417" s="0" t="inlineStr">
        <is>
          <t>:</t>
        </is>
      </c>
      <c r="E1417" s="0" t="inlineStr">
        <is>
          <t>67.50K</t>
        </is>
      </c>
      <c r="F1417" s="0" t="inlineStr">
        <is>
          <t>(5,</t>
        </is>
      </c>
      <c r="G1417" s="0" t="inlineStr">
        <is>
          <t>19)</t>
        </is>
      </c>
      <c r="K1417" s="0">
        <f>IF(H1416="1)",1,IF(H1416="2)",2,IF(H1416="3)",3,IF(H1416="4)",4,IF(H1416="5)",5,IF(H1416="6)",6,IF(H1416="7)",7,IF(H1416="8)",8,0))))))))</f>
        <v/>
      </c>
      <c r="L1417" s="0">
        <f>IF(H1416="1)",J1416,IF(H1416="2)",J1416,IF(H1416="3)",J1416,IF(H1416="4)",J1416,IF(H1416="5)",J1416,IF(H1416="6)",J1416,IF(H1416="7)",J1416,IF(H1416="8)",J1416,0))))))))</f>
        <v/>
      </c>
    </row>
    <row r="1418">
      <c r="A1418" s="0" t="inlineStr">
        <is>
          <t>New</t>
        </is>
      </c>
      <c r="B1418" s="0" t="inlineStr">
        <is>
          <t>Item</t>
        </is>
      </c>
      <c r="C1418" s="0" t="inlineStr">
        <is>
          <t>Acquired</t>
        </is>
      </c>
      <c r="D1418" s="0" t="inlineStr">
        <is>
          <t>:</t>
        </is>
      </c>
      <c r="E1418" s="0" t="inlineStr">
        <is>
          <t>45.00K</t>
        </is>
      </c>
      <c r="F1418" s="0" t="inlineStr">
        <is>
          <t>(3,</t>
        </is>
      </c>
      <c r="G1418" s="0" t="inlineStr">
        <is>
          <t>9)</t>
        </is>
      </c>
      <c r="K1418" s="0">
        <f>IF(H1417="1)",1,IF(H1417="2)",2,IF(H1417="3)",3,IF(H1417="4)",4,IF(H1417="5)",5,IF(H1417="6)",6,IF(H1417="7)",7,IF(H1417="8)",8,0))))))))</f>
        <v/>
      </c>
      <c r="L1418" s="0">
        <f>IF(H1417="1)",J1417,IF(H1417="2)",J1417,IF(H1417="3)",J1417,IF(H1417="4)",J1417,IF(H1417="5)",J1417,IF(H1417="6)",J1417,IF(H1417="7)",J1417,IF(H1417="8)",J1417,0))))))))</f>
        <v/>
      </c>
    </row>
    <row r="1419">
      <c r="A1419" s="0" t="inlineStr">
        <is>
          <t>New</t>
        </is>
      </c>
      <c r="B1419" s="0" t="inlineStr">
        <is>
          <t>Item</t>
        </is>
      </c>
      <c r="C1419" s="0" t="inlineStr">
        <is>
          <t>Acquired</t>
        </is>
      </c>
      <c r="D1419" s="0" t="inlineStr">
        <is>
          <t>:</t>
        </is>
      </c>
      <c r="E1419" s="0" t="inlineStr">
        <is>
          <t>37.50K</t>
        </is>
      </c>
      <c r="F1419" s="0" t="inlineStr">
        <is>
          <t>(2,</t>
        </is>
      </c>
      <c r="G1419" s="0" t="inlineStr">
        <is>
          <t>21)</t>
        </is>
      </c>
      <c r="K1419" s="0">
        <f>IF(H1418="1)",1,IF(H1418="2)",2,IF(H1418="3)",3,IF(H1418="4)",4,IF(H1418="5)",5,IF(H1418="6)",6,IF(H1418="7)",7,IF(H1418="8)",8,0))))))))</f>
        <v/>
      </c>
      <c r="L1419" s="0">
        <f>IF(H1418="1)",J1418,IF(H1418="2)",J1418,IF(H1418="3)",J1418,IF(H1418="4)",J1418,IF(H1418="5)",J1418,IF(H1418="6)",J1418,IF(H1418="7)",J1418,IF(H1418="8)",J1418,0))))))))</f>
        <v/>
      </c>
    </row>
    <row r="1420">
      <c r="A1420" s="0" t="inlineStr">
        <is>
          <t>New</t>
        </is>
      </c>
      <c r="B1420" s="0" t="inlineStr">
        <is>
          <t>Item</t>
        </is>
      </c>
      <c r="C1420" s="0" t="inlineStr">
        <is>
          <t>Acquired</t>
        </is>
      </c>
      <c r="D1420" s="0" t="inlineStr">
        <is>
          <t>:</t>
        </is>
      </c>
      <c r="E1420" s="0" t="inlineStr">
        <is>
          <t>75.00K</t>
        </is>
      </c>
      <c r="F1420" s="0" t="inlineStr">
        <is>
          <t>(4,</t>
        </is>
      </c>
      <c r="G1420" s="0" t="inlineStr">
        <is>
          <t>19)</t>
        </is>
      </c>
      <c r="K1420" s="0">
        <f>IF(H1419="1)",1,IF(H1419="2)",2,IF(H1419="3)",3,IF(H1419="4)",4,IF(H1419="5)",5,IF(H1419="6)",6,IF(H1419="7)",7,IF(H1419="8)",8,0))))))))</f>
        <v/>
      </c>
      <c r="L1420" s="0">
        <f>IF(H1419="1)",J1419,IF(H1419="2)",J1419,IF(H1419="3)",J1419,IF(H1419="4)",J1419,IF(H1419="5)",J1419,IF(H1419="6)",J1419,IF(H1419="7)",J1419,IF(H1419="8)",J1419,0))))))))</f>
        <v/>
      </c>
    </row>
    <row r="1421">
      <c r="A1421" s="0" t="inlineStr">
        <is>
          <t>New</t>
        </is>
      </c>
      <c r="B1421" s="0" t="inlineStr">
        <is>
          <t>Item</t>
        </is>
      </c>
      <c r="C1421" s="0" t="inlineStr">
        <is>
          <t>Acquired</t>
        </is>
      </c>
      <c r="D1421" s="0" t="inlineStr">
        <is>
          <t>:</t>
        </is>
      </c>
      <c r="E1421" s="0" t="inlineStr">
        <is>
          <t>125.00K</t>
        </is>
      </c>
      <c r="F1421" s="0" t="inlineStr">
        <is>
          <t>(6,</t>
        </is>
      </c>
      <c r="G1421" s="0" t="inlineStr">
        <is>
          <t>6)</t>
        </is>
      </c>
      <c r="K1421" s="0">
        <f>IF(H1420="1)",1,IF(H1420="2)",2,IF(H1420="3)",3,IF(H1420="4)",4,IF(H1420="5)",5,IF(H1420="6)",6,IF(H1420="7)",7,IF(H1420="8)",8,0))))))))</f>
        <v/>
      </c>
      <c r="L1421" s="0">
        <f>IF(H1420="1)",J1420,IF(H1420="2)",J1420,IF(H1420="3)",J1420,IF(H1420="4)",J1420,IF(H1420="5)",J1420,IF(H1420="6)",J1420,IF(H1420="7)",J1420,IF(H1420="8)",J1420,0))))))))</f>
        <v/>
      </c>
    </row>
    <row r="1422">
      <c r="A1422" s="0" t="inlineStr">
        <is>
          <t>New</t>
        </is>
      </c>
      <c r="B1422" s="0" t="inlineStr">
        <is>
          <t>Item</t>
        </is>
      </c>
      <c r="C1422" s="0" t="inlineStr">
        <is>
          <t>Acquired</t>
        </is>
      </c>
      <c r="D1422" s="0" t="inlineStr">
        <is>
          <t>:</t>
        </is>
      </c>
      <c r="E1422" s="0" t="inlineStr">
        <is>
          <t>37.50K</t>
        </is>
      </c>
      <c r="F1422" s="0" t="inlineStr">
        <is>
          <t>(2,</t>
        </is>
      </c>
      <c r="G1422" s="0" t="inlineStr">
        <is>
          <t>2)</t>
        </is>
      </c>
      <c r="K1422" s="0">
        <f>IF(H1421="1)",1,IF(H1421="2)",2,IF(H1421="3)",3,IF(H1421="4)",4,IF(H1421="5)",5,IF(H1421="6)",6,IF(H1421="7)",7,IF(H1421="8)",8,0))))))))</f>
        <v/>
      </c>
      <c r="L1422" s="0">
        <f>IF(H1421="1)",J1421,IF(H1421="2)",J1421,IF(H1421="3)",J1421,IF(H1421="4)",J1421,IF(H1421="5)",J1421,IF(H1421="6)",J1421,IF(H1421="7)",J1421,IF(H1421="8)",J1421,0))))))))</f>
        <v/>
      </c>
    </row>
    <row r="1423">
      <c r="A1423" s="0" t="inlineStr">
        <is>
          <t>New</t>
        </is>
      </c>
      <c r="B1423" s="0" t="inlineStr">
        <is>
          <t>Item</t>
        </is>
      </c>
      <c r="C1423" s="0" t="inlineStr">
        <is>
          <t>Acquired</t>
        </is>
      </c>
      <c r="D1423" s="0" t="inlineStr">
        <is>
          <t>:</t>
        </is>
      </c>
      <c r="E1423" s="0" t="inlineStr">
        <is>
          <t>75.00K</t>
        </is>
      </c>
      <c r="F1423" s="0" t="inlineStr">
        <is>
          <t>(4,</t>
        </is>
      </c>
      <c r="G1423" s="0" t="inlineStr">
        <is>
          <t>1)</t>
        </is>
      </c>
      <c r="K1423" s="0">
        <f>IF(H1422="1)",1,IF(H1422="2)",2,IF(H1422="3)",3,IF(H1422="4)",4,IF(H1422="5)",5,IF(H1422="6)",6,IF(H1422="7)",7,IF(H1422="8)",8,0))))))))</f>
        <v/>
      </c>
      <c r="L1423" s="0">
        <f>IF(H1422="1)",J1422,IF(H1422="2)",J1422,IF(H1422="3)",J1422,IF(H1422="4)",J1422,IF(H1422="5)",J1422,IF(H1422="6)",J1422,IF(H1422="7)",J1422,IF(H1422="8)",J1422,0))))))))</f>
        <v/>
      </c>
    </row>
    <row r="1424">
      <c r="A1424" s="0" t="inlineStr">
        <is>
          <t>New</t>
        </is>
      </c>
      <c r="B1424" s="0" t="inlineStr">
        <is>
          <t>Item</t>
        </is>
      </c>
      <c r="C1424" s="0" t="inlineStr">
        <is>
          <t>Acquired</t>
        </is>
      </c>
      <c r="D1424" s="0" t="inlineStr">
        <is>
          <t>:</t>
        </is>
      </c>
      <c r="E1424" s="0" t="inlineStr">
        <is>
          <t>157.50K</t>
        </is>
      </c>
      <c r="F1424" s="0" t="inlineStr">
        <is>
          <t>(5,</t>
        </is>
      </c>
      <c r="G1424" s="0" t="inlineStr">
        <is>
          <t>20)</t>
        </is>
      </c>
      <c r="K1424" s="0">
        <f>IF(H1423="1)",1,IF(H1423="2)",2,IF(H1423="3)",3,IF(H1423="4)",4,IF(H1423="5)",5,IF(H1423="6)",6,IF(H1423="7)",7,IF(H1423="8)",8,0))))))))</f>
        <v/>
      </c>
      <c r="L1424" s="0">
        <f>IF(H1423="1)",J1423,IF(H1423="2)",J1423,IF(H1423="3)",J1423,IF(H1423="4)",J1423,IF(H1423="5)",J1423,IF(H1423="6)",J1423,IF(H1423="7)",J1423,IF(H1423="8)",J1423,0))))))))</f>
        <v/>
      </c>
    </row>
    <row r="1425">
      <c r="A1425" s="0" t="inlineStr">
        <is>
          <t>Line</t>
        </is>
      </c>
      <c r="B1425" s="0" t="inlineStr">
        <is>
          <t>Prize</t>
        </is>
      </c>
      <c r="C1425" s="0" t="inlineStr">
        <is>
          <t>Acquired</t>
        </is>
      </c>
      <c r="D1425" s="0" t="inlineStr">
        <is>
          <t>:</t>
        </is>
      </c>
      <c r="E1425" s="0" t="inlineStr">
        <is>
          <t>562.50K</t>
        </is>
      </c>
      <c r="F1425" s="0" t="inlineStr">
        <is>
          <t>(Stage</t>
        </is>
      </c>
      <c r="G1425" s="0" t="inlineStr">
        <is>
          <t>:</t>
        </is>
      </c>
      <c r="H1425" s="0" t="inlineStr">
        <is>
          <t>5)</t>
        </is>
      </c>
      <c r="I1425" s="0" t="inlineStr">
        <is>
          <t>-</t>
        </is>
      </c>
      <c r="J1425" s="0" t="n">
        <v>562500</v>
      </c>
      <c r="K1425" s="0">
        <f>IF(H1424="1)",1,IF(H1424="2)",2,IF(H1424="3)",3,IF(H1424="4)",4,IF(H1424="5)",5,IF(H1424="6)",6,IF(H1424="7)",7,IF(H1424="8)",8,0))))))))</f>
        <v/>
      </c>
      <c r="L1425" s="0">
        <f>IF(H1424="1)",J1424,IF(H1424="2)",J1424,IF(H1424="3)",J1424,IF(H1424="4)",J1424,IF(H1424="5)",J1424,IF(H1424="6)",J1424,IF(H1424="7)",J1424,IF(H1424="8)",J1424,0))))))))</f>
        <v/>
      </c>
    </row>
    <row r="1426">
      <c r="A1426" s="0" t="inlineStr">
        <is>
          <t>Clear</t>
        </is>
      </c>
      <c r="B1426" s="0" t="inlineStr">
        <is>
          <t>Gem</t>
        </is>
      </c>
      <c r="C1426" s="0" t="inlineStr">
        <is>
          <t>Acquired</t>
        </is>
      </c>
      <c r="D1426" s="0" t="inlineStr">
        <is>
          <t>:</t>
        </is>
      </c>
      <c r="E1426" s="0" t="n">
        <v>8500</v>
      </c>
      <c r="F1426" s="0" t="inlineStr">
        <is>
          <t>-&gt;</t>
        </is>
      </c>
      <c r="G1426" s="0" t="n">
        <v>8600</v>
      </c>
      <c r="H1426" s="0" t="inlineStr">
        <is>
          <t>(Stage</t>
        </is>
      </c>
      <c r="I1426" s="0" t="inlineStr">
        <is>
          <t>:</t>
        </is>
      </c>
      <c r="J1426" s="0" t="inlineStr">
        <is>
          <t>5)</t>
        </is>
      </c>
      <c r="K1426" s="0">
        <f>IF(H1425="1)",1,IF(H1425="2)",2,IF(H1425="3)",3,IF(H1425="4)",4,IF(H1425="5)",5,IF(H1425="6)",6,IF(H1425="7)",7,IF(H1425="8)",8,0))))))))</f>
        <v/>
      </c>
      <c r="L1426" s="0">
        <f>IF(H1425="1)",J1425,IF(H1425="2)",J1425,IF(H1425="3)",J1425,IF(H1425="4)",J1425,IF(H1425="5)",J1425,IF(H1425="6)",J1425,IF(H1425="7)",J1425,IF(H1425="8)",J1425,0))))))))</f>
        <v/>
      </c>
    </row>
    <row r="1427">
      <c r="A1427" s="0" t="inlineStr">
        <is>
          <t>New</t>
        </is>
      </c>
      <c r="B1427" s="0" t="inlineStr">
        <is>
          <t>Item</t>
        </is>
      </c>
      <c r="C1427" s="0" t="inlineStr">
        <is>
          <t>Acquired</t>
        </is>
      </c>
      <c r="D1427" s="0" t="inlineStr">
        <is>
          <t>:</t>
        </is>
      </c>
      <c r="E1427" s="0" t="inlineStr">
        <is>
          <t>75.00K</t>
        </is>
      </c>
      <c r="F1427" s="0" t="inlineStr">
        <is>
          <t>(4,</t>
        </is>
      </c>
      <c r="G1427" s="0" t="inlineStr">
        <is>
          <t>3)</t>
        </is>
      </c>
      <c r="K1427" s="0">
        <f>IF(H1426="1)",1,IF(H1426="2)",2,IF(H1426="3)",3,IF(H1426="4)",4,IF(H1426="5)",5,IF(H1426="6)",6,IF(H1426="7)",7,IF(H1426="8)",8,0))))))))</f>
        <v/>
      </c>
      <c r="L1427" s="0">
        <f>IF(H1426="1)",J1426,IF(H1426="2)",J1426,IF(H1426="3)",J1426,IF(H1426="4)",J1426,IF(H1426="5)",J1426,IF(H1426="6)",J1426,IF(H1426="7)",J1426,IF(H1426="8)",J1426,0))))))))</f>
        <v/>
      </c>
    </row>
    <row r="1428">
      <c r="A1428" s="0" t="inlineStr">
        <is>
          <t>New</t>
        </is>
      </c>
      <c r="B1428" s="0" t="inlineStr">
        <is>
          <t>Item</t>
        </is>
      </c>
      <c r="C1428" s="0" t="inlineStr">
        <is>
          <t>Acquired</t>
        </is>
      </c>
      <c r="D1428" s="0" t="inlineStr">
        <is>
          <t>:</t>
        </is>
      </c>
      <c r="E1428" s="0" t="inlineStr">
        <is>
          <t>45.00K</t>
        </is>
      </c>
      <c r="F1428" s="0" t="inlineStr">
        <is>
          <t>(3,</t>
        </is>
      </c>
      <c r="G1428" s="0" t="inlineStr">
        <is>
          <t>5)</t>
        </is>
      </c>
      <c r="K1428" s="0">
        <f>IF(H1427="1)",1,IF(H1427="2)",2,IF(H1427="3)",3,IF(H1427="4)",4,IF(H1427="5)",5,IF(H1427="6)",6,IF(H1427="7)",7,IF(H1427="8)",8,0))))))))</f>
        <v/>
      </c>
      <c r="L1428" s="0">
        <f>IF(H1427="1)",J1427,IF(H1427="2)",J1427,IF(H1427="3)",J1427,IF(H1427="4)",J1427,IF(H1427="5)",J1427,IF(H1427="6)",J1427,IF(H1427="7)",J1427,IF(H1427="8)",J1427,0))))))))</f>
        <v/>
      </c>
    </row>
    <row r="1429">
      <c r="A1429" s="0" t="inlineStr">
        <is>
          <t>New</t>
        </is>
      </c>
      <c r="B1429" s="0" t="inlineStr">
        <is>
          <t>Item</t>
        </is>
      </c>
      <c r="C1429" s="0" t="inlineStr">
        <is>
          <t>Acquired</t>
        </is>
      </c>
      <c r="D1429" s="0" t="inlineStr">
        <is>
          <t>:</t>
        </is>
      </c>
      <c r="E1429" s="0" t="inlineStr">
        <is>
          <t>175.00K</t>
        </is>
      </c>
      <c r="F1429" s="0" t="inlineStr">
        <is>
          <t>(6,</t>
        </is>
      </c>
      <c r="G1429" s="0" t="inlineStr">
        <is>
          <t>2)</t>
        </is>
      </c>
      <c r="K1429" s="0">
        <f>IF(H1428="1)",1,IF(H1428="2)",2,IF(H1428="3)",3,IF(H1428="4)",4,IF(H1428="5)",5,IF(H1428="6)",6,IF(H1428="7)",7,IF(H1428="8)",8,0))))))))</f>
        <v/>
      </c>
      <c r="L1429" s="0">
        <f>IF(H1428="1)",J1428,IF(H1428="2)",J1428,IF(H1428="3)",J1428,IF(H1428="4)",J1428,IF(H1428="5)",J1428,IF(H1428="6)",J1428,IF(H1428="7)",J1428,IF(H1428="8)",J1428,0))))))))</f>
        <v/>
      </c>
    </row>
    <row r="1430">
      <c r="A1430" s="0" t="inlineStr">
        <is>
          <t>Line</t>
        </is>
      </c>
      <c r="B1430" s="0" t="inlineStr">
        <is>
          <t>Prize</t>
        </is>
      </c>
      <c r="C1430" s="0" t="inlineStr">
        <is>
          <t>Acquired</t>
        </is>
      </c>
      <c r="D1430" s="0" t="inlineStr">
        <is>
          <t>:</t>
        </is>
      </c>
      <c r="E1430" s="0" t="inlineStr">
        <is>
          <t>1.20M</t>
        </is>
      </c>
      <c r="F1430" s="0" t="inlineStr">
        <is>
          <t>(Stage</t>
        </is>
      </c>
      <c r="G1430" s="0" t="inlineStr">
        <is>
          <t>:</t>
        </is>
      </c>
      <c r="H1430" s="0" t="inlineStr">
        <is>
          <t>6)</t>
        </is>
      </c>
      <c r="I1430" s="0" t="inlineStr">
        <is>
          <t>-</t>
        </is>
      </c>
      <c r="J1430" s="0" t="n">
        <v>1200000</v>
      </c>
      <c r="K1430" s="0">
        <f>IF(H1429="1)",1,IF(H1429="2)",2,IF(H1429="3)",3,IF(H1429="4)",4,IF(H1429="5)",5,IF(H1429="6)",6,IF(H1429="7)",7,IF(H1429="8)",8,0))))))))</f>
        <v/>
      </c>
      <c r="L1430" s="0">
        <f>IF(H1429="1)",J1429,IF(H1429="2)",J1429,IF(H1429="3)",J1429,IF(H1429="4)",J1429,IF(H1429="5)",J1429,IF(H1429="6)",J1429,IF(H1429="7)",J1429,IF(H1429="8)",J1429,0))))))))</f>
        <v/>
      </c>
    </row>
    <row r="1431">
      <c r="A1431" s="0" t="inlineStr">
        <is>
          <t>Clear</t>
        </is>
      </c>
      <c r="B1431" s="0" t="inlineStr">
        <is>
          <t>Gem</t>
        </is>
      </c>
      <c r="C1431" s="0" t="inlineStr">
        <is>
          <t>Acquired</t>
        </is>
      </c>
      <c r="D1431" s="0" t="inlineStr">
        <is>
          <t>:</t>
        </is>
      </c>
      <c r="E1431" s="0" t="n">
        <v>8600</v>
      </c>
      <c r="F1431" s="0" t="inlineStr">
        <is>
          <t>-&gt;</t>
        </is>
      </c>
      <c r="G1431" s="0" t="n">
        <v>8700</v>
      </c>
      <c r="H1431" s="0" t="inlineStr">
        <is>
          <t>(Stage</t>
        </is>
      </c>
      <c r="I1431" s="0" t="inlineStr">
        <is>
          <t>:</t>
        </is>
      </c>
      <c r="J1431" s="0" t="inlineStr">
        <is>
          <t>6)</t>
        </is>
      </c>
      <c r="K1431" s="0">
        <f>IF(H1430="1)",1,IF(H1430="2)",2,IF(H1430="3)",3,IF(H1430="4)",4,IF(H1430="5)",5,IF(H1430="6)",6,IF(H1430="7)",7,IF(H1430="8)",8,0))))))))</f>
        <v/>
      </c>
      <c r="L1431" s="0">
        <f>IF(H1430="1)",J1430,IF(H1430="2)",J1430,IF(H1430="3)",J1430,IF(H1430="4)",J1430,IF(H1430="5)",J1430,IF(H1430="6)",J1430,IF(H1430="7)",J1430,IF(H1430="8)",J1430,0))))))))</f>
        <v/>
      </c>
    </row>
    <row r="1432">
      <c r="A1432" s="0" t="inlineStr">
        <is>
          <t>New</t>
        </is>
      </c>
      <c r="B1432" s="0" t="inlineStr">
        <is>
          <t>Item</t>
        </is>
      </c>
      <c r="C1432" s="0" t="inlineStr">
        <is>
          <t>Acquired</t>
        </is>
      </c>
      <c r="D1432" s="0" t="inlineStr">
        <is>
          <t>:</t>
        </is>
      </c>
      <c r="E1432" s="0" t="inlineStr">
        <is>
          <t>67.50K</t>
        </is>
      </c>
      <c r="F1432" s="0" t="inlineStr">
        <is>
          <t>(5,</t>
        </is>
      </c>
      <c r="G1432" s="0" t="inlineStr">
        <is>
          <t>1)</t>
        </is>
      </c>
      <c r="K1432" s="0">
        <f>IF(H1431="1)",1,IF(H1431="2)",2,IF(H1431="3)",3,IF(H1431="4)",4,IF(H1431="5)",5,IF(H1431="6)",6,IF(H1431="7)",7,IF(H1431="8)",8,0))))))))</f>
        <v/>
      </c>
      <c r="L1432" s="0">
        <f>IF(H1431="1)",J1431,IF(H1431="2)",J1431,IF(H1431="3)",J1431,IF(H1431="4)",J1431,IF(H1431="5)",J1431,IF(H1431="6)",J1431,IF(H1431="7)",J1431,IF(H1431="8)",J1431,0))))))))</f>
        <v/>
      </c>
    </row>
    <row r="1433">
      <c r="A1433" s="0" t="inlineStr">
        <is>
          <t>New</t>
        </is>
      </c>
      <c r="B1433" s="0" t="inlineStr">
        <is>
          <t>Item</t>
        </is>
      </c>
      <c r="C1433" s="0" t="inlineStr">
        <is>
          <t>Acquired</t>
        </is>
      </c>
      <c r="D1433" s="0" t="inlineStr">
        <is>
          <t>:</t>
        </is>
      </c>
      <c r="E1433" s="0" t="inlineStr">
        <is>
          <t>75.00K</t>
        </is>
      </c>
      <c r="F1433" s="0" t="inlineStr">
        <is>
          <t>(6,</t>
        </is>
      </c>
      <c r="G1433" s="0" t="inlineStr">
        <is>
          <t>10)</t>
        </is>
      </c>
      <c r="K1433" s="0">
        <f>IF(H1432="1)",1,IF(H1432="2)",2,IF(H1432="3)",3,IF(H1432="4)",4,IF(H1432="5)",5,IF(H1432="6)",6,IF(H1432="7)",7,IF(H1432="8)",8,0))))))))</f>
        <v/>
      </c>
      <c r="L1433" s="0">
        <f>IF(H1432="1)",J1432,IF(H1432="2)",J1432,IF(H1432="3)",J1432,IF(H1432="4)",J1432,IF(H1432="5)",J1432,IF(H1432="6)",J1432,IF(H1432="7)",J1432,IF(H1432="8)",J1432,0))))))))</f>
        <v/>
      </c>
    </row>
    <row r="1434">
      <c r="A1434" s="0" t="inlineStr">
        <is>
          <t>New</t>
        </is>
      </c>
      <c r="B1434" s="0" t="inlineStr">
        <is>
          <t>Item</t>
        </is>
      </c>
      <c r="C1434" s="0" t="inlineStr">
        <is>
          <t>Acquired</t>
        </is>
      </c>
      <c r="D1434" s="0" t="inlineStr">
        <is>
          <t>:</t>
        </is>
      </c>
      <c r="E1434" s="0" t="inlineStr">
        <is>
          <t>Minor</t>
        </is>
      </c>
      <c r="F1434" s="0" t="inlineStr">
        <is>
          <t>(5,</t>
        </is>
      </c>
      <c r="G1434" s="0" t="inlineStr">
        <is>
          <t>14)</t>
        </is>
      </c>
      <c r="K1434" s="0">
        <f>IF(H1433="1)",1,IF(H1433="2)",2,IF(H1433="3)",3,IF(H1433="4)",4,IF(H1433="5)",5,IF(H1433="6)",6,IF(H1433="7)",7,IF(H1433="8)",8,0))))))))</f>
        <v/>
      </c>
      <c r="L1434" s="0">
        <f>IF(H1433="1)",J1433,IF(H1433="2)",J1433,IF(H1433="3)",J1433,IF(H1433="4)",J1433,IF(H1433="5)",J1433,IF(H1433="6)",J1433,IF(H1433="7)",J1433,IF(H1433="8)",J1433,0))))))))</f>
        <v/>
      </c>
    </row>
    <row r="1435">
      <c r="A1435" s="0" t="inlineStr">
        <is>
          <t>New</t>
        </is>
      </c>
      <c r="B1435" s="0" t="inlineStr">
        <is>
          <t>Item</t>
        </is>
      </c>
      <c r="C1435" s="0" t="inlineStr">
        <is>
          <t>Acquired</t>
        </is>
      </c>
      <c r="D1435" s="0" t="inlineStr">
        <is>
          <t>:</t>
        </is>
      </c>
      <c r="E1435" s="0" t="inlineStr">
        <is>
          <t>75.00K</t>
        </is>
      </c>
      <c r="F1435" s="0" t="inlineStr">
        <is>
          <t>(4,</t>
        </is>
      </c>
      <c r="G1435" s="0" t="inlineStr">
        <is>
          <t>20)</t>
        </is>
      </c>
      <c r="K1435" s="0">
        <f>IF(H1434="1)",1,IF(H1434="2)",2,IF(H1434="3)",3,IF(H1434="4)",4,IF(H1434="5)",5,IF(H1434="6)",6,IF(H1434="7)",7,IF(H1434="8)",8,0))))))))</f>
        <v/>
      </c>
      <c r="L1435" s="0">
        <f>IF(H1434="1)",J1434,IF(H1434="2)",J1434,IF(H1434="3)",J1434,IF(H1434="4)",J1434,IF(H1434="5)",J1434,IF(H1434="6)",J1434,IF(H1434="7)",J1434,IF(H1434="8)",J1434,0))))))))</f>
        <v/>
      </c>
    </row>
    <row r="1436">
      <c r="A1436" s="0" t="inlineStr">
        <is>
          <t>New</t>
        </is>
      </c>
      <c r="B1436" s="0" t="inlineStr">
        <is>
          <t>Item</t>
        </is>
      </c>
      <c r="C1436" s="0" t="inlineStr">
        <is>
          <t>Acquired</t>
        </is>
      </c>
      <c r="D1436" s="0" t="inlineStr">
        <is>
          <t>:</t>
        </is>
      </c>
      <c r="E1436" s="0" t="inlineStr">
        <is>
          <t>200.00K</t>
        </is>
      </c>
      <c r="F1436" s="0" t="inlineStr">
        <is>
          <t>(8,</t>
        </is>
      </c>
      <c r="G1436" s="0" t="inlineStr">
        <is>
          <t>17)</t>
        </is>
      </c>
      <c r="K1436" s="0">
        <f>IF(H1435="1)",1,IF(H1435="2)",2,IF(H1435="3)",3,IF(H1435="4)",4,IF(H1435="5)",5,IF(H1435="6)",6,IF(H1435="7)",7,IF(H1435="8)",8,0))))))))</f>
        <v/>
      </c>
      <c r="L1436" s="0">
        <f>IF(H1435="1)",J1435,IF(H1435="2)",J1435,IF(H1435="3)",J1435,IF(H1435="4)",J1435,IF(H1435="5)",J1435,IF(H1435="6)",J1435,IF(H1435="7)",J1435,IF(H1435="8)",J1435,0))))))))</f>
        <v/>
      </c>
    </row>
    <row r="1437">
      <c r="A1437" s="0" t="inlineStr">
        <is>
          <t>New</t>
        </is>
      </c>
      <c r="B1437" s="0" t="inlineStr">
        <is>
          <t>Item</t>
        </is>
      </c>
      <c r="C1437" s="0" t="inlineStr">
        <is>
          <t>Acquired</t>
        </is>
      </c>
      <c r="D1437" s="0" t="inlineStr">
        <is>
          <t>:</t>
        </is>
      </c>
      <c r="E1437" s="0" t="inlineStr">
        <is>
          <t>105.00K</t>
        </is>
      </c>
      <c r="F1437" s="0" t="inlineStr">
        <is>
          <t>(3,</t>
        </is>
      </c>
      <c r="G1437" s="0" t="inlineStr">
        <is>
          <t>7)</t>
        </is>
      </c>
      <c r="K1437" s="0">
        <f>IF(H1436="1)",1,IF(H1436="2)",2,IF(H1436="3)",3,IF(H1436="4)",4,IF(H1436="5)",5,IF(H1436="6)",6,IF(H1436="7)",7,IF(H1436="8)",8,0))))))))</f>
        <v/>
      </c>
      <c r="L1437" s="0">
        <f>IF(H1436="1)",J1436,IF(H1436="2)",J1436,IF(H1436="3)",J1436,IF(H1436="4)",J1436,IF(H1436="5)",J1436,IF(H1436="6)",J1436,IF(H1436="7)",J1436,IF(H1436="8)",J1436,0))))))))</f>
        <v/>
      </c>
    </row>
    <row r="1438">
      <c r="A1438" s="0" t="inlineStr">
        <is>
          <t>New</t>
        </is>
      </c>
      <c r="B1438" s="0" t="inlineStr">
        <is>
          <t>Item</t>
        </is>
      </c>
      <c r="C1438" s="0" t="inlineStr">
        <is>
          <t>Acquired</t>
        </is>
      </c>
      <c r="D1438" s="0" t="inlineStr">
        <is>
          <t>:</t>
        </is>
      </c>
      <c r="E1438" s="0" t="inlineStr">
        <is>
          <t>67.50K</t>
        </is>
      </c>
      <c r="F1438" s="0" t="inlineStr">
        <is>
          <t>(5,</t>
        </is>
      </c>
      <c r="G1438" s="0" t="inlineStr">
        <is>
          <t>2)</t>
        </is>
      </c>
      <c r="K1438" s="0">
        <f>IF(H1437="1)",1,IF(H1437="2)",2,IF(H1437="3)",3,IF(H1437="4)",4,IF(H1437="5)",5,IF(H1437="6)",6,IF(H1437="7)",7,IF(H1437="8)",8,0))))))))</f>
        <v/>
      </c>
      <c r="L1438" s="0">
        <f>IF(H1437="1)",J1437,IF(H1437="2)",J1437,IF(H1437="3)",J1437,IF(H1437="4)",J1437,IF(H1437="5)",J1437,IF(H1437="6)",J1437,IF(H1437="7)",J1437,IF(H1437="8)",J1437,0))))))))</f>
        <v/>
      </c>
    </row>
    <row r="1439">
      <c r="A1439" s="0" t="inlineStr">
        <is>
          <t>New</t>
        </is>
      </c>
      <c r="B1439" s="0" t="inlineStr">
        <is>
          <t>Item</t>
        </is>
      </c>
      <c r="C1439" s="0" t="inlineStr">
        <is>
          <t>Acquired</t>
        </is>
      </c>
      <c r="D1439" s="0" t="inlineStr">
        <is>
          <t>:</t>
        </is>
      </c>
      <c r="E1439" s="0" t="inlineStr">
        <is>
          <t>125.00K</t>
        </is>
      </c>
      <c r="F1439" s="0" t="inlineStr">
        <is>
          <t>(6,</t>
        </is>
      </c>
      <c r="G1439" s="0" t="inlineStr">
        <is>
          <t>11)</t>
        </is>
      </c>
      <c r="K1439" s="0">
        <f>IF(H1438="1)",1,IF(H1438="2)",2,IF(H1438="3)",3,IF(H1438="4)",4,IF(H1438="5)",5,IF(H1438="6)",6,IF(H1438="7)",7,IF(H1438="8)",8,0))))))))</f>
        <v/>
      </c>
      <c r="L1439" s="0">
        <f>IF(H1438="1)",J1438,IF(H1438="2)",J1438,IF(H1438="3)",J1438,IF(H1438="4)",J1438,IF(H1438="5)",J1438,IF(H1438="6)",J1438,IF(H1438="7)",J1438,IF(H1438="8)",J1438,0))))))))</f>
        <v/>
      </c>
    </row>
    <row r="1440">
      <c r="A1440" s="0" t="inlineStr">
        <is>
          <t>New</t>
        </is>
      </c>
      <c r="B1440" s="0" t="inlineStr">
        <is>
          <t>Item</t>
        </is>
      </c>
      <c r="C1440" s="0" t="inlineStr">
        <is>
          <t>Acquired</t>
        </is>
      </c>
      <c r="D1440" s="0" t="inlineStr">
        <is>
          <t>:</t>
        </is>
      </c>
      <c r="E1440" s="0" t="inlineStr">
        <is>
          <t>75.00K</t>
        </is>
      </c>
      <c r="F1440" s="0" t="inlineStr">
        <is>
          <t>(4,</t>
        </is>
      </c>
      <c r="G1440" s="0" t="inlineStr">
        <is>
          <t>21)</t>
        </is>
      </c>
      <c r="K1440" s="0">
        <f>IF(H1439="1)",1,IF(H1439="2)",2,IF(H1439="3)",3,IF(H1439="4)",4,IF(H1439="5)",5,IF(H1439="6)",6,IF(H1439="7)",7,IF(H1439="8)",8,0))))))))</f>
        <v/>
      </c>
      <c r="L1440" s="0">
        <f>IF(H1439="1)",J1439,IF(H1439="2)",J1439,IF(H1439="3)",J1439,IF(H1439="4)",J1439,IF(H1439="5)",J1439,IF(H1439="6)",J1439,IF(H1439="7)",J1439,IF(H1439="8)",J1439,0))))))))</f>
        <v/>
      </c>
    </row>
    <row r="1441">
      <c r="A1441" s="0" t="inlineStr">
        <is>
          <t>New</t>
        </is>
      </c>
      <c r="B1441" s="0" t="inlineStr">
        <is>
          <t>Item</t>
        </is>
      </c>
      <c r="C1441" s="0" t="inlineStr">
        <is>
          <t>Acquired</t>
        </is>
      </c>
      <c r="D1441" s="0" t="inlineStr">
        <is>
          <t>:</t>
        </is>
      </c>
      <c r="E1441" s="0" t="inlineStr">
        <is>
          <t>280.00K</t>
        </is>
      </c>
      <c r="F1441" s="0" t="inlineStr">
        <is>
          <t>(8,</t>
        </is>
      </c>
      <c r="G1441" s="0" t="inlineStr">
        <is>
          <t>5)</t>
        </is>
      </c>
      <c r="K1441" s="0">
        <f>IF(H1440="1)",1,IF(H1440="2)",2,IF(H1440="3)",3,IF(H1440="4)",4,IF(H1440="5)",5,IF(H1440="6)",6,IF(H1440="7)",7,IF(H1440="8)",8,0))))))))</f>
        <v/>
      </c>
      <c r="L1441" s="0">
        <f>IF(H1440="1)",J1440,IF(H1440="2)",J1440,IF(H1440="3)",J1440,IF(H1440="4)",J1440,IF(H1440="5)",J1440,IF(H1440="6)",J1440,IF(H1440="7)",J1440,IF(H1440="8)",J1440,0))))))))</f>
        <v/>
      </c>
    </row>
    <row r="1442">
      <c r="A1442" s="0" t="inlineStr">
        <is>
          <t>Item</t>
        </is>
      </c>
      <c r="B1442" s="0" t="inlineStr">
        <is>
          <t>ReSelect</t>
        </is>
      </c>
      <c r="C1442" s="0" t="inlineStr">
        <is>
          <t>Failed</t>
        </is>
      </c>
      <c r="D1442" s="0" t="inlineStr">
        <is>
          <t>:</t>
        </is>
      </c>
      <c r="E1442" s="0" t="inlineStr">
        <is>
          <t>Attempt</t>
        </is>
      </c>
      <c r="F1442" s="0" t="inlineStr">
        <is>
          <t>Count</t>
        </is>
      </c>
      <c r="G1442" s="0" t="inlineStr">
        <is>
          <t>-</t>
        </is>
      </c>
      <c r="H1442" s="0" t="n">
        <v>3</v>
      </c>
      <c r="K1442" s="0">
        <f>IF(H1441="1)",1,IF(H1441="2)",2,IF(H1441="3)",3,IF(H1441="4)",4,IF(H1441="5)",5,IF(H1441="6)",6,IF(H1441="7)",7,IF(H1441="8)",8,0))))))))</f>
        <v/>
      </c>
      <c r="L1442" s="0">
        <f>IF(H1441="1)",J1441,IF(H1441="2)",J1441,IF(H1441="3)",J1441,IF(H1441="4)",J1441,IF(H1441="5)",J1441,IF(H1441="6)",J1441,IF(H1441="7)",J1441,IF(H1441="8)",J1441,0))))))))</f>
        <v/>
      </c>
    </row>
    <row r="1443">
      <c r="A1443" s="0" t="inlineStr">
        <is>
          <t>New</t>
        </is>
      </c>
      <c r="B1443" s="0" t="inlineStr">
        <is>
          <t>Item</t>
        </is>
      </c>
      <c r="C1443" s="0" t="inlineStr">
        <is>
          <t>Acquired</t>
        </is>
      </c>
      <c r="D1443" s="0" t="inlineStr">
        <is>
          <t>:</t>
        </is>
      </c>
      <c r="E1443" s="0" t="inlineStr">
        <is>
          <t>112.50K</t>
        </is>
      </c>
      <c r="F1443" s="0" t="inlineStr">
        <is>
          <t>(5,</t>
        </is>
      </c>
      <c r="G1443" s="0" t="inlineStr">
        <is>
          <t>11)</t>
        </is>
      </c>
      <c r="K1443" s="0">
        <f>IF(H1442="1)",1,IF(H1442="2)",2,IF(H1442="3)",3,IF(H1442="4)",4,IF(H1442="5)",5,IF(H1442="6)",6,IF(H1442="7)",7,IF(H1442="8)",8,0))))))))</f>
        <v/>
      </c>
      <c r="L1443" s="0">
        <f>IF(H1442="1)",J1442,IF(H1442="2)",J1442,IF(H1442="3)",J1442,IF(H1442="4)",J1442,IF(H1442="5)",J1442,IF(H1442="6)",J1442,IF(H1442="7)",J1442,IF(H1442="8)",J1442,0))))))))</f>
        <v/>
      </c>
    </row>
    <row r="1444">
      <c r="A1444" s="0" t="inlineStr">
        <is>
          <t>New</t>
        </is>
      </c>
      <c r="B1444" s="0" t="inlineStr">
        <is>
          <t>Item</t>
        </is>
      </c>
      <c r="C1444" s="0" t="inlineStr">
        <is>
          <t>Acquired</t>
        </is>
      </c>
      <c r="D1444" s="0" t="inlineStr">
        <is>
          <t>:</t>
        </is>
      </c>
      <c r="E1444" s="0" t="inlineStr">
        <is>
          <t>87.50K</t>
        </is>
      </c>
      <c r="F1444" s="0" t="inlineStr">
        <is>
          <t>(2,</t>
        </is>
      </c>
      <c r="G1444" s="0" t="inlineStr">
        <is>
          <t>1)</t>
        </is>
      </c>
      <c r="K1444" s="0">
        <f>IF(H1443="1)",1,IF(H1443="2)",2,IF(H1443="3)",3,IF(H1443="4)",4,IF(H1443="5)",5,IF(H1443="6)",6,IF(H1443="7)",7,IF(H1443="8)",8,0))))))))</f>
        <v/>
      </c>
      <c r="L1444" s="0">
        <f>IF(H1443="1)",J1443,IF(H1443="2)",J1443,IF(H1443="3)",J1443,IF(H1443="4)",J1443,IF(H1443="5)",J1443,IF(H1443="6)",J1443,IF(H1443="7)",J1443,IF(H1443="8)",J1443,0))))))))</f>
        <v/>
      </c>
    </row>
    <row r="1445">
      <c r="A1445" s="0" t="inlineStr">
        <is>
          <t>Item</t>
        </is>
      </c>
      <c r="B1445" s="0" t="inlineStr">
        <is>
          <t>ReSelect</t>
        </is>
      </c>
      <c r="C1445" s="0" t="inlineStr">
        <is>
          <t>Failed</t>
        </is>
      </c>
      <c r="D1445" s="0" t="inlineStr">
        <is>
          <t>:</t>
        </is>
      </c>
      <c r="E1445" s="0" t="inlineStr">
        <is>
          <t>Attempt</t>
        </is>
      </c>
      <c r="F1445" s="0" t="inlineStr">
        <is>
          <t>Count</t>
        </is>
      </c>
      <c r="G1445" s="0" t="inlineStr">
        <is>
          <t>-</t>
        </is>
      </c>
      <c r="H1445" s="0" t="n">
        <v>3</v>
      </c>
      <c r="K1445" s="0">
        <f>IF(H1444="1)",1,IF(H1444="2)",2,IF(H1444="3)",3,IF(H1444="4)",4,IF(H1444="5)",5,IF(H1444="6)",6,IF(H1444="7)",7,IF(H1444="8)",8,0))))))))</f>
        <v/>
      </c>
      <c r="L1445" s="0">
        <f>IF(H1444="1)",J1444,IF(H1444="2)",J1444,IF(H1444="3)",J1444,IF(H1444="4)",J1444,IF(H1444="5)",J1444,IF(H1444="6)",J1444,IF(H1444="7)",J1444,IF(H1444="8)",J1444,0))))))))</f>
        <v/>
      </c>
    </row>
    <row r="1446">
      <c r="A1446" s="0" t="inlineStr">
        <is>
          <t>New</t>
        </is>
      </c>
      <c r="B1446" s="0" t="inlineStr">
        <is>
          <t>Item</t>
        </is>
      </c>
      <c r="C1446" s="0" t="inlineStr">
        <is>
          <t>Acquired</t>
        </is>
      </c>
      <c r="D1446" s="0" t="inlineStr">
        <is>
          <t>:</t>
        </is>
      </c>
      <c r="E1446" s="0" t="inlineStr">
        <is>
          <t>45.00K</t>
        </is>
      </c>
      <c r="F1446" s="0" t="inlineStr">
        <is>
          <t>(3,</t>
        </is>
      </c>
      <c r="G1446" s="0" t="inlineStr">
        <is>
          <t>15)</t>
        </is>
      </c>
      <c r="K1446" s="0">
        <f>IF(H1445="1)",1,IF(H1445="2)",2,IF(H1445="3)",3,IF(H1445="4)",4,IF(H1445="5)",5,IF(H1445="6)",6,IF(H1445="7)",7,IF(H1445="8)",8,0))))))))</f>
        <v/>
      </c>
      <c r="L1446" s="0">
        <f>IF(H1445="1)",J1445,IF(H1445="2)",J1445,IF(H1445="3)",J1445,IF(H1445="4)",J1445,IF(H1445="5)",J1445,IF(H1445="6)",J1445,IF(H1445="7)",J1445,IF(H1445="8)",J1445,0))))))))</f>
        <v/>
      </c>
    </row>
    <row r="1447">
      <c r="A1447" s="0" t="inlineStr">
        <is>
          <t>New</t>
        </is>
      </c>
      <c r="B1447" s="0" t="inlineStr">
        <is>
          <t>Item</t>
        </is>
      </c>
      <c r="C1447" s="0" t="inlineStr">
        <is>
          <t>Acquired</t>
        </is>
      </c>
      <c r="D1447" s="0" t="inlineStr">
        <is>
          <t>:</t>
        </is>
      </c>
      <c r="E1447" s="0" t="inlineStr">
        <is>
          <t>50.00K</t>
        </is>
      </c>
      <c r="F1447" s="0" t="inlineStr">
        <is>
          <t>(1,</t>
        </is>
      </c>
      <c r="G1447" s="0" t="inlineStr">
        <is>
          <t>7)</t>
        </is>
      </c>
      <c r="K1447" s="0">
        <f>IF(H1446="1)",1,IF(H1446="2)",2,IF(H1446="3)",3,IF(H1446="4)",4,IF(H1446="5)",5,IF(H1446="6)",6,IF(H1446="7)",7,IF(H1446="8)",8,0))))))))</f>
        <v/>
      </c>
      <c r="L1447" s="0">
        <f>IF(H1446="1)",J1446,IF(H1446="2)",J1446,IF(H1446="3)",J1446,IF(H1446="4)",J1446,IF(H1446="5)",J1446,IF(H1446="6)",J1446,IF(H1446="7)",J1446,IF(H1446="8)",J1446,0))))))))</f>
        <v/>
      </c>
    </row>
    <row r="1448">
      <c r="A1448" s="0" t="inlineStr">
        <is>
          <t>New</t>
        </is>
      </c>
      <c r="B1448" s="0" t="inlineStr">
        <is>
          <t>Item</t>
        </is>
      </c>
      <c r="C1448" s="0" t="inlineStr">
        <is>
          <t>Acquired</t>
        </is>
      </c>
      <c r="D1448" s="0" t="inlineStr">
        <is>
          <t>:</t>
        </is>
      </c>
      <c r="E1448" s="0" t="inlineStr">
        <is>
          <t>62.50K</t>
        </is>
      </c>
      <c r="F1448" s="0" t="inlineStr">
        <is>
          <t>(2,</t>
        </is>
      </c>
      <c r="G1448" s="0" t="inlineStr">
        <is>
          <t>19)</t>
        </is>
      </c>
      <c r="K1448" s="0">
        <f>IF(H1447="1)",1,IF(H1447="2)",2,IF(H1447="3)",3,IF(H1447="4)",4,IF(H1447="5)",5,IF(H1447="6)",6,IF(H1447="7)",7,IF(H1447="8)",8,0))))))))</f>
        <v/>
      </c>
      <c r="L1448" s="0">
        <f>IF(H1447="1)",J1447,IF(H1447="2)",J1447,IF(H1447="3)",J1447,IF(H1447="4)",J1447,IF(H1447="5)",J1447,IF(H1447="6)",J1447,IF(H1447="7)",J1447,IF(H1447="8)",J1447,0))))))))</f>
        <v/>
      </c>
    </row>
    <row r="1449">
      <c r="A1449" s="0" t="inlineStr">
        <is>
          <t>New</t>
        </is>
      </c>
      <c r="B1449" s="0" t="inlineStr">
        <is>
          <t>Item</t>
        </is>
      </c>
      <c r="C1449" s="0" t="inlineStr">
        <is>
          <t>Acquired</t>
        </is>
      </c>
      <c r="D1449" s="0" t="inlineStr">
        <is>
          <t>:</t>
        </is>
      </c>
      <c r="E1449" s="0" t="inlineStr">
        <is>
          <t>125.00K</t>
        </is>
      </c>
      <c r="F1449" s="0" t="inlineStr">
        <is>
          <t>(6,</t>
        </is>
      </c>
      <c r="G1449" s="0" t="inlineStr">
        <is>
          <t>17)</t>
        </is>
      </c>
      <c r="K1449" s="0">
        <f>IF(H1448="1)",1,IF(H1448="2)",2,IF(H1448="3)",3,IF(H1448="4)",4,IF(H1448="5)",5,IF(H1448="6)",6,IF(H1448="7)",7,IF(H1448="8)",8,0))))))))</f>
        <v/>
      </c>
      <c r="L1449" s="0">
        <f>IF(H1448="1)",J1448,IF(H1448="2)",J1448,IF(H1448="3)",J1448,IF(H1448="4)",J1448,IF(H1448="5)",J1448,IF(H1448="6)",J1448,IF(H1448="7)",J1448,IF(H1448="8)",J1448,0))))))))</f>
        <v/>
      </c>
    </row>
    <row r="1450">
      <c r="A1450" s="0" t="inlineStr">
        <is>
          <t>Item</t>
        </is>
      </c>
      <c r="B1450" s="0" t="inlineStr">
        <is>
          <t>ReSelect</t>
        </is>
      </c>
      <c r="C1450" s="0" t="inlineStr">
        <is>
          <t>Failed</t>
        </is>
      </c>
      <c r="D1450" s="0" t="inlineStr">
        <is>
          <t>:</t>
        </is>
      </c>
      <c r="E1450" s="0" t="inlineStr">
        <is>
          <t>Attempt</t>
        </is>
      </c>
      <c r="F1450" s="0" t="inlineStr">
        <is>
          <t>Count</t>
        </is>
      </c>
      <c r="G1450" s="0" t="inlineStr">
        <is>
          <t>-</t>
        </is>
      </c>
      <c r="H1450" s="0" t="n">
        <v>3</v>
      </c>
      <c r="K1450" s="0">
        <f>IF(H1449="1)",1,IF(H1449="2)",2,IF(H1449="3)",3,IF(H1449="4)",4,IF(H1449="5)",5,IF(H1449="6)",6,IF(H1449="7)",7,IF(H1449="8)",8,0))))))))</f>
        <v/>
      </c>
      <c r="L1450" s="0">
        <f>IF(H1449="1)",J1449,IF(H1449="2)",J1449,IF(H1449="3)",J1449,IF(H1449="4)",J1449,IF(H1449="5)",J1449,IF(H1449="6)",J1449,IF(H1449="7)",J1449,IF(H1449="8)",J1449,0))))))))</f>
        <v/>
      </c>
    </row>
    <row r="1451">
      <c r="A1451" s="0" t="inlineStr">
        <is>
          <t>New</t>
        </is>
      </c>
      <c r="B1451" s="0" t="inlineStr">
        <is>
          <t>Item</t>
        </is>
      </c>
      <c r="C1451" s="0" t="inlineStr">
        <is>
          <t>Acquired</t>
        </is>
      </c>
      <c r="D1451" s="0" t="inlineStr">
        <is>
          <t>:</t>
        </is>
      </c>
      <c r="E1451" s="0" t="inlineStr">
        <is>
          <t>210.00K</t>
        </is>
      </c>
      <c r="F1451" s="0" t="inlineStr">
        <is>
          <t>(7,</t>
        </is>
      </c>
      <c r="G1451" s="0" t="inlineStr">
        <is>
          <t>25)</t>
        </is>
      </c>
      <c r="K1451" s="0">
        <f>IF(H1450="1)",1,IF(H1450="2)",2,IF(H1450="3)",3,IF(H1450="4)",4,IF(H1450="5)",5,IF(H1450="6)",6,IF(H1450="7)",7,IF(H1450="8)",8,0))))))))</f>
        <v/>
      </c>
      <c r="L1451" s="0">
        <f>IF(H1450="1)",J1450,IF(H1450="2)",J1450,IF(H1450="3)",J1450,IF(H1450="4)",J1450,IF(H1450="5)",J1450,IF(H1450="6)",J1450,IF(H1450="7)",J1450,IF(H1450="8)",J1450,0))))))))</f>
        <v/>
      </c>
    </row>
    <row r="1452">
      <c r="A1452" s="0" t="inlineStr">
        <is>
          <t>New</t>
        </is>
      </c>
      <c r="B1452" s="0" t="inlineStr">
        <is>
          <t>Item</t>
        </is>
      </c>
      <c r="C1452" s="0" t="inlineStr">
        <is>
          <t>Acquired</t>
        </is>
      </c>
      <c r="D1452" s="0" t="inlineStr">
        <is>
          <t>:</t>
        </is>
      </c>
      <c r="E1452" s="0" t="inlineStr">
        <is>
          <t>37.50K</t>
        </is>
      </c>
      <c r="F1452" s="0" t="inlineStr">
        <is>
          <t>(2,</t>
        </is>
      </c>
      <c r="G1452" s="0" t="inlineStr">
        <is>
          <t>12)</t>
        </is>
      </c>
      <c r="K1452" s="0">
        <f>IF(H1451="1)",1,IF(H1451="2)",2,IF(H1451="3)",3,IF(H1451="4)",4,IF(H1451="5)",5,IF(H1451="6)",6,IF(H1451="7)",7,IF(H1451="8)",8,0))))))))</f>
        <v/>
      </c>
      <c r="L1452" s="0">
        <f>IF(H1451="1)",J1451,IF(H1451="2)",J1451,IF(H1451="3)",J1451,IF(H1451="4)",J1451,IF(H1451="5)",J1451,IF(H1451="6)",J1451,IF(H1451="7)",J1451,IF(H1451="8)",J1451,0))))))))</f>
        <v/>
      </c>
    </row>
    <row r="1453">
      <c r="A1453" s="0" t="inlineStr">
        <is>
          <t>New</t>
        </is>
      </c>
      <c r="B1453" s="0" t="inlineStr">
        <is>
          <t>Item</t>
        </is>
      </c>
      <c r="C1453" s="0" t="inlineStr">
        <is>
          <t>Acquired</t>
        </is>
      </c>
      <c r="D1453" s="0" t="inlineStr">
        <is>
          <t>:</t>
        </is>
      </c>
      <c r="E1453" s="0" t="inlineStr">
        <is>
          <t>37.50K</t>
        </is>
      </c>
      <c r="F1453" s="0" t="inlineStr">
        <is>
          <t>(2,</t>
        </is>
      </c>
      <c r="G1453" s="0" t="inlineStr">
        <is>
          <t>7)</t>
        </is>
      </c>
      <c r="K1453" s="0">
        <f>IF(H1452="1)",1,IF(H1452="2)",2,IF(H1452="3)",3,IF(H1452="4)",4,IF(H1452="5)",5,IF(H1452="6)",6,IF(H1452="7)",7,IF(H1452="8)",8,0))))))))</f>
        <v/>
      </c>
      <c r="L1453" s="0">
        <f>IF(H1452="1)",J1452,IF(H1452="2)",J1452,IF(H1452="3)",J1452,IF(H1452="4)",J1452,IF(H1452="5)",J1452,IF(H1452="6)",J1452,IF(H1452="7)",J1452,IF(H1452="8)",J1452,0))))))))</f>
        <v/>
      </c>
    </row>
    <row r="1454">
      <c r="A1454" s="0" t="inlineStr">
        <is>
          <t>New</t>
        </is>
      </c>
      <c r="B1454" s="0" t="inlineStr">
        <is>
          <t>Item</t>
        </is>
      </c>
      <c r="C1454" s="0" t="inlineStr">
        <is>
          <t>Acquired</t>
        </is>
      </c>
      <c r="D1454" s="0" t="inlineStr">
        <is>
          <t>:</t>
        </is>
      </c>
      <c r="E1454" s="0" t="inlineStr">
        <is>
          <t>175.00K</t>
        </is>
      </c>
      <c r="F1454" s="0" t="inlineStr">
        <is>
          <t>(6,</t>
        </is>
      </c>
      <c r="G1454" s="0" t="inlineStr">
        <is>
          <t>3)</t>
        </is>
      </c>
      <c r="K1454" s="0">
        <f>IF(H1453="1)",1,IF(H1453="2)",2,IF(H1453="3)",3,IF(H1453="4)",4,IF(H1453="5)",5,IF(H1453="6)",6,IF(H1453="7)",7,IF(H1453="8)",8,0))))))))</f>
        <v/>
      </c>
      <c r="L1454" s="0">
        <f>IF(H1453="1)",J1453,IF(H1453="2)",J1453,IF(H1453="3)",J1453,IF(H1453="4)",J1453,IF(H1453="5)",J1453,IF(H1453="6)",J1453,IF(H1453="7)",J1453,IF(H1453="8)",J1453,0))))))))</f>
        <v/>
      </c>
    </row>
    <row r="1455">
      <c r="A1455" s="0" t="inlineStr">
        <is>
          <t>New</t>
        </is>
      </c>
      <c r="B1455" s="0" t="inlineStr">
        <is>
          <t>Item</t>
        </is>
      </c>
      <c r="C1455" s="0" t="inlineStr">
        <is>
          <t>Acquired</t>
        </is>
      </c>
      <c r="D1455" s="0" t="inlineStr">
        <is>
          <t>:</t>
        </is>
      </c>
      <c r="E1455" s="0" t="inlineStr">
        <is>
          <t>75.00K</t>
        </is>
      </c>
      <c r="F1455" s="0" t="inlineStr">
        <is>
          <t>(6,</t>
        </is>
      </c>
      <c r="G1455" s="0" t="inlineStr">
        <is>
          <t>19)</t>
        </is>
      </c>
      <c r="K1455" s="0">
        <f>IF(H1454="1)",1,IF(H1454="2)",2,IF(H1454="3)",3,IF(H1454="4)",4,IF(H1454="5)",5,IF(H1454="6)",6,IF(H1454="7)",7,IF(H1454="8)",8,0))))))))</f>
        <v/>
      </c>
      <c r="L1455" s="0">
        <f>IF(H1454="1)",J1454,IF(H1454="2)",J1454,IF(H1454="3)",J1454,IF(H1454="4)",J1454,IF(H1454="5)",J1454,IF(H1454="6)",J1454,IF(H1454="7)",J1454,IF(H1454="8)",J1454,0))))))))</f>
        <v/>
      </c>
    </row>
    <row r="1456">
      <c r="A1456" s="0" t="inlineStr">
        <is>
          <t>New</t>
        </is>
      </c>
      <c r="B1456" s="0" t="inlineStr">
        <is>
          <t>Item</t>
        </is>
      </c>
      <c r="C1456" s="0" t="inlineStr">
        <is>
          <t>Acquired</t>
        </is>
      </c>
      <c r="D1456" s="0" t="inlineStr">
        <is>
          <t>:</t>
        </is>
      </c>
      <c r="E1456" s="0" t="inlineStr">
        <is>
          <t>30.00K</t>
        </is>
      </c>
      <c r="F1456" s="0" t="inlineStr">
        <is>
          <t>(1,</t>
        </is>
      </c>
      <c r="G1456" s="0" t="inlineStr">
        <is>
          <t>20)</t>
        </is>
      </c>
      <c r="K1456" s="0">
        <f>IF(H1455="1)",1,IF(H1455="2)",2,IF(H1455="3)",3,IF(H1455="4)",4,IF(H1455="5)",5,IF(H1455="6)",6,IF(H1455="7)",7,IF(H1455="8)",8,0))))))))</f>
        <v/>
      </c>
      <c r="L1456" s="0">
        <f>IF(H1455="1)",J1455,IF(H1455="2)",J1455,IF(H1455="3)",J1455,IF(H1455="4)",J1455,IF(H1455="5)",J1455,IF(H1455="6)",J1455,IF(H1455="7)",J1455,IF(H1455="8)",J1455,0))))))))</f>
        <v/>
      </c>
    </row>
    <row r="1457">
      <c r="A1457" s="0" t="inlineStr">
        <is>
          <t>New</t>
        </is>
      </c>
      <c r="B1457" s="0" t="inlineStr">
        <is>
          <t>Item</t>
        </is>
      </c>
      <c r="C1457" s="0" t="inlineStr">
        <is>
          <t>Acquired</t>
        </is>
      </c>
      <c r="D1457" s="0" t="inlineStr">
        <is>
          <t>:</t>
        </is>
      </c>
      <c r="E1457" s="0" t="inlineStr">
        <is>
          <t>62.50K</t>
        </is>
      </c>
      <c r="F1457" s="0" t="inlineStr">
        <is>
          <t>(2,</t>
        </is>
      </c>
      <c r="G1457" s="0" t="inlineStr">
        <is>
          <t>18)</t>
        </is>
      </c>
      <c r="K1457" s="0">
        <f>IF(H1456="1)",1,IF(H1456="2)",2,IF(H1456="3)",3,IF(H1456="4)",4,IF(H1456="5)",5,IF(H1456="6)",6,IF(H1456="7)",7,IF(H1456="8)",8,0))))))))</f>
        <v/>
      </c>
      <c r="L1457" s="0">
        <f>IF(H1456="1)",J1456,IF(H1456="2)",J1456,IF(H1456="3)",J1456,IF(H1456="4)",J1456,IF(H1456="5)",J1456,IF(H1456="6)",J1456,IF(H1456="7)",J1456,IF(H1456="8)",J1456,0))))))))</f>
        <v/>
      </c>
    </row>
    <row r="1458">
      <c r="A1458" s="0" t="inlineStr">
        <is>
          <t>New</t>
        </is>
      </c>
      <c r="B1458" s="0" t="inlineStr">
        <is>
          <t>Item</t>
        </is>
      </c>
      <c r="C1458" s="0" t="inlineStr">
        <is>
          <t>Acquired</t>
        </is>
      </c>
      <c r="D1458" s="0" t="inlineStr">
        <is>
          <t>:</t>
        </is>
      </c>
      <c r="E1458" s="0" t="inlineStr">
        <is>
          <t>120.00K</t>
        </is>
      </c>
      <c r="F1458" s="0" t="inlineStr">
        <is>
          <t>(8,</t>
        </is>
      </c>
      <c r="G1458" s="0" t="inlineStr">
        <is>
          <t>11)</t>
        </is>
      </c>
      <c r="K1458" s="0">
        <f>IF(H1457="1)",1,IF(H1457="2)",2,IF(H1457="3)",3,IF(H1457="4)",4,IF(H1457="5)",5,IF(H1457="6)",6,IF(H1457="7)",7,IF(H1457="8)",8,0))))))))</f>
        <v/>
      </c>
      <c r="L1458" s="0">
        <f>IF(H1457="1)",J1457,IF(H1457="2)",J1457,IF(H1457="3)",J1457,IF(H1457="4)",J1457,IF(H1457="5)",J1457,IF(H1457="6)",J1457,IF(H1457="7)",J1457,IF(H1457="8)",J1457,0))))))))</f>
        <v/>
      </c>
    </row>
    <row r="1459">
      <c r="A1459" s="0" t="inlineStr">
        <is>
          <t>New</t>
        </is>
      </c>
      <c r="B1459" s="0" t="inlineStr">
        <is>
          <t>Item</t>
        </is>
      </c>
      <c r="C1459" s="0" t="inlineStr">
        <is>
          <t>Acquired</t>
        </is>
      </c>
      <c r="D1459" s="0" t="inlineStr">
        <is>
          <t>:</t>
        </is>
      </c>
      <c r="E1459" s="0" t="inlineStr">
        <is>
          <t>Major</t>
        </is>
      </c>
      <c r="F1459" s="0" t="inlineStr">
        <is>
          <t>(8,</t>
        </is>
      </c>
      <c r="G1459" s="0" t="inlineStr">
        <is>
          <t>10)</t>
        </is>
      </c>
      <c r="K1459" s="0">
        <f>IF(H1458="1)",1,IF(H1458="2)",2,IF(H1458="3)",3,IF(H1458="4)",4,IF(H1458="5)",5,IF(H1458="6)",6,IF(H1458="7)",7,IF(H1458="8)",8,0))))))))</f>
        <v/>
      </c>
      <c r="L1459" s="0">
        <f>IF(H1458="1)",J1458,IF(H1458="2)",J1458,IF(H1458="3)",J1458,IF(H1458="4)",J1458,IF(H1458="5)",J1458,IF(H1458="6)",J1458,IF(H1458="7)",J1458,IF(H1458="8)",J1458,0))))))))</f>
        <v/>
      </c>
    </row>
    <row r="1460">
      <c r="A1460" s="0" t="inlineStr">
        <is>
          <t>New</t>
        </is>
      </c>
      <c r="B1460" s="0" t="inlineStr">
        <is>
          <t>Item</t>
        </is>
      </c>
      <c r="C1460" s="0" t="inlineStr">
        <is>
          <t>Acquired</t>
        </is>
      </c>
      <c r="D1460" s="0" t="inlineStr">
        <is>
          <t>:</t>
        </is>
      </c>
      <c r="E1460" s="0" t="inlineStr">
        <is>
          <t>Major</t>
        </is>
      </c>
      <c r="F1460" s="0" t="inlineStr">
        <is>
          <t>(8,</t>
        </is>
      </c>
      <c r="G1460" s="0" t="inlineStr">
        <is>
          <t>9)</t>
        </is>
      </c>
      <c r="K1460" s="0">
        <f>IF(H1459="1)",1,IF(H1459="2)",2,IF(H1459="3)",3,IF(H1459="4)",4,IF(H1459="5)",5,IF(H1459="6)",6,IF(H1459="7)",7,IF(H1459="8)",8,0))))))))</f>
        <v/>
      </c>
      <c r="L1460" s="0">
        <f>IF(H1459="1)",J1459,IF(H1459="2)",J1459,IF(H1459="3)",J1459,IF(H1459="4)",J1459,IF(H1459="5)",J1459,IF(H1459="6)",J1459,IF(H1459="7)",J1459,IF(H1459="8)",J1459,0))))))))</f>
        <v/>
      </c>
    </row>
    <row r="1461">
      <c r="A1461" s="0" t="inlineStr">
        <is>
          <t>Line</t>
        </is>
      </c>
      <c r="B1461" s="0" t="inlineStr">
        <is>
          <t>Prize</t>
        </is>
      </c>
      <c r="C1461" s="0" t="inlineStr">
        <is>
          <t>Acquired</t>
        </is>
      </c>
      <c r="D1461" s="0" t="inlineStr">
        <is>
          <t>:</t>
        </is>
      </c>
      <c r="E1461" s="0" t="inlineStr">
        <is>
          <t>8.36M</t>
        </is>
      </c>
      <c r="F1461" s="0" t="inlineStr">
        <is>
          <t>(Stage</t>
        </is>
      </c>
      <c r="G1461" s="0" t="inlineStr">
        <is>
          <t>:</t>
        </is>
      </c>
      <c r="H1461" s="0" t="inlineStr">
        <is>
          <t>8)</t>
        </is>
      </c>
      <c r="I1461" s="0" t="inlineStr">
        <is>
          <t>-</t>
        </is>
      </c>
      <c r="J1461" s="0" t="n">
        <v>8360000</v>
      </c>
      <c r="K1461" s="0">
        <f>IF(H1460="1)",1,IF(H1460="2)",2,IF(H1460="3)",3,IF(H1460="4)",4,IF(H1460="5)",5,IF(H1460="6)",6,IF(H1460="7)",7,IF(H1460="8)",8,0))))))))</f>
        <v/>
      </c>
      <c r="L1461" s="0">
        <f>IF(H1460="1)",J1460,IF(H1460="2)",J1460,IF(H1460="3)",J1460,IF(H1460="4)",J1460,IF(H1460="5)",J1460,IF(H1460="6)",J1460,IF(H1460="7)",J1460,IF(H1460="8)",J1460,0))))))))</f>
        <v/>
      </c>
    </row>
    <row r="1462">
      <c r="A1462" s="0" t="inlineStr">
        <is>
          <t>Clear</t>
        </is>
      </c>
      <c r="B1462" s="0" t="inlineStr">
        <is>
          <t>Gem</t>
        </is>
      </c>
      <c r="C1462" s="0" t="inlineStr">
        <is>
          <t>Acquired</t>
        </is>
      </c>
      <c r="D1462" s="0" t="inlineStr">
        <is>
          <t>:</t>
        </is>
      </c>
      <c r="E1462" s="0" t="n">
        <v>8700</v>
      </c>
      <c r="F1462" s="0" t="inlineStr">
        <is>
          <t>-&gt;</t>
        </is>
      </c>
      <c r="G1462" s="0" t="n">
        <v>8800</v>
      </c>
      <c r="H1462" s="0" t="inlineStr">
        <is>
          <t>(Stage</t>
        </is>
      </c>
      <c r="I1462" s="0" t="inlineStr">
        <is>
          <t>:</t>
        </is>
      </c>
      <c r="J1462" s="0" t="inlineStr">
        <is>
          <t>8)</t>
        </is>
      </c>
      <c r="K1462" s="0">
        <f>IF(H1461="1)",1,IF(H1461="2)",2,IF(H1461="3)",3,IF(H1461="4)",4,IF(H1461="5)",5,IF(H1461="6)",6,IF(H1461="7)",7,IF(H1461="8)",8,0))))))))</f>
        <v/>
      </c>
      <c r="L1462" s="0">
        <f>IF(H1461="1)",J1461,IF(H1461="2)",J1461,IF(H1461="3)",J1461,IF(H1461="4)",J1461,IF(H1461="5)",J1461,IF(H1461="6)",J1461,IF(H1461="7)",J1461,IF(H1461="8)",J1461,0))))))))</f>
        <v/>
      </c>
    </row>
    <row r="1463">
      <c r="A1463" s="0" t="inlineStr">
        <is>
          <t>New</t>
        </is>
      </c>
      <c r="B1463" s="0" t="inlineStr">
        <is>
          <t>Item</t>
        </is>
      </c>
      <c r="C1463" s="0" t="inlineStr">
        <is>
          <t>Acquired</t>
        </is>
      </c>
      <c r="D1463" s="0" t="inlineStr">
        <is>
          <t>:</t>
        </is>
      </c>
      <c r="E1463" s="0" t="inlineStr">
        <is>
          <t>280.00K</t>
        </is>
      </c>
      <c r="F1463" s="0" t="inlineStr">
        <is>
          <t>(8,</t>
        </is>
      </c>
      <c r="G1463" s="0" t="inlineStr">
        <is>
          <t>8)</t>
        </is>
      </c>
      <c r="K1463" s="0">
        <f>IF(H1462="1)",1,IF(H1462="2)",2,IF(H1462="3)",3,IF(H1462="4)",4,IF(H1462="5)",5,IF(H1462="6)",6,IF(H1462="7)",7,IF(H1462="8)",8,0))))))))</f>
        <v/>
      </c>
      <c r="L1463" s="0">
        <f>IF(H1462="1)",J1462,IF(H1462="2)",J1462,IF(H1462="3)",J1462,IF(H1462="4)",J1462,IF(H1462="5)",J1462,IF(H1462="6)",J1462,IF(H1462="7)",J1462,IF(H1462="8)",J1462,0))))))))</f>
        <v/>
      </c>
    </row>
    <row r="1464">
      <c r="A1464" s="0" t="inlineStr">
        <is>
          <t>New</t>
        </is>
      </c>
      <c r="B1464" s="0" t="inlineStr">
        <is>
          <t>Item</t>
        </is>
      </c>
      <c r="C1464" s="0" t="inlineStr">
        <is>
          <t>Acquired</t>
        </is>
      </c>
      <c r="D1464" s="0" t="inlineStr">
        <is>
          <t>:</t>
        </is>
      </c>
      <c r="E1464" s="0" t="inlineStr">
        <is>
          <t>45.00K</t>
        </is>
      </c>
      <c r="F1464" s="0" t="inlineStr">
        <is>
          <t>(3,</t>
        </is>
      </c>
      <c r="G1464" s="0" t="inlineStr">
        <is>
          <t>14)</t>
        </is>
      </c>
      <c r="K1464" s="0">
        <f>IF(H1463="1)",1,IF(H1463="2)",2,IF(H1463="3)",3,IF(H1463="4)",4,IF(H1463="5)",5,IF(H1463="6)",6,IF(H1463="7)",7,IF(H1463="8)",8,0))))))))</f>
        <v/>
      </c>
      <c r="L1464" s="0">
        <f>IF(H1463="1)",J1463,IF(H1463="2)",J1463,IF(H1463="3)",J1463,IF(H1463="4)",J1463,IF(H1463="5)",J1463,IF(H1463="6)",J1463,IF(H1463="7)",J1463,IF(H1463="8)",J1463,0))))))))</f>
        <v/>
      </c>
    </row>
    <row r="1465">
      <c r="A1465" s="0" t="inlineStr">
        <is>
          <t>Item</t>
        </is>
      </c>
      <c r="B1465" s="0" t="inlineStr">
        <is>
          <t>ReSelect</t>
        </is>
      </c>
      <c r="C1465" s="0" t="inlineStr">
        <is>
          <t>Failed</t>
        </is>
      </c>
      <c r="D1465" s="0" t="inlineStr">
        <is>
          <t>:</t>
        </is>
      </c>
      <c r="E1465" s="0" t="inlineStr">
        <is>
          <t>Attempt</t>
        </is>
      </c>
      <c r="F1465" s="0" t="inlineStr">
        <is>
          <t>Count</t>
        </is>
      </c>
      <c r="G1465" s="0" t="inlineStr">
        <is>
          <t>-</t>
        </is>
      </c>
      <c r="H1465" s="0" t="n">
        <v>3</v>
      </c>
      <c r="K1465" s="0">
        <f>IF(H1464="1)",1,IF(H1464="2)",2,IF(H1464="3)",3,IF(H1464="4)",4,IF(H1464="5)",5,IF(H1464="6)",6,IF(H1464="7)",7,IF(H1464="8)",8,0))))))))</f>
        <v/>
      </c>
      <c r="L1465" s="0">
        <f>IF(H1464="1)",J1464,IF(H1464="2)",J1464,IF(H1464="3)",J1464,IF(H1464="4)",J1464,IF(H1464="5)",J1464,IF(H1464="6)",J1464,IF(H1464="7)",J1464,IF(H1464="8)",J1464,0))))))))</f>
        <v/>
      </c>
    </row>
    <row r="1466">
      <c r="A1466" s="0" t="inlineStr">
        <is>
          <t>New</t>
        </is>
      </c>
      <c r="B1466" s="0" t="inlineStr">
        <is>
          <t>Item</t>
        </is>
      </c>
      <c r="C1466" s="0" t="inlineStr">
        <is>
          <t>Acquired</t>
        </is>
      </c>
      <c r="D1466" s="0" t="inlineStr">
        <is>
          <t>:</t>
        </is>
      </c>
      <c r="E1466" s="0" t="inlineStr">
        <is>
          <t>Major</t>
        </is>
      </c>
      <c r="F1466" s="0" t="inlineStr">
        <is>
          <t>(4,</t>
        </is>
      </c>
      <c r="G1466" s="0" t="inlineStr">
        <is>
          <t>22)</t>
        </is>
      </c>
      <c r="K1466" s="0">
        <f>IF(H1465="1)",1,IF(H1465="2)",2,IF(H1465="3)",3,IF(H1465="4)",4,IF(H1465="5)",5,IF(H1465="6)",6,IF(H1465="7)",7,IF(H1465="8)",8,0))))))))</f>
        <v/>
      </c>
      <c r="L1466" s="0">
        <f>IF(H1465="1)",J1465,IF(H1465="2)",J1465,IF(H1465="3)",J1465,IF(H1465="4)",J1465,IF(H1465="5)",J1465,IF(H1465="6)",J1465,IF(H1465="7)",J1465,IF(H1465="8)",J1465,0))))))))</f>
        <v/>
      </c>
    </row>
    <row r="1467">
      <c r="A1467" s="0" t="inlineStr">
        <is>
          <t>Item</t>
        </is>
      </c>
      <c r="B1467" s="0" t="inlineStr">
        <is>
          <t>ReSelect</t>
        </is>
      </c>
      <c r="C1467" s="0" t="inlineStr">
        <is>
          <t>Failed</t>
        </is>
      </c>
      <c r="D1467" s="0" t="inlineStr">
        <is>
          <t>:</t>
        </is>
      </c>
      <c r="E1467" s="0" t="inlineStr">
        <is>
          <t>Attempt</t>
        </is>
      </c>
      <c r="F1467" s="0" t="inlineStr">
        <is>
          <t>Count</t>
        </is>
      </c>
      <c r="G1467" s="0" t="inlineStr">
        <is>
          <t>-</t>
        </is>
      </c>
      <c r="H1467" s="0" t="n">
        <v>3</v>
      </c>
      <c r="K1467" s="0">
        <f>IF(H1466="1)",1,IF(H1466="2)",2,IF(H1466="3)",3,IF(H1466="4)",4,IF(H1466="5)",5,IF(H1466="6)",6,IF(H1466="7)",7,IF(H1466="8)",8,0))))))))</f>
        <v/>
      </c>
      <c r="L1467" s="0">
        <f>IF(H1466="1)",J1466,IF(H1466="2)",J1466,IF(H1466="3)",J1466,IF(H1466="4)",J1466,IF(H1466="5)",J1466,IF(H1466="6)",J1466,IF(H1466="7)",J1466,IF(H1466="8)",J1466,0))))))))</f>
        <v/>
      </c>
    </row>
    <row r="1468">
      <c r="A1468" s="0" t="inlineStr">
        <is>
          <t>New</t>
        </is>
      </c>
      <c r="B1468" s="0" t="inlineStr">
        <is>
          <t>Item</t>
        </is>
      </c>
      <c r="C1468" s="0" t="inlineStr">
        <is>
          <t>Acquired</t>
        </is>
      </c>
      <c r="D1468" s="0" t="inlineStr">
        <is>
          <t>:</t>
        </is>
      </c>
      <c r="E1468" s="0" t="inlineStr">
        <is>
          <t>37.50K</t>
        </is>
      </c>
      <c r="F1468" s="0" t="inlineStr">
        <is>
          <t>(2,</t>
        </is>
      </c>
      <c r="G1468" s="0" t="inlineStr">
        <is>
          <t>4)</t>
        </is>
      </c>
      <c r="K1468" s="0">
        <f>IF(H1467="1)",1,IF(H1467="2)",2,IF(H1467="3)",3,IF(H1467="4)",4,IF(H1467="5)",5,IF(H1467="6)",6,IF(H1467="7)",7,IF(H1467="8)",8,0))))))))</f>
        <v/>
      </c>
      <c r="L1468" s="0">
        <f>IF(H1467="1)",J1467,IF(H1467="2)",J1467,IF(H1467="3)",J1467,IF(H1467="4)",J1467,IF(H1467="5)",J1467,IF(H1467="6)",J1467,IF(H1467="7)",J1467,IF(H1467="8)",J1467,0))))))))</f>
        <v/>
      </c>
    </row>
    <row r="1469">
      <c r="A1469" s="0" t="inlineStr">
        <is>
          <t>New</t>
        </is>
      </c>
      <c r="B1469" s="0" t="inlineStr">
        <is>
          <t>Item</t>
        </is>
      </c>
      <c r="C1469" s="0" t="inlineStr">
        <is>
          <t>Acquired</t>
        </is>
      </c>
      <c r="D1469" s="0" t="inlineStr">
        <is>
          <t>:</t>
        </is>
      </c>
      <c r="E1469" s="0" t="inlineStr">
        <is>
          <t>50.00K</t>
        </is>
      </c>
      <c r="F1469" s="0" t="inlineStr">
        <is>
          <t>(1,</t>
        </is>
      </c>
      <c r="G1469" s="0" t="inlineStr">
        <is>
          <t>8)</t>
        </is>
      </c>
      <c r="K1469" s="0">
        <f>IF(H1468="1)",1,IF(H1468="2)",2,IF(H1468="3)",3,IF(H1468="4)",4,IF(H1468="5)",5,IF(H1468="6)",6,IF(H1468="7)",7,IF(H1468="8)",8,0))))))))</f>
        <v/>
      </c>
      <c r="L1469" s="0">
        <f>IF(H1468="1)",J1468,IF(H1468="2)",J1468,IF(H1468="3)",J1468,IF(H1468="4)",J1468,IF(H1468="5)",J1468,IF(H1468="6)",J1468,IF(H1468="7)",J1468,IF(H1468="8)",J1468,0))))))))</f>
        <v/>
      </c>
    </row>
    <row r="1470">
      <c r="A1470" s="0" t="inlineStr">
        <is>
          <t>New</t>
        </is>
      </c>
      <c r="B1470" s="0" t="inlineStr">
        <is>
          <t>Item</t>
        </is>
      </c>
      <c r="C1470" s="0" t="inlineStr">
        <is>
          <t>Acquired</t>
        </is>
      </c>
      <c r="D1470" s="0" t="inlineStr">
        <is>
          <t>:</t>
        </is>
      </c>
      <c r="E1470" s="0" t="inlineStr">
        <is>
          <t>75.00K</t>
        </is>
      </c>
      <c r="F1470" s="0" t="inlineStr">
        <is>
          <t>(6,</t>
        </is>
      </c>
      <c r="G1470" s="0" t="inlineStr">
        <is>
          <t>6)</t>
        </is>
      </c>
      <c r="K1470" s="0">
        <f>IF(H1469="1)",1,IF(H1469="2)",2,IF(H1469="3)",3,IF(H1469="4)",4,IF(H1469="5)",5,IF(H1469="6)",6,IF(H1469="7)",7,IF(H1469="8)",8,0))))))))</f>
        <v/>
      </c>
      <c r="L1470" s="0">
        <f>IF(H1469="1)",J1469,IF(H1469="2)",J1469,IF(H1469="3)",J1469,IF(H1469="4)",J1469,IF(H1469="5)",J1469,IF(H1469="6)",J1469,IF(H1469="7)",J1469,IF(H1469="8)",J1469,0))))))))</f>
        <v/>
      </c>
    </row>
    <row r="1471">
      <c r="A1471" s="0" t="inlineStr">
        <is>
          <t>New</t>
        </is>
      </c>
      <c r="B1471" s="0" t="inlineStr">
        <is>
          <t>Item</t>
        </is>
      </c>
      <c r="C1471" s="0" t="inlineStr">
        <is>
          <t>Acquired</t>
        </is>
      </c>
      <c r="D1471" s="0" t="inlineStr">
        <is>
          <t>:</t>
        </is>
      </c>
      <c r="E1471" s="0" t="inlineStr">
        <is>
          <t>30.00K</t>
        </is>
      </c>
      <c r="F1471" s="0" t="inlineStr">
        <is>
          <t>(1,</t>
        </is>
      </c>
      <c r="G1471" s="0" t="inlineStr">
        <is>
          <t>18)</t>
        </is>
      </c>
      <c r="K1471" s="0">
        <f>IF(H1470="1)",1,IF(H1470="2)",2,IF(H1470="3)",3,IF(H1470="4)",4,IF(H1470="5)",5,IF(H1470="6)",6,IF(H1470="7)",7,IF(H1470="8)",8,0))))))))</f>
        <v/>
      </c>
      <c r="L1471" s="0">
        <f>IF(H1470="1)",J1470,IF(H1470="2)",J1470,IF(H1470="3)",J1470,IF(H1470="4)",J1470,IF(H1470="5)",J1470,IF(H1470="6)",J1470,IF(H1470="7)",J1470,IF(H1470="8)",J1470,0))))))))</f>
        <v/>
      </c>
    </row>
    <row r="1472">
      <c r="A1472" s="0" t="inlineStr">
        <is>
          <t>New</t>
        </is>
      </c>
      <c r="B1472" s="0" t="inlineStr">
        <is>
          <t>Item</t>
        </is>
      </c>
      <c r="C1472" s="0" t="inlineStr">
        <is>
          <t>Acquired</t>
        </is>
      </c>
      <c r="D1472" s="0" t="inlineStr">
        <is>
          <t>:</t>
        </is>
      </c>
      <c r="E1472" s="0" t="inlineStr">
        <is>
          <t>60.00K</t>
        </is>
      </c>
      <c r="F1472" s="0" t="inlineStr">
        <is>
          <t>(4,</t>
        </is>
      </c>
      <c r="G1472" s="0" t="inlineStr">
        <is>
          <t>23)</t>
        </is>
      </c>
      <c r="K1472" s="0">
        <f>IF(H1471="1)",1,IF(H1471="2)",2,IF(H1471="3)",3,IF(H1471="4)",4,IF(H1471="5)",5,IF(H1471="6)",6,IF(H1471="7)",7,IF(H1471="8)",8,0))))))))</f>
        <v/>
      </c>
      <c r="L1472" s="0">
        <f>IF(H1471="1)",J1471,IF(H1471="2)",J1471,IF(H1471="3)",J1471,IF(H1471="4)",J1471,IF(H1471="5)",J1471,IF(H1471="6)",J1471,IF(H1471="7)",J1471,IF(H1471="8)",J1471,0))))))))</f>
        <v/>
      </c>
    </row>
    <row r="1473">
      <c r="A1473" s="0" t="inlineStr">
        <is>
          <t>Line</t>
        </is>
      </c>
      <c r="B1473" s="0" t="inlineStr">
        <is>
          <t>Prize</t>
        </is>
      </c>
      <c r="C1473" s="0" t="inlineStr">
        <is>
          <t>Acquired</t>
        </is>
      </c>
      <c r="D1473" s="0" t="inlineStr">
        <is>
          <t>:</t>
        </is>
      </c>
      <c r="E1473" s="0" t="inlineStr">
        <is>
          <t>1.07M</t>
        </is>
      </c>
      <c r="F1473" s="0" t="inlineStr">
        <is>
          <t>(Stage</t>
        </is>
      </c>
      <c r="G1473" s="0" t="inlineStr">
        <is>
          <t>:</t>
        </is>
      </c>
      <c r="H1473" s="0" t="inlineStr">
        <is>
          <t>4)</t>
        </is>
      </c>
      <c r="I1473" s="0" t="inlineStr">
        <is>
          <t>-</t>
        </is>
      </c>
      <c r="J1473" s="0" t="n">
        <v>1070000</v>
      </c>
      <c r="K1473" s="0">
        <f>IF(H1472="1)",1,IF(H1472="2)",2,IF(H1472="3)",3,IF(H1472="4)",4,IF(H1472="5)",5,IF(H1472="6)",6,IF(H1472="7)",7,IF(H1472="8)",8,0))))))))</f>
        <v/>
      </c>
      <c r="L1473" s="0">
        <f>IF(H1472="1)",J1472,IF(H1472="2)",J1472,IF(H1472="3)",J1472,IF(H1472="4)",J1472,IF(H1472="5)",J1472,IF(H1472="6)",J1472,IF(H1472="7)",J1472,IF(H1472="8)",J1472,0))))))))</f>
        <v/>
      </c>
    </row>
    <row r="1474">
      <c r="A1474" s="0" t="inlineStr">
        <is>
          <t>Clear</t>
        </is>
      </c>
      <c r="B1474" s="0" t="inlineStr">
        <is>
          <t>Gem</t>
        </is>
      </c>
      <c r="C1474" s="0" t="inlineStr">
        <is>
          <t>Acquired</t>
        </is>
      </c>
      <c r="D1474" s="0" t="inlineStr">
        <is>
          <t>:</t>
        </is>
      </c>
      <c r="E1474" s="0" t="n">
        <v>8800</v>
      </c>
      <c r="F1474" s="0" t="inlineStr">
        <is>
          <t>-&gt;</t>
        </is>
      </c>
      <c r="G1474" s="0" t="n">
        <v>8900</v>
      </c>
      <c r="H1474" s="0" t="inlineStr">
        <is>
          <t>(Stage</t>
        </is>
      </c>
      <c r="I1474" s="0" t="inlineStr">
        <is>
          <t>:</t>
        </is>
      </c>
      <c r="J1474" s="0" t="inlineStr">
        <is>
          <t>4)</t>
        </is>
      </c>
      <c r="K1474" s="0">
        <f>IF(H1473="1)",1,IF(H1473="2)",2,IF(H1473="3)",3,IF(H1473="4)",4,IF(H1473="5)",5,IF(H1473="6)",6,IF(H1473="7)",7,IF(H1473="8)",8,0))))))))</f>
        <v/>
      </c>
      <c r="L1474" s="0">
        <f>IF(H1473="1)",J1473,IF(H1473="2)",J1473,IF(H1473="3)",J1473,IF(H1473="4)",J1473,IF(H1473="5)",J1473,IF(H1473="6)",J1473,IF(H1473="7)",J1473,IF(H1473="8)",J1473,0))))))))</f>
        <v/>
      </c>
    </row>
    <row r="1475">
      <c r="A1475" s="0" t="inlineStr">
        <is>
          <t>New</t>
        </is>
      </c>
      <c r="B1475" s="0" t="inlineStr">
        <is>
          <t>Item</t>
        </is>
      </c>
      <c r="C1475" s="0" t="inlineStr">
        <is>
          <t>Acquired</t>
        </is>
      </c>
      <c r="D1475" s="0" t="inlineStr">
        <is>
          <t>:</t>
        </is>
      </c>
      <c r="E1475" s="0" t="inlineStr">
        <is>
          <t>Major</t>
        </is>
      </c>
      <c r="F1475" s="0" t="inlineStr">
        <is>
          <t>(8,</t>
        </is>
      </c>
      <c r="G1475" s="0" t="inlineStr">
        <is>
          <t>4)</t>
        </is>
      </c>
      <c r="K1475" s="0">
        <f>IF(H1474="1)",1,IF(H1474="2)",2,IF(H1474="3)",3,IF(H1474="4)",4,IF(H1474="5)",5,IF(H1474="6)",6,IF(H1474="7)",7,IF(H1474="8)",8,0))))))))</f>
        <v/>
      </c>
      <c r="L1475" s="0">
        <f>IF(H1474="1)",J1474,IF(H1474="2)",J1474,IF(H1474="3)",J1474,IF(H1474="4)",J1474,IF(H1474="5)",J1474,IF(H1474="6)",J1474,IF(H1474="7)",J1474,IF(H1474="8)",J1474,0))))))))</f>
        <v/>
      </c>
    </row>
    <row r="1476">
      <c r="A1476" s="0" t="inlineStr">
        <is>
          <t>New</t>
        </is>
      </c>
      <c r="B1476" s="0" t="inlineStr">
        <is>
          <t>Item</t>
        </is>
      </c>
      <c r="C1476" s="0" t="inlineStr">
        <is>
          <t>Acquired</t>
        </is>
      </c>
      <c r="D1476" s="0" t="inlineStr">
        <is>
          <t>:</t>
        </is>
      </c>
      <c r="E1476" s="0" t="inlineStr">
        <is>
          <t>Mini</t>
        </is>
      </c>
      <c r="F1476" s="0" t="inlineStr">
        <is>
          <t>(4,</t>
        </is>
      </c>
      <c r="G1476" s="0" t="inlineStr">
        <is>
          <t>12)</t>
        </is>
      </c>
      <c r="K1476" s="0">
        <f>IF(H1475="1)",1,IF(H1475="2)",2,IF(H1475="3)",3,IF(H1475="4)",4,IF(H1475="5)",5,IF(H1475="6)",6,IF(H1475="7)",7,IF(H1475="8)",8,0))))))))</f>
        <v/>
      </c>
      <c r="L1476" s="0">
        <f>IF(H1475="1)",J1475,IF(H1475="2)",J1475,IF(H1475="3)",J1475,IF(H1475="4)",J1475,IF(H1475="5)",J1475,IF(H1475="6)",J1475,IF(H1475="7)",J1475,IF(H1475="8)",J1475,0))))))))</f>
        <v/>
      </c>
    </row>
    <row r="1477">
      <c r="A1477" s="0" t="inlineStr">
        <is>
          <t>New</t>
        </is>
      </c>
      <c r="B1477" s="0" t="inlineStr">
        <is>
          <t>Item</t>
        </is>
      </c>
      <c r="C1477" s="0" t="inlineStr">
        <is>
          <t>Acquired</t>
        </is>
      </c>
      <c r="D1477" s="0" t="inlineStr">
        <is>
          <t>:</t>
        </is>
      </c>
      <c r="E1477" s="0" t="inlineStr">
        <is>
          <t>175.00K</t>
        </is>
      </c>
      <c r="F1477" s="0" t="inlineStr">
        <is>
          <t>(6,</t>
        </is>
      </c>
      <c r="G1477" s="0" t="inlineStr">
        <is>
          <t>8)</t>
        </is>
      </c>
      <c r="K1477" s="0">
        <f>IF(H1476="1)",1,IF(H1476="2)",2,IF(H1476="3)",3,IF(H1476="4)",4,IF(H1476="5)",5,IF(H1476="6)",6,IF(H1476="7)",7,IF(H1476="8)",8,0))))))))</f>
        <v/>
      </c>
      <c r="L1477" s="0">
        <f>IF(H1476="1)",J1476,IF(H1476="2)",J1476,IF(H1476="3)",J1476,IF(H1476="4)",J1476,IF(H1476="5)",J1476,IF(H1476="6)",J1476,IF(H1476="7)",J1476,IF(H1476="8)",J1476,0))))))))</f>
        <v/>
      </c>
    </row>
    <row r="1478">
      <c r="A1478" s="0" t="inlineStr">
        <is>
          <t>New</t>
        </is>
      </c>
      <c r="B1478" s="0" t="inlineStr">
        <is>
          <t>Item</t>
        </is>
      </c>
      <c r="C1478" s="0" t="inlineStr">
        <is>
          <t>Acquired</t>
        </is>
      </c>
      <c r="D1478" s="0" t="inlineStr">
        <is>
          <t>:</t>
        </is>
      </c>
      <c r="E1478" s="0" t="inlineStr">
        <is>
          <t>30.00K</t>
        </is>
      </c>
      <c r="F1478" s="0" t="inlineStr">
        <is>
          <t>(1,</t>
        </is>
      </c>
      <c r="G1478" s="0" t="inlineStr">
        <is>
          <t>14)</t>
        </is>
      </c>
      <c r="K1478" s="0">
        <f>IF(H1477="1)",1,IF(H1477="2)",2,IF(H1477="3)",3,IF(H1477="4)",4,IF(H1477="5)",5,IF(H1477="6)",6,IF(H1477="7)",7,IF(H1477="8)",8,0))))))))</f>
        <v/>
      </c>
      <c r="L1478" s="0">
        <f>IF(H1477="1)",J1477,IF(H1477="2)",J1477,IF(H1477="3)",J1477,IF(H1477="4)",J1477,IF(H1477="5)",J1477,IF(H1477="6)",J1477,IF(H1477="7)",J1477,IF(H1477="8)",J1477,0))))))))</f>
        <v/>
      </c>
    </row>
    <row r="1479">
      <c r="A1479" s="0" t="inlineStr">
        <is>
          <t>New</t>
        </is>
      </c>
      <c r="B1479" s="0" t="inlineStr">
        <is>
          <t>Item</t>
        </is>
      </c>
      <c r="C1479" s="0" t="inlineStr">
        <is>
          <t>Acquired</t>
        </is>
      </c>
      <c r="D1479" s="0" t="inlineStr">
        <is>
          <t>:</t>
        </is>
      </c>
      <c r="E1479" s="0" t="inlineStr">
        <is>
          <t>67.50K</t>
        </is>
      </c>
      <c r="F1479" s="0" t="inlineStr">
        <is>
          <t>(5,</t>
        </is>
      </c>
      <c r="G1479" s="0" t="inlineStr">
        <is>
          <t>18)</t>
        </is>
      </c>
      <c r="K1479" s="0">
        <f>IF(H1478="1)",1,IF(H1478="2)",2,IF(H1478="3)",3,IF(H1478="4)",4,IF(H1478="5)",5,IF(H1478="6)",6,IF(H1478="7)",7,IF(H1478="8)",8,0))))))))</f>
        <v/>
      </c>
      <c r="L1479" s="0">
        <f>IF(H1478="1)",J1478,IF(H1478="2)",J1478,IF(H1478="3)",J1478,IF(H1478="4)",J1478,IF(H1478="5)",J1478,IF(H1478="6)",J1478,IF(H1478="7)",J1478,IF(H1478="8)",J1478,0))))))))</f>
        <v/>
      </c>
    </row>
    <row r="1480">
      <c r="A1480" s="0" t="inlineStr">
        <is>
          <t>New</t>
        </is>
      </c>
      <c r="B1480" s="0" t="inlineStr">
        <is>
          <t>Item</t>
        </is>
      </c>
      <c r="C1480" s="0" t="inlineStr">
        <is>
          <t>Acquired</t>
        </is>
      </c>
      <c r="D1480" s="0" t="inlineStr">
        <is>
          <t>:</t>
        </is>
      </c>
      <c r="E1480" s="0" t="inlineStr">
        <is>
          <t>200.00K</t>
        </is>
      </c>
      <c r="F1480" s="0" t="inlineStr">
        <is>
          <t>(8,</t>
        </is>
      </c>
      <c r="G1480" s="0" t="inlineStr">
        <is>
          <t>21)</t>
        </is>
      </c>
      <c r="K1480" s="0">
        <f>IF(H1479="1)",1,IF(H1479="2)",2,IF(H1479="3)",3,IF(H1479="4)",4,IF(H1479="5)",5,IF(H1479="6)",6,IF(H1479="7)",7,IF(H1479="8)",8,0))))))))</f>
        <v/>
      </c>
      <c r="L1480" s="0">
        <f>IF(H1479="1)",J1479,IF(H1479="2)",J1479,IF(H1479="3)",J1479,IF(H1479="4)",J1479,IF(H1479="5)",J1479,IF(H1479="6)",J1479,IF(H1479="7)",J1479,IF(H1479="8)",J1479,0))))))))</f>
        <v/>
      </c>
    </row>
    <row r="1481">
      <c r="A1481" s="0" t="inlineStr">
        <is>
          <t>New</t>
        </is>
      </c>
      <c r="B1481" s="0" t="inlineStr">
        <is>
          <t>Item</t>
        </is>
      </c>
      <c r="C1481" s="0" t="inlineStr">
        <is>
          <t>Acquired</t>
        </is>
      </c>
      <c r="D1481" s="0" t="inlineStr">
        <is>
          <t>:</t>
        </is>
      </c>
      <c r="E1481" s="0" t="inlineStr">
        <is>
          <t>125.00K</t>
        </is>
      </c>
      <c r="F1481" s="0" t="inlineStr">
        <is>
          <t>(6,</t>
        </is>
      </c>
      <c r="G1481" s="0" t="inlineStr">
        <is>
          <t>4)</t>
        </is>
      </c>
      <c r="K1481" s="0">
        <f>IF(H1480="1)",1,IF(H1480="2)",2,IF(H1480="3)",3,IF(H1480="4)",4,IF(H1480="5)",5,IF(H1480="6)",6,IF(H1480="7)",7,IF(H1480="8)",8,0))))))))</f>
        <v/>
      </c>
      <c r="L1481" s="0">
        <f>IF(H1480="1)",J1480,IF(H1480="2)",J1480,IF(H1480="3)",J1480,IF(H1480="4)",J1480,IF(H1480="5)",J1480,IF(H1480="6)",J1480,IF(H1480="7)",J1480,IF(H1480="8)",J1480,0))))))))</f>
        <v/>
      </c>
    </row>
    <row r="1482">
      <c r="A1482" s="0" t="inlineStr">
        <is>
          <t>New</t>
        </is>
      </c>
      <c r="B1482" s="0" t="inlineStr">
        <is>
          <t>Item</t>
        </is>
      </c>
      <c r="C1482" s="0" t="inlineStr">
        <is>
          <t>Acquired</t>
        </is>
      </c>
      <c r="D1482" s="0" t="inlineStr">
        <is>
          <t>:</t>
        </is>
      </c>
      <c r="E1482" s="0" t="inlineStr">
        <is>
          <t>30.00K</t>
        </is>
      </c>
      <c r="F1482" s="0" t="inlineStr">
        <is>
          <t>(1,</t>
        </is>
      </c>
      <c r="G1482" s="0" t="inlineStr">
        <is>
          <t>15)</t>
        </is>
      </c>
      <c r="K1482" s="0">
        <f>IF(H1481="1)",1,IF(H1481="2)",2,IF(H1481="3)",3,IF(H1481="4)",4,IF(H1481="5)",5,IF(H1481="6)",6,IF(H1481="7)",7,IF(H1481="8)",8,0))))))))</f>
        <v/>
      </c>
      <c r="L1482" s="0">
        <f>IF(H1481="1)",J1481,IF(H1481="2)",J1481,IF(H1481="3)",J1481,IF(H1481="4)",J1481,IF(H1481="5)",J1481,IF(H1481="6)",J1481,IF(H1481="7)",J1481,IF(H1481="8)",J1481,0))))))))</f>
        <v/>
      </c>
    </row>
    <row r="1483">
      <c r="A1483" s="0" t="inlineStr">
        <is>
          <t>Line</t>
        </is>
      </c>
      <c r="B1483" s="0" t="inlineStr">
        <is>
          <t>Prize</t>
        </is>
      </c>
      <c r="C1483" s="0" t="inlineStr">
        <is>
          <t>Acquired</t>
        </is>
      </c>
      <c r="D1483" s="0" t="inlineStr">
        <is>
          <t>:</t>
        </is>
      </c>
      <c r="E1483" s="0" t="inlineStr">
        <is>
          <t>590.00K</t>
        </is>
      </c>
      <c r="F1483" s="0" t="inlineStr">
        <is>
          <t>(Stage</t>
        </is>
      </c>
      <c r="G1483" s="0" t="inlineStr">
        <is>
          <t>:</t>
        </is>
      </c>
      <c r="H1483" s="0" t="inlineStr">
        <is>
          <t>1)</t>
        </is>
      </c>
      <c r="I1483" s="0" t="inlineStr">
        <is>
          <t>-</t>
        </is>
      </c>
      <c r="J1483" s="0" t="n">
        <v>590000</v>
      </c>
      <c r="K1483" s="0">
        <f>IF(H1482="1)",1,IF(H1482="2)",2,IF(H1482="3)",3,IF(H1482="4)",4,IF(H1482="5)",5,IF(H1482="6)",6,IF(H1482="7)",7,IF(H1482="8)",8,0))))))))</f>
        <v/>
      </c>
      <c r="L1483" s="0">
        <f>IF(H1482="1)",J1482,IF(H1482="2)",J1482,IF(H1482="3)",J1482,IF(H1482="4)",J1482,IF(H1482="5)",J1482,IF(H1482="6)",J1482,IF(H1482="7)",J1482,IF(H1482="8)",J1482,0))))))))</f>
        <v/>
      </c>
    </row>
    <row r="1484">
      <c r="A1484" s="0" t="inlineStr">
        <is>
          <t>Clear</t>
        </is>
      </c>
      <c r="B1484" s="0" t="inlineStr">
        <is>
          <t>Gem</t>
        </is>
      </c>
      <c r="C1484" s="0" t="inlineStr">
        <is>
          <t>Acquired</t>
        </is>
      </c>
      <c r="D1484" s="0" t="inlineStr">
        <is>
          <t>:</t>
        </is>
      </c>
      <c r="E1484" s="0" t="n">
        <v>8900</v>
      </c>
      <c r="F1484" s="0" t="inlineStr">
        <is>
          <t>-&gt;</t>
        </is>
      </c>
      <c r="G1484" s="0" t="n">
        <v>9000</v>
      </c>
      <c r="H1484" s="0" t="inlineStr">
        <is>
          <t>(Stage</t>
        </is>
      </c>
      <c r="I1484" s="0" t="inlineStr">
        <is>
          <t>:</t>
        </is>
      </c>
      <c r="J1484" s="0" t="inlineStr">
        <is>
          <t>1)</t>
        </is>
      </c>
      <c r="K1484" s="0">
        <f>IF(H1483="1)",1,IF(H1483="2)",2,IF(H1483="3)",3,IF(H1483="4)",4,IF(H1483="5)",5,IF(H1483="6)",6,IF(H1483="7)",7,IF(H1483="8)",8,0))))))))</f>
        <v/>
      </c>
      <c r="L1484" s="0">
        <f>IF(H1483="1)",J1483,IF(H1483="2)",J1483,IF(H1483="3)",J1483,IF(H1483="4)",J1483,IF(H1483="5)",J1483,IF(H1483="6)",J1483,IF(H1483="7)",J1483,IF(H1483="8)",J1483,0))))))))</f>
        <v/>
      </c>
    </row>
    <row r="1485">
      <c r="A1485" s="0" t="inlineStr">
        <is>
          <t>New</t>
        </is>
      </c>
      <c r="B1485" s="0" t="inlineStr">
        <is>
          <t>Item</t>
        </is>
      </c>
      <c r="C1485" s="0" t="inlineStr">
        <is>
          <t>Acquired</t>
        </is>
      </c>
      <c r="D1485" s="0" t="inlineStr">
        <is>
          <t>:</t>
        </is>
      </c>
      <c r="E1485" s="0" t="inlineStr">
        <is>
          <t>112.50K</t>
        </is>
      </c>
      <c r="F1485" s="0" t="inlineStr">
        <is>
          <t>(5,</t>
        </is>
      </c>
      <c r="G1485" s="0" t="inlineStr">
        <is>
          <t>23)</t>
        </is>
      </c>
      <c r="K1485" s="0">
        <f>IF(H1484="1)",1,IF(H1484="2)",2,IF(H1484="3)",3,IF(H1484="4)",4,IF(H1484="5)",5,IF(H1484="6)",6,IF(H1484="7)",7,IF(H1484="8)",8,0))))))))</f>
        <v/>
      </c>
      <c r="L1485" s="0">
        <f>IF(H1484="1)",J1484,IF(H1484="2)",J1484,IF(H1484="3)",J1484,IF(H1484="4)",J1484,IF(H1484="5)",J1484,IF(H1484="6)",J1484,IF(H1484="7)",J1484,IF(H1484="8)",J1484,0))))))))</f>
        <v/>
      </c>
    </row>
    <row r="1486">
      <c r="A1486" s="0" t="inlineStr">
        <is>
          <t>New</t>
        </is>
      </c>
      <c r="B1486" s="0" t="inlineStr">
        <is>
          <t>Item</t>
        </is>
      </c>
      <c r="C1486" s="0" t="inlineStr">
        <is>
          <t>Acquired</t>
        </is>
      </c>
      <c r="D1486" s="0" t="inlineStr">
        <is>
          <t>:</t>
        </is>
      </c>
      <c r="E1486" s="0" t="inlineStr">
        <is>
          <t>Mini</t>
        </is>
      </c>
      <c r="F1486" s="0" t="inlineStr">
        <is>
          <t>(4,</t>
        </is>
      </c>
      <c r="G1486" s="0" t="inlineStr">
        <is>
          <t>3)</t>
        </is>
      </c>
      <c r="K1486" s="0">
        <f>IF(H1485="1)",1,IF(H1485="2)",2,IF(H1485="3)",3,IF(H1485="4)",4,IF(H1485="5)",5,IF(H1485="6)",6,IF(H1485="7)",7,IF(H1485="8)",8,0))))))))</f>
        <v/>
      </c>
      <c r="L1486" s="0">
        <f>IF(H1485="1)",J1485,IF(H1485="2)",J1485,IF(H1485="3)",J1485,IF(H1485="4)",J1485,IF(H1485="5)",J1485,IF(H1485="6)",J1485,IF(H1485="7)",J1485,IF(H1485="8)",J1485,0))))))))</f>
        <v/>
      </c>
    </row>
    <row r="1487">
      <c r="A1487" s="0" t="inlineStr">
        <is>
          <t>New</t>
        </is>
      </c>
      <c r="B1487" s="0" t="inlineStr">
        <is>
          <t>Item</t>
        </is>
      </c>
      <c r="C1487" s="0" t="inlineStr">
        <is>
          <t>Acquired</t>
        </is>
      </c>
      <c r="D1487" s="0" t="inlineStr">
        <is>
          <t>:</t>
        </is>
      </c>
      <c r="E1487" s="0" t="inlineStr">
        <is>
          <t>125.00K</t>
        </is>
      </c>
      <c r="F1487" s="0" t="inlineStr">
        <is>
          <t>(6,</t>
        </is>
      </c>
      <c r="G1487" s="0" t="inlineStr">
        <is>
          <t>22)</t>
        </is>
      </c>
      <c r="K1487" s="0">
        <f>IF(H1486="1)",1,IF(H1486="2)",2,IF(H1486="3)",3,IF(H1486="4)",4,IF(H1486="5)",5,IF(H1486="6)",6,IF(H1486="7)",7,IF(H1486="8)",8,0))))))))</f>
        <v/>
      </c>
      <c r="L1487" s="0">
        <f>IF(H1486="1)",J1486,IF(H1486="2)",J1486,IF(H1486="3)",J1486,IF(H1486="4)",J1486,IF(H1486="5)",J1486,IF(H1486="6)",J1486,IF(H1486="7)",J1486,IF(H1486="8)",J1486,0))))))))</f>
        <v/>
      </c>
    </row>
    <row r="1488">
      <c r="A1488" s="0" t="inlineStr">
        <is>
          <t>New</t>
        </is>
      </c>
      <c r="B1488" s="0" t="inlineStr">
        <is>
          <t>Item</t>
        </is>
      </c>
      <c r="C1488" s="0" t="inlineStr">
        <is>
          <t>Acquired</t>
        </is>
      </c>
      <c r="D1488" s="0" t="inlineStr">
        <is>
          <t>:</t>
        </is>
      </c>
      <c r="E1488" s="0" t="inlineStr">
        <is>
          <t>62.50K</t>
        </is>
      </c>
      <c r="F1488" s="0" t="inlineStr">
        <is>
          <t>(2,</t>
        </is>
      </c>
      <c r="G1488" s="0" t="inlineStr">
        <is>
          <t>23)</t>
        </is>
      </c>
      <c r="K1488" s="0">
        <f>IF(H1487="1)",1,IF(H1487="2)",2,IF(H1487="3)",3,IF(H1487="4)",4,IF(H1487="5)",5,IF(H1487="6)",6,IF(H1487="7)",7,IF(H1487="8)",8,0))))))))</f>
        <v/>
      </c>
      <c r="L1488" s="0">
        <f>IF(H1487="1)",J1487,IF(H1487="2)",J1487,IF(H1487="3)",J1487,IF(H1487="4)",J1487,IF(H1487="5)",J1487,IF(H1487="6)",J1487,IF(H1487="7)",J1487,IF(H1487="8)",J1487,0))))))))</f>
        <v/>
      </c>
    </row>
    <row r="1489">
      <c r="A1489" s="0" t="inlineStr">
        <is>
          <t>New</t>
        </is>
      </c>
      <c r="B1489" s="0" t="inlineStr">
        <is>
          <t>Item</t>
        </is>
      </c>
      <c r="C1489" s="0" t="inlineStr">
        <is>
          <t>Acquired</t>
        </is>
      </c>
      <c r="D1489" s="0" t="inlineStr">
        <is>
          <t>:</t>
        </is>
      </c>
      <c r="E1489" s="0" t="inlineStr">
        <is>
          <t>30.00K</t>
        </is>
      </c>
      <c r="F1489" s="0" t="inlineStr">
        <is>
          <t>(1,</t>
        </is>
      </c>
      <c r="G1489" s="0" t="inlineStr">
        <is>
          <t>21)</t>
        </is>
      </c>
      <c r="K1489" s="0">
        <f>IF(H1488="1)",1,IF(H1488="2)",2,IF(H1488="3)",3,IF(H1488="4)",4,IF(H1488="5)",5,IF(H1488="6)",6,IF(H1488="7)",7,IF(H1488="8)",8,0))))))))</f>
        <v/>
      </c>
      <c r="L1489" s="0">
        <f>IF(H1488="1)",J1488,IF(H1488="2)",J1488,IF(H1488="3)",J1488,IF(H1488="4)",J1488,IF(H1488="5)",J1488,IF(H1488="6)",J1488,IF(H1488="7)",J1488,IF(H1488="8)",J1488,0))))))))</f>
        <v/>
      </c>
    </row>
    <row r="1490">
      <c r="A1490" s="0" t="inlineStr">
        <is>
          <t>New</t>
        </is>
      </c>
      <c r="B1490" s="0" t="inlineStr">
        <is>
          <t>Item</t>
        </is>
      </c>
      <c r="C1490" s="0" t="inlineStr">
        <is>
          <t>Acquired</t>
        </is>
      </c>
      <c r="D1490" s="0" t="inlineStr">
        <is>
          <t>:</t>
        </is>
      </c>
      <c r="E1490" s="0" t="inlineStr">
        <is>
          <t>50.00K</t>
        </is>
      </c>
      <c r="F1490" s="0" t="inlineStr">
        <is>
          <t>(1,</t>
        </is>
      </c>
      <c r="G1490" s="0" t="inlineStr">
        <is>
          <t>4)</t>
        </is>
      </c>
      <c r="K1490" s="0">
        <f>IF(H1489="1)",1,IF(H1489="2)",2,IF(H1489="3)",3,IF(H1489="4)",4,IF(H1489="5)",5,IF(H1489="6)",6,IF(H1489="7)",7,IF(H1489="8)",8,0))))))))</f>
        <v/>
      </c>
      <c r="L1490" s="0">
        <f>IF(H1489="1)",J1489,IF(H1489="2)",J1489,IF(H1489="3)",J1489,IF(H1489="4)",J1489,IF(H1489="5)",J1489,IF(H1489="6)",J1489,IF(H1489="7)",J1489,IF(H1489="8)",J1489,0))))))))</f>
        <v/>
      </c>
    </row>
    <row r="1491">
      <c r="A1491" s="0" t="inlineStr">
        <is>
          <t>New</t>
        </is>
      </c>
      <c r="B1491" s="0" t="inlineStr">
        <is>
          <t>Item</t>
        </is>
      </c>
      <c r="C1491" s="0" t="inlineStr">
        <is>
          <t>Acquired</t>
        </is>
      </c>
      <c r="D1491" s="0" t="inlineStr">
        <is>
          <t>:</t>
        </is>
      </c>
      <c r="E1491" s="0" t="inlineStr">
        <is>
          <t>105.00K</t>
        </is>
      </c>
      <c r="F1491" s="0" t="inlineStr">
        <is>
          <t>(3,</t>
        </is>
      </c>
      <c r="G1491" s="0" t="inlineStr">
        <is>
          <t>3)</t>
        </is>
      </c>
      <c r="K1491" s="0">
        <f>IF(H1490="1)",1,IF(H1490="2)",2,IF(H1490="3)",3,IF(H1490="4)",4,IF(H1490="5)",5,IF(H1490="6)",6,IF(H1490="7)",7,IF(H1490="8)",8,0))))))))</f>
        <v/>
      </c>
      <c r="L1491" s="0">
        <f>IF(H1490="1)",J1490,IF(H1490="2)",J1490,IF(H1490="3)",J1490,IF(H1490="4)",J1490,IF(H1490="5)",J1490,IF(H1490="6)",J1490,IF(H1490="7)",J1490,IF(H1490="8)",J1490,0))))))))</f>
        <v/>
      </c>
    </row>
    <row r="1492">
      <c r="A1492" s="0" t="inlineStr">
        <is>
          <t>New</t>
        </is>
      </c>
      <c r="B1492" s="0" t="inlineStr">
        <is>
          <t>Item</t>
        </is>
      </c>
      <c r="C1492" s="0" t="inlineStr">
        <is>
          <t>Acquired</t>
        </is>
      </c>
      <c r="D1492" s="0" t="inlineStr">
        <is>
          <t>:</t>
        </is>
      </c>
      <c r="E1492" s="0" t="inlineStr">
        <is>
          <t>150.00K</t>
        </is>
      </c>
      <c r="F1492" s="0" t="inlineStr">
        <is>
          <t>(7,</t>
        </is>
      </c>
      <c r="G1492" s="0" t="inlineStr">
        <is>
          <t>15)</t>
        </is>
      </c>
      <c r="K1492" s="0">
        <f>IF(H1491="1)",1,IF(H1491="2)",2,IF(H1491="3)",3,IF(H1491="4)",4,IF(H1491="5)",5,IF(H1491="6)",6,IF(H1491="7)",7,IF(H1491="8)",8,0))))))))</f>
        <v/>
      </c>
      <c r="L1492" s="0">
        <f>IF(H1491="1)",J1491,IF(H1491="2)",J1491,IF(H1491="3)",J1491,IF(H1491="4)",J1491,IF(H1491="5)",J1491,IF(H1491="6)",J1491,IF(H1491="7)",J1491,IF(H1491="8)",J1491,0))))))))</f>
        <v/>
      </c>
    </row>
    <row r="1493">
      <c r="A1493" s="0" t="inlineStr">
        <is>
          <t>New</t>
        </is>
      </c>
      <c r="B1493" s="0" t="inlineStr">
        <is>
          <t>Item</t>
        </is>
      </c>
      <c r="C1493" s="0" t="inlineStr">
        <is>
          <t>Acquired</t>
        </is>
      </c>
      <c r="D1493" s="0" t="inlineStr">
        <is>
          <t>:</t>
        </is>
      </c>
      <c r="E1493" s="0" t="inlineStr">
        <is>
          <t>50.00K</t>
        </is>
      </c>
      <c r="F1493" s="0" t="inlineStr">
        <is>
          <t>(1,</t>
        </is>
      </c>
      <c r="G1493" s="0" t="inlineStr">
        <is>
          <t>17)</t>
        </is>
      </c>
      <c r="K1493" s="0">
        <f>IF(H1492="1)",1,IF(H1492="2)",2,IF(H1492="3)",3,IF(H1492="4)",4,IF(H1492="5)",5,IF(H1492="6)",6,IF(H1492="7)",7,IF(H1492="8)",8,0))))))))</f>
        <v/>
      </c>
      <c r="L1493" s="0">
        <f>IF(H1492="1)",J1492,IF(H1492="2)",J1492,IF(H1492="3)",J1492,IF(H1492="4)",J1492,IF(H1492="5)",J1492,IF(H1492="6)",J1492,IF(H1492="7)",J1492,IF(H1492="8)",J1492,0))))))))</f>
        <v/>
      </c>
    </row>
    <row r="1494">
      <c r="A1494" s="0" t="inlineStr">
        <is>
          <t>New</t>
        </is>
      </c>
      <c r="B1494" s="0" t="inlineStr">
        <is>
          <t>Item</t>
        </is>
      </c>
      <c r="C1494" s="0" t="inlineStr">
        <is>
          <t>Acquired</t>
        </is>
      </c>
      <c r="D1494" s="0" t="inlineStr">
        <is>
          <t>:</t>
        </is>
      </c>
      <c r="E1494" s="0" t="inlineStr">
        <is>
          <t>75.00K</t>
        </is>
      </c>
      <c r="F1494" s="0" t="inlineStr">
        <is>
          <t>(6,</t>
        </is>
      </c>
      <c r="G1494" s="0" t="inlineStr">
        <is>
          <t>24)</t>
        </is>
      </c>
      <c r="K1494" s="0">
        <f>IF(H1493="1)",1,IF(H1493="2)",2,IF(H1493="3)",3,IF(H1493="4)",4,IF(H1493="5)",5,IF(H1493="6)",6,IF(H1493="7)",7,IF(H1493="8)",8,0))))))))</f>
        <v/>
      </c>
      <c r="L1494" s="0">
        <f>IF(H1493="1)",J1493,IF(H1493="2)",J1493,IF(H1493="3)",J1493,IF(H1493="4)",J1493,IF(H1493="5)",J1493,IF(H1493="6)",J1493,IF(H1493="7)",J1493,IF(H1493="8)",J1493,0))))))))</f>
        <v/>
      </c>
    </row>
    <row r="1495">
      <c r="A1495" s="0" t="inlineStr">
        <is>
          <t>New</t>
        </is>
      </c>
      <c r="B1495" s="0" t="inlineStr">
        <is>
          <t>Item</t>
        </is>
      </c>
      <c r="C1495" s="0" t="inlineStr">
        <is>
          <t>Acquired</t>
        </is>
      </c>
      <c r="D1495" s="0" t="inlineStr">
        <is>
          <t>:</t>
        </is>
      </c>
      <c r="E1495" s="0" t="inlineStr">
        <is>
          <t>30.00K</t>
        </is>
      </c>
      <c r="F1495" s="0" t="inlineStr">
        <is>
          <t>(1,</t>
        </is>
      </c>
      <c r="G1495" s="0" t="inlineStr">
        <is>
          <t>6)</t>
        </is>
      </c>
      <c r="K1495" s="0">
        <f>IF(H1494="1)",1,IF(H1494="2)",2,IF(H1494="3)",3,IF(H1494="4)",4,IF(H1494="5)",5,IF(H1494="6)",6,IF(H1494="7)",7,IF(H1494="8)",8,0))))))))</f>
        <v/>
      </c>
      <c r="L1495" s="0">
        <f>IF(H1494="1)",J1494,IF(H1494="2)",J1494,IF(H1494="3)",J1494,IF(H1494="4)",J1494,IF(H1494="5)",J1494,IF(H1494="6)",J1494,IF(H1494="7)",J1494,IF(H1494="8)",J1494,0))))))))</f>
        <v/>
      </c>
    </row>
    <row r="1496">
      <c r="A1496" s="0" t="inlineStr">
        <is>
          <t>New</t>
        </is>
      </c>
      <c r="B1496" s="0" t="inlineStr">
        <is>
          <t>Item</t>
        </is>
      </c>
      <c r="C1496" s="0" t="inlineStr">
        <is>
          <t>Acquired</t>
        </is>
      </c>
      <c r="D1496" s="0" t="inlineStr">
        <is>
          <t>:</t>
        </is>
      </c>
      <c r="E1496" s="0" t="inlineStr">
        <is>
          <t>280.00K</t>
        </is>
      </c>
      <c r="F1496" s="0" t="inlineStr">
        <is>
          <t>(8,</t>
        </is>
      </c>
      <c r="G1496" s="0" t="inlineStr">
        <is>
          <t>25)</t>
        </is>
      </c>
      <c r="K1496" s="0">
        <f>IF(H1495="1)",1,IF(H1495="2)",2,IF(H1495="3)",3,IF(H1495="4)",4,IF(H1495="5)",5,IF(H1495="6)",6,IF(H1495="7)",7,IF(H1495="8)",8,0))))))))</f>
        <v/>
      </c>
      <c r="L1496" s="0">
        <f>IF(H1495="1)",J1495,IF(H1495="2)",J1495,IF(H1495="3)",J1495,IF(H1495="4)",J1495,IF(H1495="5)",J1495,IF(H1495="6)",J1495,IF(H1495="7)",J1495,IF(H1495="8)",J1495,0))))))))</f>
        <v/>
      </c>
    </row>
    <row r="1497">
      <c r="A1497" s="0" t="inlineStr">
        <is>
          <t>New</t>
        </is>
      </c>
      <c r="B1497" s="0" t="inlineStr">
        <is>
          <t>Item</t>
        </is>
      </c>
      <c r="C1497" s="0" t="inlineStr">
        <is>
          <t>Acquired</t>
        </is>
      </c>
      <c r="D1497" s="0" t="inlineStr">
        <is>
          <t>:</t>
        </is>
      </c>
      <c r="E1497" s="0" t="inlineStr">
        <is>
          <t>70.00K</t>
        </is>
      </c>
      <c r="F1497" s="0" t="inlineStr">
        <is>
          <t>(1,</t>
        </is>
      </c>
      <c r="G1497" s="0" t="inlineStr">
        <is>
          <t>20)</t>
        </is>
      </c>
      <c r="K1497" s="0">
        <f>IF(H1496="1)",1,IF(H1496="2)",2,IF(H1496="3)",3,IF(H1496="4)",4,IF(H1496="5)",5,IF(H1496="6)",6,IF(H1496="7)",7,IF(H1496="8)",8,0))))))))</f>
        <v/>
      </c>
      <c r="L1497" s="0">
        <f>IF(H1496="1)",J1496,IF(H1496="2)",J1496,IF(H1496="3)",J1496,IF(H1496="4)",J1496,IF(H1496="5)",J1496,IF(H1496="6)",J1496,IF(H1496="7)",J1496,IF(H1496="8)",J1496,0))))))))</f>
        <v/>
      </c>
    </row>
    <row r="1498">
      <c r="A1498" s="0" t="inlineStr">
        <is>
          <t>New</t>
        </is>
      </c>
      <c r="B1498" s="0" t="inlineStr">
        <is>
          <t>Item</t>
        </is>
      </c>
      <c r="C1498" s="0" t="inlineStr">
        <is>
          <t>Acquired</t>
        </is>
      </c>
      <c r="D1498" s="0" t="inlineStr">
        <is>
          <t>:</t>
        </is>
      </c>
      <c r="E1498" s="0" t="inlineStr">
        <is>
          <t>87.50K</t>
        </is>
      </c>
      <c r="F1498" s="0" t="inlineStr">
        <is>
          <t>(2,</t>
        </is>
      </c>
      <c r="G1498" s="0" t="inlineStr">
        <is>
          <t>14)</t>
        </is>
      </c>
      <c r="K1498" s="0">
        <f>IF(H1497="1)",1,IF(H1497="2)",2,IF(H1497="3)",3,IF(H1497="4)",4,IF(H1497="5)",5,IF(H1497="6)",6,IF(H1497="7)",7,IF(H1497="8)",8,0))))))))</f>
        <v/>
      </c>
      <c r="L1498" s="0">
        <f>IF(H1497="1)",J1497,IF(H1497="2)",J1497,IF(H1497="3)",J1497,IF(H1497="4)",J1497,IF(H1497="5)",J1497,IF(H1497="6)",J1497,IF(H1497="7)",J1497,IF(H1497="8)",J1497,0))))))))</f>
        <v/>
      </c>
    </row>
    <row r="1499">
      <c r="A1499" s="0" t="inlineStr">
        <is>
          <t>New</t>
        </is>
      </c>
      <c r="B1499" s="0" t="inlineStr">
        <is>
          <t>Item</t>
        </is>
      </c>
      <c r="C1499" s="0" t="inlineStr">
        <is>
          <t>Acquired</t>
        </is>
      </c>
      <c r="D1499" s="0" t="inlineStr">
        <is>
          <t>:</t>
        </is>
      </c>
      <c r="E1499" s="0" t="inlineStr">
        <is>
          <t>75.00K</t>
        </is>
      </c>
      <c r="F1499" s="0" t="inlineStr">
        <is>
          <t>(4,</t>
        </is>
      </c>
      <c r="G1499" s="0" t="inlineStr">
        <is>
          <t>22)</t>
        </is>
      </c>
      <c r="K1499" s="0">
        <f>IF(H1498="1)",1,IF(H1498="2)",2,IF(H1498="3)",3,IF(H1498="4)",4,IF(H1498="5)",5,IF(H1498="6)",6,IF(H1498="7)",7,IF(H1498="8)",8,0))))))))</f>
        <v/>
      </c>
      <c r="L1499" s="0">
        <f>IF(H1498="1)",J1498,IF(H1498="2)",J1498,IF(H1498="3)",J1498,IF(H1498="4)",J1498,IF(H1498="5)",J1498,IF(H1498="6)",J1498,IF(H1498="7)",J1498,IF(H1498="8)",J1498,0))))))))</f>
        <v/>
      </c>
    </row>
    <row r="1500">
      <c r="A1500" s="0" t="inlineStr">
        <is>
          <t>New</t>
        </is>
      </c>
      <c r="B1500" s="0" t="inlineStr">
        <is>
          <t>Item</t>
        </is>
      </c>
      <c r="C1500" s="0" t="inlineStr">
        <is>
          <t>Acquired</t>
        </is>
      </c>
      <c r="D1500" s="0" t="inlineStr">
        <is>
          <t>:</t>
        </is>
      </c>
      <c r="E1500" s="0" t="inlineStr">
        <is>
          <t>Minor</t>
        </is>
      </c>
      <c r="F1500" s="0" t="inlineStr">
        <is>
          <t>(5,</t>
        </is>
      </c>
      <c r="G1500" s="0" t="inlineStr">
        <is>
          <t>5)</t>
        </is>
      </c>
      <c r="K1500" s="0">
        <f>IF(H1499="1)",1,IF(H1499="2)",2,IF(H1499="3)",3,IF(H1499="4)",4,IF(H1499="5)",5,IF(H1499="6)",6,IF(H1499="7)",7,IF(H1499="8)",8,0))))))))</f>
        <v/>
      </c>
      <c r="L1500" s="0">
        <f>IF(H1499="1)",J1499,IF(H1499="2)",J1499,IF(H1499="3)",J1499,IF(H1499="4)",J1499,IF(H1499="5)",J1499,IF(H1499="6)",J1499,IF(H1499="7)",J1499,IF(H1499="8)",J1499,0))))))))</f>
        <v/>
      </c>
    </row>
    <row r="1501">
      <c r="A1501" s="0" t="inlineStr">
        <is>
          <t>New</t>
        </is>
      </c>
      <c r="B1501" s="0" t="inlineStr">
        <is>
          <t>Item</t>
        </is>
      </c>
      <c r="C1501" s="0" t="inlineStr">
        <is>
          <t>Acquired</t>
        </is>
      </c>
      <c r="D1501" s="0" t="inlineStr">
        <is>
          <t>:</t>
        </is>
      </c>
      <c r="E1501" s="0" t="inlineStr">
        <is>
          <t>50.00K</t>
        </is>
      </c>
      <c r="F1501" s="0" t="inlineStr">
        <is>
          <t>(1,</t>
        </is>
      </c>
      <c r="G1501" s="0" t="inlineStr">
        <is>
          <t>2)</t>
        </is>
      </c>
      <c r="K1501" s="0">
        <f>IF(H1500="1)",1,IF(H1500="2)",2,IF(H1500="3)",3,IF(H1500="4)",4,IF(H1500="5)",5,IF(H1500="6)",6,IF(H1500="7)",7,IF(H1500="8)",8,0))))))))</f>
        <v/>
      </c>
      <c r="L1501" s="0">
        <f>IF(H1500="1)",J1500,IF(H1500="2)",J1500,IF(H1500="3)",J1500,IF(H1500="4)",J1500,IF(H1500="5)",J1500,IF(H1500="6)",J1500,IF(H1500="7)",J1500,IF(H1500="8)",J1500,0))))))))</f>
        <v/>
      </c>
    </row>
    <row r="1502">
      <c r="A1502" s="0" t="inlineStr">
        <is>
          <t>New</t>
        </is>
      </c>
      <c r="B1502" s="0" t="inlineStr">
        <is>
          <t>Item</t>
        </is>
      </c>
      <c r="C1502" s="0" t="inlineStr">
        <is>
          <t>Acquired</t>
        </is>
      </c>
      <c r="D1502" s="0" t="inlineStr">
        <is>
          <t>:</t>
        </is>
      </c>
      <c r="E1502" s="0" t="inlineStr">
        <is>
          <t>90.00K</t>
        </is>
      </c>
      <c r="F1502" s="0" t="inlineStr">
        <is>
          <t>(7,</t>
        </is>
      </c>
      <c r="G1502" s="0" t="inlineStr">
        <is>
          <t>21)</t>
        </is>
      </c>
      <c r="K1502" s="0">
        <f>IF(H1501="1)",1,IF(H1501="2)",2,IF(H1501="3)",3,IF(H1501="4)",4,IF(H1501="5)",5,IF(H1501="6)",6,IF(H1501="7)",7,IF(H1501="8)",8,0))))))))</f>
        <v/>
      </c>
      <c r="L1502" s="0">
        <f>IF(H1501="1)",J1501,IF(H1501="2)",J1501,IF(H1501="3)",J1501,IF(H1501="4)",J1501,IF(H1501="5)",J1501,IF(H1501="6)",J1501,IF(H1501="7)",J1501,IF(H1501="8)",J1501,0))))))))</f>
        <v/>
      </c>
    </row>
    <row r="1503">
      <c r="A1503" s="0" t="inlineStr">
        <is>
          <t>New</t>
        </is>
      </c>
      <c r="B1503" s="0" t="inlineStr">
        <is>
          <t>Item</t>
        </is>
      </c>
      <c r="C1503" s="0" t="inlineStr">
        <is>
          <t>Acquired</t>
        </is>
      </c>
      <c r="D1503" s="0" t="inlineStr">
        <is>
          <t>:</t>
        </is>
      </c>
      <c r="E1503" s="0" t="inlineStr">
        <is>
          <t>Minor</t>
        </is>
      </c>
      <c r="F1503" s="0" t="inlineStr">
        <is>
          <t>(5,</t>
        </is>
      </c>
      <c r="G1503" s="0" t="inlineStr">
        <is>
          <t>9)</t>
        </is>
      </c>
      <c r="K1503" s="0">
        <f>IF(H1502="1)",1,IF(H1502="2)",2,IF(H1502="3)",3,IF(H1502="4)",4,IF(H1502="5)",5,IF(H1502="6)",6,IF(H1502="7)",7,IF(H1502="8)",8,0))))))))</f>
        <v/>
      </c>
      <c r="L1503" s="0">
        <f>IF(H1502="1)",J1502,IF(H1502="2)",J1502,IF(H1502="3)",J1502,IF(H1502="4)",J1502,IF(H1502="5)",J1502,IF(H1502="6)",J1502,IF(H1502="7)",J1502,IF(H1502="8)",J1502,0))))))))</f>
        <v/>
      </c>
    </row>
    <row r="1504">
      <c r="A1504" s="0" t="inlineStr">
        <is>
          <t>New</t>
        </is>
      </c>
      <c r="B1504" s="0" t="inlineStr">
        <is>
          <t>Item</t>
        </is>
      </c>
      <c r="C1504" s="0" t="inlineStr">
        <is>
          <t>Acquired</t>
        </is>
      </c>
      <c r="D1504" s="0" t="inlineStr">
        <is>
          <t>:</t>
        </is>
      </c>
      <c r="E1504" s="0" t="inlineStr">
        <is>
          <t>75.00K</t>
        </is>
      </c>
      <c r="F1504" s="0" t="inlineStr">
        <is>
          <t>(4,</t>
        </is>
      </c>
      <c r="G1504" s="0" t="inlineStr">
        <is>
          <t>17)</t>
        </is>
      </c>
      <c r="K1504" s="0">
        <f>IF(H1503="1)",1,IF(H1503="2)",2,IF(H1503="3)",3,IF(H1503="4)",4,IF(H1503="5)",5,IF(H1503="6)",6,IF(H1503="7)",7,IF(H1503="8)",8,0))))))))</f>
        <v/>
      </c>
      <c r="L1504" s="0">
        <f>IF(H1503="1)",J1503,IF(H1503="2)",J1503,IF(H1503="3)",J1503,IF(H1503="4)",J1503,IF(H1503="5)",J1503,IF(H1503="6)",J1503,IF(H1503="7)",J1503,IF(H1503="8)",J1503,0))))))))</f>
        <v/>
      </c>
    </row>
    <row r="1505">
      <c r="A1505" s="0" t="inlineStr">
        <is>
          <t>New</t>
        </is>
      </c>
      <c r="B1505" s="0" t="inlineStr">
        <is>
          <t>Item</t>
        </is>
      </c>
      <c r="C1505" s="0" t="inlineStr">
        <is>
          <t>Acquired</t>
        </is>
      </c>
      <c r="D1505" s="0" t="inlineStr">
        <is>
          <t>:</t>
        </is>
      </c>
      <c r="E1505" s="0" t="inlineStr">
        <is>
          <t>62.50K</t>
        </is>
      </c>
      <c r="F1505" s="0" t="inlineStr">
        <is>
          <t>(2,</t>
        </is>
      </c>
      <c r="G1505" s="0" t="inlineStr">
        <is>
          <t>11)</t>
        </is>
      </c>
      <c r="K1505" s="0">
        <f>IF(H1504="1)",1,IF(H1504="2)",2,IF(H1504="3)",3,IF(H1504="4)",4,IF(H1504="5)",5,IF(H1504="6)",6,IF(H1504="7)",7,IF(H1504="8)",8,0))))))))</f>
        <v/>
      </c>
      <c r="L1505" s="0">
        <f>IF(H1504="1)",J1504,IF(H1504="2)",J1504,IF(H1504="3)",J1504,IF(H1504="4)",J1504,IF(H1504="5)",J1504,IF(H1504="6)",J1504,IF(H1504="7)",J1504,IF(H1504="8)",J1504,0))))))))</f>
        <v/>
      </c>
    </row>
    <row r="1506">
      <c r="A1506" s="0" t="inlineStr">
        <is>
          <t>New</t>
        </is>
      </c>
      <c r="B1506" s="0" t="inlineStr">
        <is>
          <t>Item</t>
        </is>
      </c>
      <c r="C1506" s="0" t="inlineStr">
        <is>
          <t>Acquired</t>
        </is>
      </c>
      <c r="D1506" s="0" t="inlineStr">
        <is>
          <t>:</t>
        </is>
      </c>
      <c r="E1506" s="0" t="inlineStr">
        <is>
          <t>Major</t>
        </is>
      </c>
      <c r="F1506" s="0" t="inlineStr">
        <is>
          <t>(8,</t>
        </is>
      </c>
      <c r="G1506" s="0" t="inlineStr">
        <is>
          <t>23)</t>
        </is>
      </c>
      <c r="K1506" s="0">
        <f>IF(H1505="1)",1,IF(H1505="2)",2,IF(H1505="3)",3,IF(H1505="4)",4,IF(H1505="5)",5,IF(H1505="6)",6,IF(H1505="7)",7,IF(H1505="8)",8,0))))))))</f>
        <v/>
      </c>
      <c r="L1506" s="0">
        <f>IF(H1505="1)",J1505,IF(H1505="2)",J1505,IF(H1505="3)",J1505,IF(H1505="4)",J1505,IF(H1505="5)",J1505,IF(H1505="6)",J1505,IF(H1505="7)",J1505,IF(H1505="8)",J1505,0))))))))</f>
        <v/>
      </c>
    </row>
    <row r="1507">
      <c r="A1507" s="0" t="inlineStr">
        <is>
          <t>Item</t>
        </is>
      </c>
      <c r="B1507" s="0" t="inlineStr">
        <is>
          <t>ReSelect</t>
        </is>
      </c>
      <c r="C1507" s="0" t="inlineStr">
        <is>
          <t>Failed</t>
        </is>
      </c>
      <c r="D1507" s="0" t="inlineStr">
        <is>
          <t>:</t>
        </is>
      </c>
      <c r="E1507" s="0" t="inlineStr">
        <is>
          <t>Attempt</t>
        </is>
      </c>
      <c r="F1507" s="0" t="inlineStr">
        <is>
          <t>Count</t>
        </is>
      </c>
      <c r="G1507" s="0" t="inlineStr">
        <is>
          <t>-</t>
        </is>
      </c>
      <c r="H1507" s="0" t="n">
        <v>3</v>
      </c>
      <c r="K1507" s="0">
        <f>IF(H1506="1)",1,IF(H1506="2)",2,IF(H1506="3)",3,IF(H1506="4)",4,IF(H1506="5)",5,IF(H1506="6)",6,IF(H1506="7)",7,IF(H1506="8)",8,0))))))))</f>
        <v/>
      </c>
      <c r="L1507" s="0">
        <f>IF(H1506="1)",J1506,IF(H1506="2)",J1506,IF(H1506="3)",J1506,IF(H1506="4)",J1506,IF(H1506="5)",J1506,IF(H1506="6)",J1506,IF(H1506="7)",J1506,IF(H1506="8)",J1506,0))))))))</f>
        <v/>
      </c>
    </row>
    <row r="1508">
      <c r="A1508" s="0" t="inlineStr">
        <is>
          <t>New</t>
        </is>
      </c>
      <c r="B1508" s="0" t="inlineStr">
        <is>
          <t>Item</t>
        </is>
      </c>
      <c r="C1508" s="0" t="inlineStr">
        <is>
          <t>Acquired</t>
        </is>
      </c>
      <c r="D1508" s="0" t="inlineStr">
        <is>
          <t>:</t>
        </is>
      </c>
      <c r="E1508" s="0" t="inlineStr">
        <is>
          <t>50.00K</t>
        </is>
      </c>
      <c r="F1508" s="0" t="inlineStr">
        <is>
          <t>(1,</t>
        </is>
      </c>
      <c r="G1508" s="0" t="inlineStr">
        <is>
          <t>10)</t>
        </is>
      </c>
      <c r="K1508" s="0">
        <f>IF(H1507="1)",1,IF(H1507="2)",2,IF(H1507="3)",3,IF(H1507="4)",4,IF(H1507="5)",5,IF(H1507="6)",6,IF(H1507="7)",7,IF(H1507="8)",8,0))))))))</f>
        <v/>
      </c>
      <c r="L1508" s="0">
        <f>IF(H1507="1)",J1507,IF(H1507="2)",J1507,IF(H1507="3)",J1507,IF(H1507="4)",J1507,IF(H1507="5)",J1507,IF(H1507="6)",J1507,IF(H1507="7)",J1507,IF(H1507="8)",J1507,0))))))))</f>
        <v/>
      </c>
    </row>
    <row r="1509">
      <c r="A1509" s="0" t="inlineStr">
        <is>
          <t>New</t>
        </is>
      </c>
      <c r="B1509" s="0" t="inlineStr">
        <is>
          <t>Item</t>
        </is>
      </c>
      <c r="C1509" s="0" t="inlineStr">
        <is>
          <t>Acquired</t>
        </is>
      </c>
      <c r="D1509" s="0" t="inlineStr">
        <is>
          <t>:</t>
        </is>
      </c>
      <c r="E1509" s="0" t="inlineStr">
        <is>
          <t>105.00K</t>
        </is>
      </c>
      <c r="F1509" s="0" t="inlineStr">
        <is>
          <t>(3,</t>
        </is>
      </c>
      <c r="G1509" s="0" t="inlineStr">
        <is>
          <t>4)</t>
        </is>
      </c>
      <c r="K1509" s="0">
        <f>IF(H1508="1)",1,IF(H1508="2)",2,IF(H1508="3)",3,IF(H1508="4)",4,IF(H1508="5)",5,IF(H1508="6)",6,IF(H1508="7)",7,IF(H1508="8)",8,0))))))))</f>
        <v/>
      </c>
      <c r="L1509" s="0">
        <f>IF(H1508="1)",J1508,IF(H1508="2)",J1508,IF(H1508="3)",J1508,IF(H1508="4)",J1508,IF(H1508="5)",J1508,IF(H1508="6)",J1508,IF(H1508="7)",J1508,IF(H1508="8)",J1508,0))))))))</f>
        <v/>
      </c>
    </row>
    <row r="1510">
      <c r="A1510" s="0" t="inlineStr">
        <is>
          <t>New</t>
        </is>
      </c>
      <c r="B1510" s="0" t="inlineStr">
        <is>
          <t>Item</t>
        </is>
      </c>
      <c r="C1510" s="0" t="inlineStr">
        <is>
          <t>Acquired</t>
        </is>
      </c>
      <c r="D1510" s="0" t="inlineStr">
        <is>
          <t>:</t>
        </is>
      </c>
      <c r="E1510" s="0" t="inlineStr">
        <is>
          <t>210.00K</t>
        </is>
      </c>
      <c r="F1510" s="0" t="inlineStr">
        <is>
          <t>(7,</t>
        </is>
      </c>
      <c r="G1510" s="0" t="inlineStr">
        <is>
          <t>6)</t>
        </is>
      </c>
      <c r="K1510" s="0">
        <f>IF(H1509="1)",1,IF(H1509="2)",2,IF(H1509="3)",3,IF(H1509="4)",4,IF(H1509="5)",5,IF(H1509="6)",6,IF(H1509="7)",7,IF(H1509="8)",8,0))))))))</f>
        <v/>
      </c>
      <c r="L1510" s="0">
        <f>IF(H1509="1)",J1509,IF(H1509="2)",J1509,IF(H1509="3)",J1509,IF(H1509="4)",J1509,IF(H1509="5)",J1509,IF(H1509="6)",J1509,IF(H1509="7)",J1509,IF(H1509="8)",J1509,0))))))))</f>
        <v/>
      </c>
    </row>
    <row r="1511">
      <c r="A1511" s="0" t="inlineStr">
        <is>
          <t>New</t>
        </is>
      </c>
      <c r="B1511" s="0" t="inlineStr">
        <is>
          <t>Item</t>
        </is>
      </c>
      <c r="C1511" s="0" t="inlineStr">
        <is>
          <t>Acquired</t>
        </is>
      </c>
      <c r="D1511" s="0" t="inlineStr">
        <is>
          <t>:</t>
        </is>
      </c>
      <c r="E1511" s="0" t="inlineStr">
        <is>
          <t>75.00K</t>
        </is>
      </c>
      <c r="F1511" s="0" t="inlineStr">
        <is>
          <t>(4,</t>
        </is>
      </c>
      <c r="G1511" s="0" t="inlineStr">
        <is>
          <t>15)</t>
        </is>
      </c>
      <c r="K1511" s="0">
        <f>IF(H1510="1)",1,IF(H1510="2)",2,IF(H1510="3)",3,IF(H1510="4)",4,IF(H1510="5)",5,IF(H1510="6)",6,IF(H1510="7)",7,IF(H1510="8)",8,0))))))))</f>
        <v/>
      </c>
      <c r="L1511" s="0">
        <f>IF(H1510="1)",J1510,IF(H1510="2)",J1510,IF(H1510="3)",J1510,IF(H1510="4)",J1510,IF(H1510="5)",J1510,IF(H1510="6)",J1510,IF(H1510="7)",J1510,IF(H1510="8)",J1510,0))))))))</f>
        <v/>
      </c>
    </row>
    <row r="1512">
      <c r="A1512" s="0" t="inlineStr">
        <is>
          <t>New</t>
        </is>
      </c>
      <c r="B1512" s="0" t="inlineStr">
        <is>
          <t>Item</t>
        </is>
      </c>
      <c r="C1512" s="0" t="inlineStr">
        <is>
          <t>Acquired</t>
        </is>
      </c>
      <c r="D1512" s="0" t="inlineStr">
        <is>
          <t>:</t>
        </is>
      </c>
      <c r="E1512" s="0" t="inlineStr">
        <is>
          <t>120.00K</t>
        </is>
      </c>
      <c r="F1512" s="0" t="inlineStr">
        <is>
          <t>(8,</t>
        </is>
      </c>
      <c r="G1512" s="0" t="inlineStr">
        <is>
          <t>11)</t>
        </is>
      </c>
      <c r="K1512" s="0">
        <f>IF(H1511="1)",1,IF(H1511="2)",2,IF(H1511="3)",3,IF(H1511="4)",4,IF(H1511="5)",5,IF(H1511="6)",6,IF(H1511="7)",7,IF(H1511="8)",8,0))))))))</f>
        <v/>
      </c>
      <c r="L1512" s="0">
        <f>IF(H1511="1)",J1511,IF(H1511="2)",J1511,IF(H1511="3)",J1511,IF(H1511="4)",J1511,IF(H1511="5)",J1511,IF(H1511="6)",J1511,IF(H1511="7)",J1511,IF(H1511="8)",J1511,0))))))))</f>
        <v/>
      </c>
    </row>
    <row r="1513">
      <c r="A1513" s="0" t="inlineStr">
        <is>
          <t>New</t>
        </is>
      </c>
      <c r="B1513" s="0" t="inlineStr">
        <is>
          <t>Item</t>
        </is>
      </c>
      <c r="C1513" s="0" t="inlineStr">
        <is>
          <t>Acquired</t>
        </is>
      </c>
      <c r="D1513" s="0" t="inlineStr">
        <is>
          <t>:</t>
        </is>
      </c>
      <c r="E1513" s="0" t="inlineStr">
        <is>
          <t>200.00K</t>
        </is>
      </c>
      <c r="F1513" s="0" t="inlineStr">
        <is>
          <t>(8,</t>
        </is>
      </c>
      <c r="G1513" s="0" t="inlineStr">
        <is>
          <t>15)</t>
        </is>
      </c>
      <c r="K1513" s="0">
        <f>IF(H1512="1)",1,IF(H1512="2)",2,IF(H1512="3)",3,IF(H1512="4)",4,IF(H1512="5)",5,IF(H1512="6)",6,IF(H1512="7)",7,IF(H1512="8)",8,0))))))))</f>
        <v/>
      </c>
      <c r="L1513" s="0">
        <f>IF(H1512="1)",J1512,IF(H1512="2)",J1512,IF(H1512="3)",J1512,IF(H1512="4)",J1512,IF(H1512="5)",J1512,IF(H1512="6)",J1512,IF(H1512="7)",J1512,IF(H1512="8)",J1512,0))))))))</f>
        <v/>
      </c>
    </row>
    <row r="1514">
      <c r="A1514" s="0" t="inlineStr">
        <is>
          <t>New</t>
        </is>
      </c>
      <c r="B1514" s="0" t="inlineStr">
        <is>
          <t>Item</t>
        </is>
      </c>
      <c r="C1514" s="0" t="inlineStr">
        <is>
          <t>Acquired</t>
        </is>
      </c>
      <c r="D1514" s="0" t="inlineStr">
        <is>
          <t>:</t>
        </is>
      </c>
      <c r="E1514" s="0" t="inlineStr">
        <is>
          <t>120.00K</t>
        </is>
      </c>
      <c r="F1514" s="0" t="inlineStr">
        <is>
          <t>(8,</t>
        </is>
      </c>
      <c r="G1514" s="0" t="inlineStr">
        <is>
          <t>17)</t>
        </is>
      </c>
      <c r="K1514" s="0">
        <f>IF(H1513="1)",1,IF(H1513="2)",2,IF(H1513="3)",3,IF(H1513="4)",4,IF(H1513="5)",5,IF(H1513="6)",6,IF(H1513="7)",7,IF(H1513="8)",8,0))))))))</f>
        <v/>
      </c>
      <c r="L1514" s="0">
        <f>IF(H1513="1)",J1513,IF(H1513="2)",J1513,IF(H1513="3)",J1513,IF(H1513="4)",J1513,IF(H1513="5)",J1513,IF(H1513="6)",J1513,IF(H1513="7)",J1513,IF(H1513="8)",J1513,0))))))))</f>
        <v/>
      </c>
    </row>
    <row r="1515">
      <c r="A1515" s="0" t="inlineStr">
        <is>
          <t>New</t>
        </is>
      </c>
      <c r="B1515" s="0" t="inlineStr">
        <is>
          <t>Item</t>
        </is>
      </c>
      <c r="C1515" s="0" t="inlineStr">
        <is>
          <t>Acquired</t>
        </is>
      </c>
      <c r="D1515" s="0" t="inlineStr">
        <is>
          <t>:</t>
        </is>
      </c>
      <c r="E1515" s="0" t="inlineStr">
        <is>
          <t>120.00K</t>
        </is>
      </c>
      <c r="F1515" s="0" t="inlineStr">
        <is>
          <t>(8,</t>
        </is>
      </c>
      <c r="G1515" s="0" t="inlineStr">
        <is>
          <t>6)</t>
        </is>
      </c>
      <c r="K1515" s="0">
        <f>IF(H1514="1)",1,IF(H1514="2)",2,IF(H1514="3)",3,IF(H1514="4)",4,IF(H1514="5)",5,IF(H1514="6)",6,IF(H1514="7)",7,IF(H1514="8)",8,0))))))))</f>
        <v/>
      </c>
      <c r="L1515" s="0">
        <f>IF(H1514="1)",J1514,IF(H1514="2)",J1514,IF(H1514="3)",J1514,IF(H1514="4)",J1514,IF(H1514="5)",J1514,IF(H1514="6)",J1514,IF(H1514="7)",J1514,IF(H1514="8)",J1514,0))))))))</f>
        <v/>
      </c>
    </row>
    <row r="1516">
      <c r="A1516" s="0" t="inlineStr">
        <is>
          <t>New</t>
        </is>
      </c>
      <c r="B1516" s="0" t="inlineStr">
        <is>
          <t>Item</t>
        </is>
      </c>
      <c r="C1516" s="0" t="inlineStr">
        <is>
          <t>Acquired</t>
        </is>
      </c>
      <c r="D1516" s="0" t="inlineStr">
        <is>
          <t>:</t>
        </is>
      </c>
      <c r="E1516" s="0" t="inlineStr">
        <is>
          <t>87.50K</t>
        </is>
      </c>
      <c r="F1516" s="0" t="inlineStr">
        <is>
          <t>(2,</t>
        </is>
      </c>
      <c r="G1516" s="0" t="inlineStr">
        <is>
          <t>16)</t>
        </is>
      </c>
      <c r="K1516" s="0">
        <f>IF(H1515="1)",1,IF(H1515="2)",2,IF(H1515="3)",3,IF(H1515="4)",4,IF(H1515="5)",5,IF(H1515="6)",6,IF(H1515="7)",7,IF(H1515="8)",8,0))))))))</f>
        <v/>
      </c>
      <c r="L1516" s="0">
        <f>IF(H1515="1)",J1515,IF(H1515="2)",J1515,IF(H1515="3)",J1515,IF(H1515="4)",J1515,IF(H1515="5)",J1515,IF(H1515="6)",J1515,IF(H1515="7)",J1515,IF(H1515="8)",J1515,0))))))))</f>
        <v/>
      </c>
    </row>
    <row r="1517">
      <c r="A1517" s="0" t="inlineStr">
        <is>
          <t>New</t>
        </is>
      </c>
      <c r="B1517" s="0" t="inlineStr">
        <is>
          <t>Item</t>
        </is>
      </c>
      <c r="C1517" s="0" t="inlineStr">
        <is>
          <t>Acquired</t>
        </is>
      </c>
      <c r="D1517" s="0" t="inlineStr">
        <is>
          <t>:</t>
        </is>
      </c>
      <c r="E1517" s="0" t="inlineStr">
        <is>
          <t>120.00K</t>
        </is>
      </c>
      <c r="F1517" s="0" t="inlineStr">
        <is>
          <t>(8,</t>
        </is>
      </c>
      <c r="G1517" s="0" t="inlineStr">
        <is>
          <t>9)</t>
        </is>
      </c>
      <c r="K1517" s="0">
        <f>IF(H1516="1)",1,IF(H1516="2)",2,IF(H1516="3)",3,IF(H1516="4)",4,IF(H1516="5)",5,IF(H1516="6)",6,IF(H1516="7)",7,IF(H1516="8)",8,0))))))))</f>
        <v/>
      </c>
      <c r="L1517" s="0">
        <f>IF(H1516="1)",J1516,IF(H1516="2)",J1516,IF(H1516="3)",J1516,IF(H1516="4)",J1516,IF(H1516="5)",J1516,IF(H1516="6)",J1516,IF(H1516="7)",J1516,IF(H1516="8)",J1516,0))))))))</f>
        <v/>
      </c>
    </row>
    <row r="1518">
      <c r="A1518" s="0" t="inlineStr">
        <is>
          <t>New</t>
        </is>
      </c>
      <c r="B1518" s="0" t="inlineStr">
        <is>
          <t>Item</t>
        </is>
      </c>
      <c r="C1518" s="0" t="inlineStr">
        <is>
          <t>Acquired</t>
        </is>
      </c>
      <c r="D1518" s="0" t="inlineStr">
        <is>
          <t>:</t>
        </is>
      </c>
      <c r="E1518" s="0" t="inlineStr">
        <is>
          <t>120.00K</t>
        </is>
      </c>
      <c r="F1518" s="0" t="inlineStr">
        <is>
          <t>(8,</t>
        </is>
      </c>
      <c r="G1518" s="0" t="inlineStr">
        <is>
          <t>24)</t>
        </is>
      </c>
      <c r="K1518" s="0">
        <f>IF(H1517="1)",1,IF(H1517="2)",2,IF(H1517="3)",3,IF(H1517="4)",4,IF(H1517="5)",5,IF(H1517="6)",6,IF(H1517="7)",7,IF(H1517="8)",8,0))))))))</f>
        <v/>
      </c>
      <c r="L1518" s="0">
        <f>IF(H1517="1)",J1517,IF(H1517="2)",J1517,IF(H1517="3)",J1517,IF(H1517="4)",J1517,IF(H1517="5)",J1517,IF(H1517="6)",J1517,IF(H1517="7)",J1517,IF(H1517="8)",J1517,0))))))))</f>
        <v/>
      </c>
    </row>
    <row r="1519">
      <c r="A1519" s="0" t="inlineStr">
        <is>
          <t>New</t>
        </is>
      </c>
      <c r="B1519" s="0" t="inlineStr">
        <is>
          <t>Item</t>
        </is>
      </c>
      <c r="C1519" s="0" t="inlineStr">
        <is>
          <t>Acquired</t>
        </is>
      </c>
      <c r="D1519" s="0" t="inlineStr">
        <is>
          <t>:</t>
        </is>
      </c>
      <c r="E1519" s="0" t="inlineStr">
        <is>
          <t>280.00K</t>
        </is>
      </c>
      <c r="F1519" s="0" t="inlineStr">
        <is>
          <t>(8,</t>
        </is>
      </c>
      <c r="G1519" s="0" t="inlineStr">
        <is>
          <t>1)</t>
        </is>
      </c>
      <c r="K1519" s="0">
        <f>IF(H1518="1)",1,IF(H1518="2)",2,IF(H1518="3)",3,IF(H1518="4)",4,IF(H1518="5)",5,IF(H1518="6)",6,IF(H1518="7)",7,IF(H1518="8)",8,0))))))))</f>
        <v/>
      </c>
      <c r="L1519" s="0">
        <f>IF(H1518="1)",J1518,IF(H1518="2)",J1518,IF(H1518="3)",J1518,IF(H1518="4)",J1518,IF(H1518="5)",J1518,IF(H1518="6)",J1518,IF(H1518="7)",J1518,IF(H1518="8)",J1518,0))))))))</f>
        <v/>
      </c>
    </row>
    <row r="1520">
      <c r="A1520" s="0" t="inlineStr">
        <is>
          <t>New</t>
        </is>
      </c>
      <c r="B1520" s="0" t="inlineStr">
        <is>
          <t>Item</t>
        </is>
      </c>
      <c r="C1520" s="0" t="inlineStr">
        <is>
          <t>Acquired</t>
        </is>
      </c>
      <c r="D1520" s="0" t="inlineStr">
        <is>
          <t>:</t>
        </is>
      </c>
      <c r="E1520" s="0" t="inlineStr">
        <is>
          <t>75.00K</t>
        </is>
      </c>
      <c r="F1520" s="0" t="inlineStr">
        <is>
          <t>(4,</t>
        </is>
      </c>
      <c r="G1520" s="0" t="inlineStr">
        <is>
          <t>6)</t>
        </is>
      </c>
      <c r="K1520" s="0">
        <f>IF(H1519="1)",1,IF(H1519="2)",2,IF(H1519="3)",3,IF(H1519="4)",4,IF(H1519="5)",5,IF(H1519="6)",6,IF(H1519="7)",7,IF(H1519="8)",8,0))))))))</f>
        <v/>
      </c>
      <c r="L1520" s="0">
        <f>IF(H1519="1)",J1519,IF(H1519="2)",J1519,IF(H1519="3)",J1519,IF(H1519="4)",J1519,IF(H1519="5)",J1519,IF(H1519="6)",J1519,IF(H1519="7)",J1519,IF(H1519="8)",J1519,0))))))))</f>
        <v/>
      </c>
    </row>
    <row r="1521">
      <c r="A1521" s="0" t="inlineStr">
        <is>
          <t>Item</t>
        </is>
      </c>
      <c r="B1521" s="0" t="inlineStr">
        <is>
          <t>ReSelect</t>
        </is>
      </c>
      <c r="C1521" s="0" t="inlineStr">
        <is>
          <t>Failed</t>
        </is>
      </c>
      <c r="D1521" s="0" t="inlineStr">
        <is>
          <t>:</t>
        </is>
      </c>
      <c r="E1521" s="0" t="inlineStr">
        <is>
          <t>Attempt</t>
        </is>
      </c>
      <c r="F1521" s="0" t="inlineStr">
        <is>
          <t>Count</t>
        </is>
      </c>
      <c r="G1521" s="0" t="inlineStr">
        <is>
          <t>-</t>
        </is>
      </c>
      <c r="H1521" s="0" t="n">
        <v>3</v>
      </c>
      <c r="K1521" s="0">
        <f>IF(H1520="1)",1,IF(H1520="2)",2,IF(H1520="3)",3,IF(H1520="4)",4,IF(H1520="5)",5,IF(H1520="6)",6,IF(H1520="7)",7,IF(H1520="8)",8,0))))))))</f>
        <v/>
      </c>
      <c r="L1521" s="0">
        <f>IF(H1520="1)",J1520,IF(H1520="2)",J1520,IF(H1520="3)",J1520,IF(H1520="4)",J1520,IF(H1520="5)",J1520,IF(H1520="6)",J1520,IF(H1520="7)",J1520,IF(H1520="8)",J1520,0))))))))</f>
        <v/>
      </c>
    </row>
    <row r="1522">
      <c r="A1522" s="0" t="inlineStr">
        <is>
          <t>New</t>
        </is>
      </c>
      <c r="B1522" s="0" t="inlineStr">
        <is>
          <t>Item</t>
        </is>
      </c>
      <c r="C1522" s="0" t="inlineStr">
        <is>
          <t>Acquired</t>
        </is>
      </c>
      <c r="D1522" s="0" t="inlineStr">
        <is>
          <t>:</t>
        </is>
      </c>
      <c r="E1522" s="0" t="inlineStr">
        <is>
          <t>50.00K</t>
        </is>
      </c>
      <c r="F1522" s="0" t="inlineStr">
        <is>
          <t>(1,</t>
        </is>
      </c>
      <c r="G1522" s="0" t="inlineStr">
        <is>
          <t>23)</t>
        </is>
      </c>
      <c r="K1522" s="0">
        <f>IF(H1521="1)",1,IF(H1521="2)",2,IF(H1521="3)",3,IF(H1521="4)",4,IF(H1521="5)",5,IF(H1521="6)",6,IF(H1521="7)",7,IF(H1521="8)",8,0))))))))</f>
        <v/>
      </c>
      <c r="L1522" s="0">
        <f>IF(H1521="1)",J1521,IF(H1521="2)",J1521,IF(H1521="3)",J1521,IF(H1521="4)",J1521,IF(H1521="5)",J1521,IF(H1521="6)",J1521,IF(H1521="7)",J1521,IF(H1521="8)",J1521,0))))))))</f>
        <v/>
      </c>
    </row>
    <row r="1523">
      <c r="A1523" s="0" t="inlineStr">
        <is>
          <t>New</t>
        </is>
      </c>
      <c r="B1523" s="0" t="inlineStr">
        <is>
          <t>Item</t>
        </is>
      </c>
      <c r="C1523" s="0" t="inlineStr">
        <is>
          <t>Acquired</t>
        </is>
      </c>
      <c r="D1523" s="0" t="inlineStr">
        <is>
          <t>:</t>
        </is>
      </c>
      <c r="E1523" s="0" t="inlineStr">
        <is>
          <t>90.00K</t>
        </is>
      </c>
      <c r="F1523" s="0" t="inlineStr">
        <is>
          <t>(7,</t>
        </is>
      </c>
      <c r="G1523" s="0" t="inlineStr">
        <is>
          <t>3)</t>
        </is>
      </c>
      <c r="K1523" s="0">
        <f>IF(H1522="1)",1,IF(H1522="2)",2,IF(H1522="3)",3,IF(H1522="4)",4,IF(H1522="5)",5,IF(H1522="6)",6,IF(H1522="7)",7,IF(H1522="8)",8,0))))))))</f>
        <v/>
      </c>
      <c r="L1523" s="0">
        <f>IF(H1522="1)",J1522,IF(H1522="2)",J1522,IF(H1522="3)",J1522,IF(H1522="4)",J1522,IF(H1522="5)",J1522,IF(H1522="6)",J1522,IF(H1522="7)",J1522,IF(H1522="8)",J1522,0))))))))</f>
        <v/>
      </c>
    </row>
    <row r="1524">
      <c r="A1524" s="0" t="inlineStr">
        <is>
          <t>Line</t>
        </is>
      </c>
      <c r="B1524" s="0" t="inlineStr">
        <is>
          <t>Prize</t>
        </is>
      </c>
      <c r="C1524" s="0" t="inlineStr">
        <is>
          <t>Acquired</t>
        </is>
      </c>
      <c r="D1524" s="0" t="inlineStr">
        <is>
          <t>:</t>
        </is>
      </c>
      <c r="E1524" s="0" t="inlineStr">
        <is>
          <t>1.88M</t>
        </is>
      </c>
      <c r="F1524" s="0" t="inlineStr">
        <is>
          <t>(Stage</t>
        </is>
      </c>
      <c r="G1524" s="0" t="inlineStr">
        <is>
          <t>:</t>
        </is>
      </c>
      <c r="H1524" s="0" t="inlineStr">
        <is>
          <t>7)</t>
        </is>
      </c>
      <c r="I1524" s="0" t="inlineStr">
        <is>
          <t>-</t>
        </is>
      </c>
      <c r="J1524" s="0" t="n">
        <v>1880000</v>
      </c>
      <c r="K1524" s="0">
        <f>IF(H1523="1)",1,IF(H1523="2)",2,IF(H1523="3)",3,IF(H1523="4)",4,IF(H1523="5)",5,IF(H1523="6)",6,IF(H1523="7)",7,IF(H1523="8)",8,0))))))))</f>
        <v/>
      </c>
      <c r="L1524" s="0">
        <f>IF(H1523="1)",J1523,IF(H1523="2)",J1523,IF(H1523="3)",J1523,IF(H1523="4)",J1523,IF(H1523="5)",J1523,IF(H1523="6)",J1523,IF(H1523="7)",J1523,IF(H1523="8)",J1523,0))))))))</f>
        <v/>
      </c>
    </row>
    <row r="1525">
      <c r="A1525" s="0" t="inlineStr">
        <is>
          <t>Clear</t>
        </is>
      </c>
      <c r="B1525" s="0" t="inlineStr">
        <is>
          <t>Gem</t>
        </is>
      </c>
      <c r="C1525" s="0" t="inlineStr">
        <is>
          <t>Acquired</t>
        </is>
      </c>
      <c r="D1525" s="0" t="inlineStr">
        <is>
          <t>:</t>
        </is>
      </c>
      <c r="E1525" s="0" t="n">
        <v>9000</v>
      </c>
      <c r="F1525" s="0" t="inlineStr">
        <is>
          <t>-&gt;</t>
        </is>
      </c>
      <c r="G1525" s="0" t="n">
        <v>9100</v>
      </c>
      <c r="H1525" s="0" t="inlineStr">
        <is>
          <t>(Stage</t>
        </is>
      </c>
      <c r="I1525" s="0" t="inlineStr">
        <is>
          <t>:</t>
        </is>
      </c>
      <c r="J1525" s="0" t="inlineStr">
        <is>
          <t>7)</t>
        </is>
      </c>
      <c r="K1525" s="0">
        <f>IF(H1524="1)",1,IF(H1524="2)",2,IF(H1524="3)",3,IF(H1524="4)",4,IF(H1524="5)",5,IF(H1524="6)",6,IF(H1524="7)",7,IF(H1524="8)",8,0))))))))</f>
        <v/>
      </c>
      <c r="L1525" s="0">
        <f>IF(H1524="1)",J1524,IF(H1524="2)",J1524,IF(H1524="3)",J1524,IF(H1524="4)",J1524,IF(H1524="5)",J1524,IF(H1524="6)",J1524,IF(H1524="7)",J1524,IF(H1524="8)",J1524,0))))))))</f>
        <v/>
      </c>
    </row>
    <row r="1526">
      <c r="A1526" s="0" t="inlineStr">
        <is>
          <t>New</t>
        </is>
      </c>
      <c r="B1526" s="0" t="inlineStr">
        <is>
          <t>Item</t>
        </is>
      </c>
      <c r="C1526" s="0" t="inlineStr">
        <is>
          <t>Acquired</t>
        </is>
      </c>
      <c r="D1526" s="0" t="inlineStr">
        <is>
          <t>:</t>
        </is>
      </c>
      <c r="E1526" s="0" t="inlineStr">
        <is>
          <t>105.00K</t>
        </is>
      </c>
      <c r="F1526" s="0" t="inlineStr">
        <is>
          <t>(4,</t>
        </is>
      </c>
      <c r="G1526" s="0" t="inlineStr">
        <is>
          <t>14)</t>
        </is>
      </c>
      <c r="K1526" s="0">
        <f>IF(H1525="1)",1,IF(H1525="2)",2,IF(H1525="3)",3,IF(H1525="4)",4,IF(H1525="5)",5,IF(H1525="6)",6,IF(H1525="7)",7,IF(H1525="8)",8,0))))))))</f>
        <v/>
      </c>
      <c r="L1526" s="0">
        <f>IF(H1525="1)",J1525,IF(H1525="2)",J1525,IF(H1525="3)",J1525,IF(H1525="4)",J1525,IF(H1525="5)",J1525,IF(H1525="6)",J1525,IF(H1525="7)",J1525,IF(H1525="8)",J1525,0))))))))</f>
        <v/>
      </c>
    </row>
    <row r="1527">
      <c r="A1527" s="0" t="inlineStr">
        <is>
          <t>New</t>
        </is>
      </c>
      <c r="B1527" s="0" t="inlineStr">
        <is>
          <t>Item</t>
        </is>
      </c>
      <c r="C1527" s="0" t="inlineStr">
        <is>
          <t>Acquired</t>
        </is>
      </c>
      <c r="D1527" s="0" t="inlineStr">
        <is>
          <t>:</t>
        </is>
      </c>
      <c r="E1527" s="0" t="inlineStr">
        <is>
          <t>70.00K</t>
        </is>
      </c>
      <c r="F1527" s="0" t="inlineStr">
        <is>
          <t>(1,</t>
        </is>
      </c>
      <c r="G1527" s="0" t="inlineStr">
        <is>
          <t>1)</t>
        </is>
      </c>
      <c r="K1527" s="0">
        <f>IF(H1526="1)",1,IF(H1526="2)",2,IF(H1526="3)",3,IF(H1526="4)",4,IF(H1526="5)",5,IF(H1526="6)",6,IF(H1526="7)",7,IF(H1526="8)",8,0))))))))</f>
        <v/>
      </c>
      <c r="L1527" s="0">
        <f>IF(H1526="1)",J1526,IF(H1526="2)",J1526,IF(H1526="3)",J1526,IF(H1526="4)",J1526,IF(H1526="5)",J1526,IF(H1526="6)",J1526,IF(H1526="7)",J1526,IF(H1526="8)",J1526,0))))))))</f>
        <v/>
      </c>
    </row>
    <row r="1528">
      <c r="A1528" s="0" t="inlineStr">
        <is>
          <t>New</t>
        </is>
      </c>
      <c r="B1528" s="0" t="inlineStr">
        <is>
          <t>Item</t>
        </is>
      </c>
      <c r="C1528" s="0" t="inlineStr">
        <is>
          <t>Acquired</t>
        </is>
      </c>
      <c r="D1528" s="0" t="inlineStr">
        <is>
          <t>:</t>
        </is>
      </c>
      <c r="E1528" s="0" t="inlineStr">
        <is>
          <t>50.00K</t>
        </is>
      </c>
      <c r="F1528" s="0" t="inlineStr">
        <is>
          <t>(1,</t>
        </is>
      </c>
      <c r="G1528" s="0" t="inlineStr">
        <is>
          <t>11)</t>
        </is>
      </c>
      <c r="K1528" s="0">
        <f>IF(H1527="1)",1,IF(H1527="2)",2,IF(H1527="3)",3,IF(H1527="4)",4,IF(H1527="5)",5,IF(H1527="6)",6,IF(H1527="7)",7,IF(H1527="8)",8,0))))))))</f>
        <v/>
      </c>
      <c r="L1528" s="0">
        <f>IF(H1527="1)",J1527,IF(H1527="2)",J1527,IF(H1527="3)",J1527,IF(H1527="4)",J1527,IF(H1527="5)",J1527,IF(H1527="6)",J1527,IF(H1527="7)",J1527,IF(H1527="8)",J1527,0))))))))</f>
        <v/>
      </c>
    </row>
    <row r="1529">
      <c r="A1529" s="0" t="inlineStr">
        <is>
          <t>New</t>
        </is>
      </c>
      <c r="B1529" s="0" t="inlineStr">
        <is>
          <t>Item</t>
        </is>
      </c>
      <c r="C1529" s="0" t="inlineStr">
        <is>
          <t>Acquired</t>
        </is>
      </c>
      <c r="D1529" s="0" t="inlineStr">
        <is>
          <t>:</t>
        </is>
      </c>
      <c r="E1529" s="0" t="inlineStr">
        <is>
          <t>112.50K</t>
        </is>
      </c>
      <c r="F1529" s="0" t="inlineStr">
        <is>
          <t>(5,</t>
        </is>
      </c>
      <c r="G1529" s="0" t="inlineStr">
        <is>
          <t>7)</t>
        </is>
      </c>
      <c r="K1529" s="0">
        <f>IF(H1528="1)",1,IF(H1528="2)",2,IF(H1528="3)",3,IF(H1528="4)",4,IF(H1528="5)",5,IF(H1528="6)",6,IF(H1528="7)",7,IF(H1528="8)",8,0))))))))</f>
        <v/>
      </c>
      <c r="L1529" s="0">
        <f>IF(H1528="1)",J1528,IF(H1528="2)",J1528,IF(H1528="3)",J1528,IF(H1528="4)",J1528,IF(H1528="5)",J1528,IF(H1528="6)",J1528,IF(H1528="7)",J1528,IF(H1528="8)",J1528,0))))))))</f>
        <v/>
      </c>
    </row>
    <row r="1530">
      <c r="A1530" s="0" t="inlineStr">
        <is>
          <t>New</t>
        </is>
      </c>
      <c r="B1530" s="0" t="inlineStr">
        <is>
          <t>Item</t>
        </is>
      </c>
      <c r="C1530" s="0" t="inlineStr">
        <is>
          <t>Acquired</t>
        </is>
      </c>
      <c r="D1530" s="0" t="inlineStr">
        <is>
          <t>:</t>
        </is>
      </c>
      <c r="E1530" s="0" t="inlineStr">
        <is>
          <t>75.00K</t>
        </is>
      </c>
      <c r="F1530" s="0" t="inlineStr">
        <is>
          <t>(3,</t>
        </is>
      </c>
      <c r="G1530" s="0" t="inlineStr">
        <is>
          <t>25)</t>
        </is>
      </c>
      <c r="K1530" s="0">
        <f>IF(H1529="1)",1,IF(H1529="2)",2,IF(H1529="3)",3,IF(H1529="4)",4,IF(H1529="5)",5,IF(H1529="6)",6,IF(H1529="7)",7,IF(H1529="8)",8,0))))))))</f>
        <v/>
      </c>
      <c r="L1530" s="0">
        <f>IF(H1529="1)",J1529,IF(H1529="2)",J1529,IF(H1529="3)",J1529,IF(H1529="4)",J1529,IF(H1529="5)",J1529,IF(H1529="6)",J1529,IF(H1529="7)",J1529,IF(H1529="8)",J1529,0))))))))</f>
        <v/>
      </c>
    </row>
    <row r="1531">
      <c r="A1531" s="0" t="inlineStr">
        <is>
          <t>New</t>
        </is>
      </c>
      <c r="B1531" s="0" t="inlineStr">
        <is>
          <t>Item</t>
        </is>
      </c>
      <c r="C1531" s="0" t="inlineStr">
        <is>
          <t>Acquired</t>
        </is>
      </c>
      <c r="D1531" s="0" t="inlineStr">
        <is>
          <t>:</t>
        </is>
      </c>
      <c r="E1531" s="0" t="inlineStr">
        <is>
          <t>200.00K</t>
        </is>
      </c>
      <c r="F1531" s="0" t="inlineStr">
        <is>
          <t>(8,</t>
        </is>
      </c>
      <c r="G1531" s="0" t="inlineStr">
        <is>
          <t>10)</t>
        </is>
      </c>
      <c r="K1531" s="0">
        <f>IF(H1530="1)",1,IF(H1530="2)",2,IF(H1530="3)",3,IF(H1530="4)",4,IF(H1530="5)",5,IF(H1530="6)",6,IF(H1530="7)",7,IF(H1530="8)",8,0))))))))</f>
        <v/>
      </c>
      <c r="L1531" s="0">
        <f>IF(H1530="1)",J1530,IF(H1530="2)",J1530,IF(H1530="3)",J1530,IF(H1530="4)",J1530,IF(H1530="5)",J1530,IF(H1530="6)",J1530,IF(H1530="7)",J1530,IF(H1530="8)",J1530,0))))))))</f>
        <v/>
      </c>
    </row>
    <row r="1532">
      <c r="A1532" s="0" t="inlineStr">
        <is>
          <t>New</t>
        </is>
      </c>
      <c r="B1532" s="0" t="inlineStr">
        <is>
          <t>Item</t>
        </is>
      </c>
      <c r="C1532" s="0" t="inlineStr">
        <is>
          <t>Acquired</t>
        </is>
      </c>
      <c r="D1532" s="0" t="inlineStr">
        <is>
          <t>:</t>
        </is>
      </c>
      <c r="E1532" s="0" t="inlineStr">
        <is>
          <t>75.00K</t>
        </is>
      </c>
      <c r="F1532" s="0" t="inlineStr">
        <is>
          <t>(6,</t>
        </is>
      </c>
      <c r="G1532" s="0" t="inlineStr">
        <is>
          <t>12)</t>
        </is>
      </c>
      <c r="K1532" s="0">
        <f>IF(H1531="1)",1,IF(H1531="2)",2,IF(H1531="3)",3,IF(H1531="4)",4,IF(H1531="5)",5,IF(H1531="6)",6,IF(H1531="7)",7,IF(H1531="8)",8,0))))))))</f>
        <v/>
      </c>
      <c r="L1532" s="0">
        <f>IF(H1531="1)",J1531,IF(H1531="2)",J1531,IF(H1531="3)",J1531,IF(H1531="4)",J1531,IF(H1531="5)",J1531,IF(H1531="6)",J1531,IF(H1531="7)",J1531,IF(H1531="8)",J1531,0))))))))</f>
        <v/>
      </c>
    </row>
    <row r="1533">
      <c r="A1533" s="0" t="inlineStr">
        <is>
          <t>New</t>
        </is>
      </c>
      <c r="B1533" s="0" t="inlineStr">
        <is>
          <t>Item</t>
        </is>
      </c>
      <c r="C1533" s="0" t="inlineStr">
        <is>
          <t>Acquired</t>
        </is>
      </c>
      <c r="D1533" s="0" t="inlineStr">
        <is>
          <t>:</t>
        </is>
      </c>
      <c r="E1533" s="0" t="inlineStr">
        <is>
          <t>30.00K</t>
        </is>
      </c>
      <c r="F1533" s="0" t="inlineStr">
        <is>
          <t>(1,</t>
        </is>
      </c>
      <c r="G1533" s="0" t="inlineStr">
        <is>
          <t>3)</t>
        </is>
      </c>
      <c r="K1533" s="0">
        <f>IF(H1532="1)",1,IF(H1532="2)",2,IF(H1532="3)",3,IF(H1532="4)",4,IF(H1532="5)",5,IF(H1532="6)",6,IF(H1532="7)",7,IF(H1532="8)",8,0))))))))</f>
        <v/>
      </c>
      <c r="L1533" s="0">
        <f>IF(H1532="1)",J1532,IF(H1532="2)",J1532,IF(H1532="3)",J1532,IF(H1532="4)",J1532,IF(H1532="5)",J1532,IF(H1532="6)",J1532,IF(H1532="7)",J1532,IF(H1532="8)",J1532,0))))))))</f>
        <v/>
      </c>
    </row>
    <row r="1534">
      <c r="A1534" s="0" t="inlineStr">
        <is>
          <t>New</t>
        </is>
      </c>
      <c r="B1534" s="0" t="inlineStr">
        <is>
          <t>Item</t>
        </is>
      </c>
      <c r="C1534" s="0" t="inlineStr">
        <is>
          <t>Acquired</t>
        </is>
      </c>
      <c r="D1534" s="0" t="inlineStr">
        <is>
          <t>:</t>
        </is>
      </c>
      <c r="E1534" s="0" t="inlineStr">
        <is>
          <t>30.00K</t>
        </is>
      </c>
      <c r="F1534" s="0" t="inlineStr">
        <is>
          <t>(1,</t>
        </is>
      </c>
      <c r="G1534" s="0" t="inlineStr">
        <is>
          <t>14)</t>
        </is>
      </c>
      <c r="K1534" s="0">
        <f>IF(H1533="1)",1,IF(H1533="2)",2,IF(H1533="3)",3,IF(H1533="4)",4,IF(H1533="5)",5,IF(H1533="6)",6,IF(H1533="7)",7,IF(H1533="8)",8,0))))))))</f>
        <v/>
      </c>
      <c r="L1534" s="0">
        <f>IF(H1533="1)",J1533,IF(H1533="2)",J1533,IF(H1533="3)",J1533,IF(H1533="4)",J1533,IF(H1533="5)",J1533,IF(H1533="6)",J1533,IF(H1533="7)",J1533,IF(H1533="8)",J1533,0))))))))</f>
        <v/>
      </c>
    </row>
    <row r="1535">
      <c r="A1535" s="0" t="inlineStr">
        <is>
          <t>Item</t>
        </is>
      </c>
      <c r="B1535" s="0" t="inlineStr">
        <is>
          <t>ReSelect</t>
        </is>
      </c>
      <c r="C1535" s="0" t="inlineStr">
        <is>
          <t>Failed</t>
        </is>
      </c>
      <c r="D1535" s="0" t="inlineStr">
        <is>
          <t>:</t>
        </is>
      </c>
      <c r="E1535" s="0" t="inlineStr">
        <is>
          <t>Attempt</t>
        </is>
      </c>
      <c r="F1535" s="0" t="inlineStr">
        <is>
          <t>Count</t>
        </is>
      </c>
      <c r="G1535" s="0" t="inlineStr">
        <is>
          <t>-</t>
        </is>
      </c>
      <c r="H1535" s="0" t="n">
        <v>3</v>
      </c>
      <c r="K1535" s="0">
        <f>IF(H1534="1)",1,IF(H1534="2)",2,IF(H1534="3)",3,IF(H1534="4)",4,IF(H1534="5)",5,IF(H1534="6)",6,IF(H1534="7)",7,IF(H1534="8)",8,0))))))))</f>
        <v/>
      </c>
      <c r="L1535" s="0">
        <f>IF(H1534="1)",J1534,IF(H1534="2)",J1534,IF(H1534="3)",J1534,IF(H1534="4)",J1534,IF(H1534="5)",J1534,IF(H1534="6)",J1534,IF(H1534="7)",J1534,IF(H1534="8)",J1534,0))))))))</f>
        <v/>
      </c>
    </row>
    <row r="1536">
      <c r="A1536" s="0" t="inlineStr">
        <is>
          <t>New</t>
        </is>
      </c>
      <c r="B1536" s="0" t="inlineStr">
        <is>
          <t>Item</t>
        </is>
      </c>
      <c r="C1536" s="0" t="inlineStr">
        <is>
          <t>Acquired</t>
        </is>
      </c>
      <c r="D1536" s="0" t="inlineStr">
        <is>
          <t>:</t>
        </is>
      </c>
      <c r="E1536" s="0" t="inlineStr">
        <is>
          <t>Minor</t>
        </is>
      </c>
      <c r="F1536" s="0" t="inlineStr">
        <is>
          <t>(4,</t>
        </is>
      </c>
      <c r="G1536" s="0" t="inlineStr">
        <is>
          <t>11)</t>
        </is>
      </c>
      <c r="K1536" s="0">
        <f>IF(H1535="1)",1,IF(H1535="2)",2,IF(H1535="3)",3,IF(H1535="4)",4,IF(H1535="5)",5,IF(H1535="6)",6,IF(H1535="7)",7,IF(H1535="8)",8,0))))))))</f>
        <v/>
      </c>
      <c r="L1536" s="0">
        <f>IF(H1535="1)",J1535,IF(H1535="2)",J1535,IF(H1535="3)",J1535,IF(H1535="4)",J1535,IF(H1535="5)",J1535,IF(H1535="6)",J1535,IF(H1535="7)",J1535,IF(H1535="8)",J1535,0))))))))</f>
        <v/>
      </c>
    </row>
    <row r="1537">
      <c r="A1537" s="0" t="inlineStr">
        <is>
          <t>Line</t>
        </is>
      </c>
      <c r="B1537" s="0" t="inlineStr">
        <is>
          <t>Prize</t>
        </is>
      </c>
      <c r="C1537" s="0" t="inlineStr">
        <is>
          <t>Acquired</t>
        </is>
      </c>
      <c r="D1537" s="0" t="inlineStr">
        <is>
          <t>:</t>
        </is>
      </c>
      <c r="E1537" s="0" t="inlineStr">
        <is>
          <t>1.98M</t>
        </is>
      </c>
      <c r="F1537" s="0" t="inlineStr">
        <is>
          <t>(Stage</t>
        </is>
      </c>
      <c r="G1537" s="0" t="inlineStr">
        <is>
          <t>:</t>
        </is>
      </c>
      <c r="H1537" s="0" t="inlineStr">
        <is>
          <t>4)</t>
        </is>
      </c>
      <c r="I1537" s="0" t="inlineStr">
        <is>
          <t>-</t>
        </is>
      </c>
      <c r="J1537" s="0" t="n">
        <v>1980000</v>
      </c>
      <c r="K1537" s="0">
        <f>IF(H1536="1)",1,IF(H1536="2)",2,IF(H1536="3)",3,IF(H1536="4)",4,IF(H1536="5)",5,IF(H1536="6)",6,IF(H1536="7)",7,IF(H1536="8)",8,0))))))))</f>
        <v/>
      </c>
      <c r="L1537" s="0">
        <f>IF(H1536="1)",J1536,IF(H1536="2)",J1536,IF(H1536="3)",J1536,IF(H1536="4)",J1536,IF(H1536="5)",J1536,IF(H1536="6)",J1536,IF(H1536="7)",J1536,IF(H1536="8)",J1536,0))))))))</f>
        <v/>
      </c>
    </row>
    <row r="1538">
      <c r="A1538" s="0" t="inlineStr">
        <is>
          <t>Clear</t>
        </is>
      </c>
      <c r="B1538" s="0" t="inlineStr">
        <is>
          <t>Gem</t>
        </is>
      </c>
      <c r="C1538" s="0" t="inlineStr">
        <is>
          <t>Acquired</t>
        </is>
      </c>
      <c r="D1538" s="0" t="inlineStr">
        <is>
          <t>:</t>
        </is>
      </c>
      <c r="E1538" s="0" t="n">
        <v>9100</v>
      </c>
      <c r="F1538" s="0" t="inlineStr">
        <is>
          <t>-&gt;</t>
        </is>
      </c>
      <c r="G1538" s="0" t="n">
        <v>9200</v>
      </c>
      <c r="H1538" s="0" t="inlineStr">
        <is>
          <t>(Stage</t>
        </is>
      </c>
      <c r="I1538" s="0" t="inlineStr">
        <is>
          <t>:</t>
        </is>
      </c>
      <c r="J1538" s="0" t="inlineStr">
        <is>
          <t>4)</t>
        </is>
      </c>
      <c r="K1538" s="0">
        <f>IF(H1537="1)",1,IF(H1537="2)",2,IF(H1537="3)",3,IF(H1537="4)",4,IF(H1537="5)",5,IF(H1537="6)",6,IF(H1537="7)",7,IF(H1537="8)",8,0))))))))</f>
        <v/>
      </c>
      <c r="L1538" s="0">
        <f>IF(H1537="1)",J1537,IF(H1537="2)",J1537,IF(H1537="3)",J1537,IF(H1537="4)",J1537,IF(H1537="5)",J1537,IF(H1537="6)",J1537,IF(H1537="7)",J1537,IF(H1537="8)",J1537,0))))))))</f>
        <v/>
      </c>
    </row>
    <row r="1539">
      <c r="A1539" s="0" t="inlineStr">
        <is>
          <t>New</t>
        </is>
      </c>
      <c r="B1539" s="0" t="inlineStr">
        <is>
          <t>Item</t>
        </is>
      </c>
      <c r="C1539" s="0" t="inlineStr">
        <is>
          <t>Acquired</t>
        </is>
      </c>
      <c r="D1539" s="0" t="inlineStr">
        <is>
          <t>:</t>
        </is>
      </c>
      <c r="E1539" s="0" t="inlineStr">
        <is>
          <t>Minor</t>
        </is>
      </c>
      <c r="F1539" s="0" t="inlineStr">
        <is>
          <t>(3,</t>
        </is>
      </c>
      <c r="G1539" s="0" t="inlineStr">
        <is>
          <t>19)</t>
        </is>
      </c>
      <c r="K1539" s="0">
        <f>IF(H1538="1)",1,IF(H1538="2)",2,IF(H1538="3)",3,IF(H1538="4)",4,IF(H1538="5)",5,IF(H1538="6)",6,IF(H1538="7)",7,IF(H1538="8)",8,0))))))))</f>
        <v/>
      </c>
      <c r="L1539" s="0">
        <f>IF(H1538="1)",J1538,IF(H1538="2)",J1538,IF(H1538="3)",J1538,IF(H1538="4)",J1538,IF(H1538="5)",J1538,IF(H1538="6)",J1538,IF(H1538="7)",J1538,IF(H1538="8)",J1538,0))))))))</f>
        <v/>
      </c>
    </row>
    <row r="1540">
      <c r="A1540" s="0" t="inlineStr">
        <is>
          <t>Line</t>
        </is>
      </c>
      <c r="B1540" s="0" t="inlineStr">
        <is>
          <t>Prize</t>
        </is>
      </c>
      <c r="C1540" s="0" t="inlineStr">
        <is>
          <t>Acquired</t>
        </is>
      </c>
      <c r="D1540" s="0" t="inlineStr">
        <is>
          <t>:</t>
        </is>
      </c>
      <c r="E1540" s="0" t="inlineStr">
        <is>
          <t>750.00K</t>
        </is>
      </c>
      <c r="F1540" s="0" t="inlineStr">
        <is>
          <t>(Stage</t>
        </is>
      </c>
      <c r="G1540" s="0" t="inlineStr">
        <is>
          <t>:</t>
        </is>
      </c>
      <c r="H1540" s="0" t="inlineStr">
        <is>
          <t>3)</t>
        </is>
      </c>
      <c r="I1540" s="0" t="inlineStr">
        <is>
          <t>-</t>
        </is>
      </c>
      <c r="J1540" s="0" t="n">
        <v>750000</v>
      </c>
      <c r="K1540" s="0">
        <f>IF(H1539="1)",1,IF(H1539="2)",2,IF(H1539="3)",3,IF(H1539="4)",4,IF(H1539="5)",5,IF(H1539="6)",6,IF(H1539="7)",7,IF(H1539="8)",8,0))))))))</f>
        <v/>
      </c>
      <c r="L1540" s="0">
        <f>IF(H1539="1)",J1539,IF(H1539="2)",J1539,IF(H1539="3)",J1539,IF(H1539="4)",J1539,IF(H1539="5)",J1539,IF(H1539="6)",J1539,IF(H1539="7)",J1539,IF(H1539="8)",J1539,0))))))))</f>
        <v/>
      </c>
    </row>
    <row r="1541">
      <c r="A1541" s="0" t="inlineStr">
        <is>
          <t>Clear</t>
        </is>
      </c>
      <c r="B1541" s="0" t="inlineStr">
        <is>
          <t>Gem</t>
        </is>
      </c>
      <c r="C1541" s="0" t="inlineStr">
        <is>
          <t>Acquired</t>
        </is>
      </c>
      <c r="D1541" s="0" t="inlineStr">
        <is>
          <t>:</t>
        </is>
      </c>
      <c r="E1541" s="0" t="n">
        <v>9200</v>
      </c>
      <c r="F1541" s="0" t="inlineStr">
        <is>
          <t>-&gt;</t>
        </is>
      </c>
      <c r="G1541" s="0" t="n">
        <v>9300</v>
      </c>
      <c r="H1541" s="0" t="inlineStr">
        <is>
          <t>(Stage</t>
        </is>
      </c>
      <c r="I1541" s="0" t="inlineStr">
        <is>
          <t>:</t>
        </is>
      </c>
      <c r="J1541" s="0" t="inlineStr">
        <is>
          <t>3)</t>
        </is>
      </c>
      <c r="K1541" s="0">
        <f>IF(H1540="1)",1,IF(H1540="2)",2,IF(H1540="3)",3,IF(H1540="4)",4,IF(H1540="5)",5,IF(H1540="6)",6,IF(H1540="7)",7,IF(H1540="8)",8,0))))))))</f>
        <v/>
      </c>
      <c r="L1541" s="0">
        <f>IF(H1540="1)",J1540,IF(H1540="2)",J1540,IF(H1540="3)",J1540,IF(H1540="4)",J1540,IF(H1540="5)",J1540,IF(H1540="6)",J1540,IF(H1540="7)",J1540,IF(H1540="8)",J1540,0))))))))</f>
        <v/>
      </c>
    </row>
    <row r="1542">
      <c r="A1542" s="0" t="inlineStr">
        <is>
          <t>New</t>
        </is>
      </c>
      <c r="B1542" s="0" t="inlineStr">
        <is>
          <t>Item</t>
        </is>
      </c>
      <c r="C1542" s="0" t="inlineStr">
        <is>
          <t>Acquired</t>
        </is>
      </c>
      <c r="D1542" s="0" t="inlineStr">
        <is>
          <t>:</t>
        </is>
      </c>
      <c r="E1542" s="0" t="inlineStr">
        <is>
          <t>Mini</t>
        </is>
      </c>
      <c r="F1542" s="0" t="inlineStr">
        <is>
          <t>(3,</t>
        </is>
      </c>
      <c r="G1542" s="0" t="inlineStr">
        <is>
          <t>9)</t>
        </is>
      </c>
      <c r="K1542" s="0">
        <f>IF(H1541="1)",1,IF(H1541="2)",2,IF(H1541="3)",3,IF(H1541="4)",4,IF(H1541="5)",5,IF(H1541="6)",6,IF(H1541="7)",7,IF(H1541="8)",8,0))))))))</f>
        <v/>
      </c>
      <c r="L1542" s="0">
        <f>IF(H1541="1)",J1541,IF(H1541="2)",J1541,IF(H1541="3)",J1541,IF(H1541="4)",J1541,IF(H1541="5)",J1541,IF(H1541="6)",J1541,IF(H1541="7)",J1541,IF(H1541="8)",J1541,0))))))))</f>
        <v/>
      </c>
    </row>
    <row r="1543">
      <c r="A1543" s="0" t="inlineStr">
        <is>
          <t>New</t>
        </is>
      </c>
      <c r="B1543" s="0" t="inlineStr">
        <is>
          <t>Item</t>
        </is>
      </c>
      <c r="C1543" s="0" t="inlineStr">
        <is>
          <t>Acquired</t>
        </is>
      </c>
      <c r="D1543" s="0" t="inlineStr">
        <is>
          <t>:</t>
        </is>
      </c>
      <c r="E1543" s="0" t="inlineStr">
        <is>
          <t>Mini</t>
        </is>
      </c>
      <c r="F1543" s="0" t="inlineStr">
        <is>
          <t>(6,</t>
        </is>
      </c>
      <c r="G1543" s="0" t="inlineStr">
        <is>
          <t>23)</t>
        </is>
      </c>
      <c r="K1543" s="0">
        <f>IF(H1542="1)",1,IF(H1542="2)",2,IF(H1542="3)",3,IF(H1542="4)",4,IF(H1542="5)",5,IF(H1542="6)",6,IF(H1542="7)",7,IF(H1542="8)",8,0))))))))</f>
        <v/>
      </c>
      <c r="L1543" s="0">
        <f>IF(H1542="1)",J1542,IF(H1542="2)",J1542,IF(H1542="3)",J1542,IF(H1542="4)",J1542,IF(H1542="5)",J1542,IF(H1542="6)",J1542,IF(H1542="7)",J1542,IF(H1542="8)",J1542,0))))))))</f>
        <v/>
      </c>
    </row>
    <row r="1544">
      <c r="A1544" s="0" t="inlineStr">
        <is>
          <t>New</t>
        </is>
      </c>
      <c r="B1544" s="0" t="inlineStr">
        <is>
          <t>Item</t>
        </is>
      </c>
      <c r="C1544" s="0" t="inlineStr">
        <is>
          <t>Acquired</t>
        </is>
      </c>
      <c r="D1544" s="0" t="inlineStr">
        <is>
          <t>:</t>
        </is>
      </c>
      <c r="E1544" s="0" t="inlineStr">
        <is>
          <t>210.00K</t>
        </is>
      </c>
      <c r="F1544" s="0" t="inlineStr">
        <is>
          <t>(7,</t>
        </is>
      </c>
      <c r="G1544" s="0" t="inlineStr">
        <is>
          <t>22)</t>
        </is>
      </c>
      <c r="K1544" s="0">
        <f>IF(H1543="1)",1,IF(H1543="2)",2,IF(H1543="3)",3,IF(H1543="4)",4,IF(H1543="5)",5,IF(H1543="6)",6,IF(H1543="7)",7,IF(H1543="8)",8,0))))))))</f>
        <v/>
      </c>
      <c r="L1544" s="0">
        <f>IF(H1543="1)",J1543,IF(H1543="2)",J1543,IF(H1543="3)",J1543,IF(H1543="4)",J1543,IF(H1543="5)",J1543,IF(H1543="6)",J1543,IF(H1543="7)",J1543,IF(H1543="8)",J1543,0))))))))</f>
        <v/>
      </c>
    </row>
    <row r="1545">
      <c r="A1545" s="0" t="inlineStr">
        <is>
          <t>New</t>
        </is>
      </c>
      <c r="B1545" s="0" t="inlineStr">
        <is>
          <t>Item</t>
        </is>
      </c>
      <c r="C1545" s="0" t="inlineStr">
        <is>
          <t>Acquired</t>
        </is>
      </c>
      <c r="D1545" s="0" t="inlineStr">
        <is>
          <t>:</t>
        </is>
      </c>
      <c r="E1545" s="0" t="inlineStr">
        <is>
          <t>Minor</t>
        </is>
      </c>
      <c r="F1545" s="0" t="inlineStr">
        <is>
          <t>(4,</t>
        </is>
      </c>
      <c r="G1545" s="0" t="inlineStr">
        <is>
          <t>5)</t>
        </is>
      </c>
      <c r="K1545" s="0">
        <f>IF(H1544="1)",1,IF(H1544="2)",2,IF(H1544="3)",3,IF(H1544="4)",4,IF(H1544="5)",5,IF(H1544="6)",6,IF(H1544="7)",7,IF(H1544="8)",8,0))))))))</f>
        <v/>
      </c>
      <c r="L1545" s="0">
        <f>IF(H1544="1)",J1544,IF(H1544="2)",J1544,IF(H1544="3)",J1544,IF(H1544="4)",J1544,IF(H1544="5)",J1544,IF(H1544="6)",J1544,IF(H1544="7)",J1544,IF(H1544="8)",J1544,0))))))))</f>
        <v/>
      </c>
    </row>
    <row r="1546">
      <c r="A1546" s="0" t="inlineStr">
        <is>
          <t>New</t>
        </is>
      </c>
      <c r="B1546" s="0" t="inlineStr">
        <is>
          <t>Item</t>
        </is>
      </c>
      <c r="C1546" s="0" t="inlineStr">
        <is>
          <t>Acquired</t>
        </is>
      </c>
      <c r="D1546" s="0" t="inlineStr">
        <is>
          <t>:</t>
        </is>
      </c>
      <c r="E1546" s="0" t="inlineStr">
        <is>
          <t>75.00K</t>
        </is>
      </c>
      <c r="F1546" s="0" t="inlineStr">
        <is>
          <t>(6,</t>
        </is>
      </c>
      <c r="G1546" s="0" t="inlineStr">
        <is>
          <t>2)</t>
        </is>
      </c>
      <c r="K1546" s="0">
        <f>IF(H1545="1)",1,IF(H1545="2)",2,IF(H1545="3)",3,IF(H1545="4)",4,IF(H1545="5)",5,IF(H1545="6)",6,IF(H1545="7)",7,IF(H1545="8)",8,0))))))))</f>
        <v/>
      </c>
      <c r="L1546" s="0">
        <f>IF(H1545="1)",J1545,IF(H1545="2)",J1545,IF(H1545="3)",J1545,IF(H1545="4)",J1545,IF(H1545="5)",J1545,IF(H1545="6)",J1545,IF(H1545="7)",J1545,IF(H1545="8)",J1545,0))))))))</f>
        <v/>
      </c>
    </row>
    <row r="1547">
      <c r="A1547" s="0" t="inlineStr">
        <is>
          <t>New</t>
        </is>
      </c>
      <c r="B1547" s="0" t="inlineStr">
        <is>
          <t>Item</t>
        </is>
      </c>
      <c r="C1547" s="0" t="inlineStr">
        <is>
          <t>Acquired</t>
        </is>
      </c>
      <c r="D1547" s="0" t="inlineStr">
        <is>
          <t>:</t>
        </is>
      </c>
      <c r="E1547" s="0" t="inlineStr">
        <is>
          <t>120.00K</t>
        </is>
      </c>
      <c r="F1547" s="0" t="inlineStr">
        <is>
          <t>(8,</t>
        </is>
      </c>
      <c r="G1547" s="0" t="inlineStr">
        <is>
          <t>18)</t>
        </is>
      </c>
      <c r="K1547" s="0">
        <f>IF(H1546="1)",1,IF(H1546="2)",2,IF(H1546="3)",3,IF(H1546="4)",4,IF(H1546="5)",5,IF(H1546="6)",6,IF(H1546="7)",7,IF(H1546="8)",8,0))))))))</f>
        <v/>
      </c>
      <c r="L1547" s="0">
        <f>IF(H1546="1)",J1546,IF(H1546="2)",J1546,IF(H1546="3)",J1546,IF(H1546="4)",J1546,IF(H1546="5)",J1546,IF(H1546="6)",J1546,IF(H1546="7)",J1546,IF(H1546="8)",J1546,0))))))))</f>
        <v/>
      </c>
    </row>
    <row r="1548">
      <c r="A1548" s="0" t="inlineStr">
        <is>
          <t>New</t>
        </is>
      </c>
      <c r="B1548" s="0" t="inlineStr">
        <is>
          <t>Item</t>
        </is>
      </c>
      <c r="C1548" s="0" t="inlineStr">
        <is>
          <t>Acquired</t>
        </is>
      </c>
      <c r="D1548" s="0" t="inlineStr">
        <is>
          <t>:</t>
        </is>
      </c>
      <c r="E1548" s="0" t="inlineStr">
        <is>
          <t>75.00K</t>
        </is>
      </c>
      <c r="F1548" s="0" t="inlineStr">
        <is>
          <t>(3,</t>
        </is>
      </c>
      <c r="G1548" s="0" t="inlineStr">
        <is>
          <t>20)</t>
        </is>
      </c>
      <c r="K1548" s="0">
        <f>IF(H1547="1)",1,IF(H1547="2)",2,IF(H1547="3)",3,IF(H1547="4)",4,IF(H1547="5)",5,IF(H1547="6)",6,IF(H1547="7)",7,IF(H1547="8)",8,0))))))))</f>
        <v/>
      </c>
      <c r="L1548" s="0">
        <f>IF(H1547="1)",J1547,IF(H1547="2)",J1547,IF(H1547="3)",J1547,IF(H1547="4)",J1547,IF(H1547="5)",J1547,IF(H1547="6)",J1547,IF(H1547="7)",J1547,IF(H1547="8)",J1547,0))))))))</f>
        <v/>
      </c>
    </row>
    <row r="1549">
      <c r="A1549" s="0" t="inlineStr">
        <is>
          <t>New</t>
        </is>
      </c>
      <c r="B1549" s="0" t="inlineStr">
        <is>
          <t>Item</t>
        </is>
      </c>
      <c r="C1549" s="0" t="inlineStr">
        <is>
          <t>Acquired</t>
        </is>
      </c>
      <c r="D1549" s="0" t="inlineStr">
        <is>
          <t>:</t>
        </is>
      </c>
      <c r="E1549" s="0" t="inlineStr">
        <is>
          <t>30.00K</t>
        </is>
      </c>
      <c r="F1549" s="0" t="inlineStr">
        <is>
          <t>(1,</t>
        </is>
      </c>
      <c r="G1549" s="0" t="inlineStr">
        <is>
          <t>5)</t>
        </is>
      </c>
      <c r="K1549" s="0">
        <f>IF(H1548="1)",1,IF(H1548="2)",2,IF(H1548="3)",3,IF(H1548="4)",4,IF(H1548="5)",5,IF(H1548="6)",6,IF(H1548="7)",7,IF(H1548="8)",8,0))))))))</f>
        <v/>
      </c>
      <c r="L1549" s="0">
        <f>IF(H1548="1)",J1548,IF(H1548="2)",J1548,IF(H1548="3)",J1548,IF(H1548="4)",J1548,IF(H1548="5)",J1548,IF(H1548="6)",J1548,IF(H1548="7)",J1548,IF(H1548="8)",J1548,0))))))))</f>
        <v/>
      </c>
    </row>
    <row r="1550">
      <c r="A1550" s="0" t="inlineStr">
        <is>
          <t>Line</t>
        </is>
      </c>
      <c r="B1550" s="0" t="inlineStr">
        <is>
          <t>Prize</t>
        </is>
      </c>
      <c r="C1550" s="0" t="inlineStr">
        <is>
          <t>Acquired</t>
        </is>
      </c>
      <c r="D1550" s="0" t="inlineStr">
        <is>
          <t>:</t>
        </is>
      </c>
      <c r="E1550" s="0" t="inlineStr">
        <is>
          <t>230.00K</t>
        </is>
      </c>
      <c r="F1550" s="0" t="inlineStr">
        <is>
          <t>(Stage</t>
        </is>
      </c>
      <c r="G1550" s="0" t="inlineStr">
        <is>
          <t>:</t>
        </is>
      </c>
      <c r="H1550" s="0" t="inlineStr">
        <is>
          <t>1)</t>
        </is>
      </c>
      <c r="I1550" s="0" t="inlineStr">
        <is>
          <t>-</t>
        </is>
      </c>
      <c r="J1550" s="0" t="n">
        <v>230000</v>
      </c>
      <c r="K1550" s="0">
        <f>IF(H1549="1)",1,IF(H1549="2)",2,IF(H1549="3)",3,IF(H1549="4)",4,IF(H1549="5)",5,IF(H1549="6)",6,IF(H1549="7)",7,IF(H1549="8)",8,0))))))))</f>
        <v/>
      </c>
      <c r="L1550" s="0">
        <f>IF(H1549="1)",J1549,IF(H1549="2)",J1549,IF(H1549="3)",J1549,IF(H1549="4)",J1549,IF(H1549="5)",J1549,IF(H1549="6)",J1549,IF(H1549="7)",J1549,IF(H1549="8)",J1549,0))))))))</f>
        <v/>
      </c>
    </row>
    <row r="1551">
      <c r="A1551" s="0" t="inlineStr">
        <is>
          <t>Clear</t>
        </is>
      </c>
      <c r="B1551" s="0" t="inlineStr">
        <is>
          <t>Gem</t>
        </is>
      </c>
      <c r="C1551" s="0" t="inlineStr">
        <is>
          <t>Acquired</t>
        </is>
      </c>
      <c r="D1551" s="0" t="inlineStr">
        <is>
          <t>:</t>
        </is>
      </c>
      <c r="E1551" s="0" t="n">
        <v>9300</v>
      </c>
      <c r="F1551" s="0" t="inlineStr">
        <is>
          <t>-&gt;</t>
        </is>
      </c>
      <c r="G1551" s="0" t="n">
        <v>9400</v>
      </c>
      <c r="H1551" s="0" t="inlineStr">
        <is>
          <t>(Stage</t>
        </is>
      </c>
      <c r="I1551" s="0" t="inlineStr">
        <is>
          <t>:</t>
        </is>
      </c>
      <c r="J1551" s="0" t="inlineStr">
        <is>
          <t>1)</t>
        </is>
      </c>
      <c r="K1551" s="0">
        <f>IF(H1550="1)",1,IF(H1550="2)",2,IF(H1550="3)",3,IF(H1550="4)",4,IF(H1550="5)",5,IF(H1550="6)",6,IF(H1550="7)",7,IF(H1550="8)",8,0))))))))</f>
        <v/>
      </c>
      <c r="L1551" s="0">
        <f>IF(H1550="1)",J1550,IF(H1550="2)",J1550,IF(H1550="3)",J1550,IF(H1550="4)",J1550,IF(H1550="5)",J1550,IF(H1550="6)",J1550,IF(H1550="7)",J1550,IF(H1550="8)",J1550,0))))))))</f>
        <v/>
      </c>
    </row>
    <row r="1552">
      <c r="A1552" s="0" t="inlineStr">
        <is>
          <t>New</t>
        </is>
      </c>
      <c r="B1552" s="0" t="inlineStr">
        <is>
          <t>Item</t>
        </is>
      </c>
      <c r="C1552" s="0" t="inlineStr">
        <is>
          <t>Acquired</t>
        </is>
      </c>
      <c r="D1552" s="0" t="inlineStr">
        <is>
          <t>:</t>
        </is>
      </c>
      <c r="E1552" s="0" t="inlineStr">
        <is>
          <t>75.00K</t>
        </is>
      </c>
      <c r="F1552" s="0" t="inlineStr">
        <is>
          <t>(6,</t>
        </is>
      </c>
      <c r="G1552" s="0" t="inlineStr">
        <is>
          <t>9)</t>
        </is>
      </c>
      <c r="K1552" s="0">
        <f>IF(H1551="1)",1,IF(H1551="2)",2,IF(H1551="3)",3,IF(H1551="4)",4,IF(H1551="5)",5,IF(H1551="6)",6,IF(H1551="7)",7,IF(H1551="8)",8,0))))))))</f>
        <v/>
      </c>
      <c r="L1552" s="0">
        <f>IF(H1551="1)",J1551,IF(H1551="2)",J1551,IF(H1551="3)",J1551,IF(H1551="4)",J1551,IF(H1551="5)",J1551,IF(H1551="6)",J1551,IF(H1551="7)",J1551,IF(H1551="8)",J1551,0))))))))</f>
        <v/>
      </c>
    </row>
    <row r="1553">
      <c r="A1553" s="0" t="inlineStr">
        <is>
          <t>New</t>
        </is>
      </c>
      <c r="B1553" s="0" t="inlineStr">
        <is>
          <t>Item</t>
        </is>
      </c>
      <c r="C1553" s="0" t="inlineStr">
        <is>
          <t>Acquired</t>
        </is>
      </c>
      <c r="D1553" s="0" t="inlineStr">
        <is>
          <t>:</t>
        </is>
      </c>
      <c r="E1553" s="0" t="inlineStr">
        <is>
          <t>105.00K</t>
        </is>
      </c>
      <c r="F1553" s="0" t="inlineStr">
        <is>
          <t>(4,</t>
        </is>
      </c>
      <c r="G1553" s="0" t="inlineStr">
        <is>
          <t>4)</t>
        </is>
      </c>
      <c r="K1553" s="0">
        <f>IF(H1552="1)",1,IF(H1552="2)",2,IF(H1552="3)",3,IF(H1552="4)",4,IF(H1552="5)",5,IF(H1552="6)",6,IF(H1552="7)",7,IF(H1552="8)",8,0))))))))</f>
        <v/>
      </c>
      <c r="L1553" s="0">
        <f>IF(H1552="1)",J1552,IF(H1552="2)",J1552,IF(H1552="3)",J1552,IF(H1552="4)",J1552,IF(H1552="5)",J1552,IF(H1552="6)",J1552,IF(H1552="7)",J1552,IF(H1552="8)",J1552,0))))))))</f>
        <v/>
      </c>
    </row>
    <row r="1554">
      <c r="A1554" s="0" t="inlineStr">
        <is>
          <t>New</t>
        </is>
      </c>
      <c r="B1554" s="0" t="inlineStr">
        <is>
          <t>Item</t>
        </is>
      </c>
      <c r="C1554" s="0" t="inlineStr">
        <is>
          <t>Acquired</t>
        </is>
      </c>
      <c r="D1554" s="0" t="inlineStr">
        <is>
          <t>:</t>
        </is>
      </c>
      <c r="E1554" s="0" t="inlineStr">
        <is>
          <t>50.00K</t>
        </is>
      </c>
      <c r="F1554" s="0" t="inlineStr">
        <is>
          <t>(1,</t>
        </is>
      </c>
      <c r="G1554" s="0" t="inlineStr">
        <is>
          <t>4)</t>
        </is>
      </c>
      <c r="K1554" s="0">
        <f>IF(H1553="1)",1,IF(H1553="2)",2,IF(H1553="3)",3,IF(H1553="4)",4,IF(H1553="5)",5,IF(H1553="6)",6,IF(H1553="7)",7,IF(H1553="8)",8,0))))))))</f>
        <v/>
      </c>
      <c r="L1554" s="0">
        <f>IF(H1553="1)",J1553,IF(H1553="2)",J1553,IF(H1553="3)",J1553,IF(H1553="4)",J1553,IF(H1553="5)",J1553,IF(H1553="6)",J1553,IF(H1553="7)",J1553,IF(H1553="8)",J1553,0))))))))</f>
        <v/>
      </c>
    </row>
    <row r="1555">
      <c r="A1555" s="0" t="inlineStr">
        <is>
          <t>New</t>
        </is>
      </c>
      <c r="B1555" s="0" t="inlineStr">
        <is>
          <t>Item</t>
        </is>
      </c>
      <c r="C1555" s="0" t="inlineStr">
        <is>
          <t>Acquired</t>
        </is>
      </c>
      <c r="D1555" s="0" t="inlineStr">
        <is>
          <t>:</t>
        </is>
      </c>
      <c r="E1555" s="0" t="inlineStr">
        <is>
          <t>90.00K</t>
        </is>
      </c>
      <c r="F1555" s="0" t="inlineStr">
        <is>
          <t>(7,</t>
        </is>
      </c>
      <c r="G1555" s="0" t="inlineStr">
        <is>
          <t>25)</t>
        </is>
      </c>
      <c r="K1555" s="0">
        <f>IF(H1554="1)",1,IF(H1554="2)",2,IF(H1554="3)",3,IF(H1554="4)",4,IF(H1554="5)",5,IF(H1554="6)",6,IF(H1554="7)",7,IF(H1554="8)",8,0))))))))</f>
        <v/>
      </c>
      <c r="L1555" s="0">
        <f>IF(H1554="1)",J1554,IF(H1554="2)",J1554,IF(H1554="3)",J1554,IF(H1554="4)",J1554,IF(H1554="5)",J1554,IF(H1554="6)",J1554,IF(H1554="7)",J1554,IF(H1554="8)",J1554,0))))))))</f>
        <v/>
      </c>
    </row>
    <row r="1556">
      <c r="A1556" s="0" t="inlineStr">
        <is>
          <t>New</t>
        </is>
      </c>
      <c r="B1556" s="0" t="inlineStr">
        <is>
          <t>Item</t>
        </is>
      </c>
      <c r="C1556" s="0" t="inlineStr">
        <is>
          <t>Acquired</t>
        </is>
      </c>
      <c r="D1556" s="0" t="inlineStr">
        <is>
          <t>:</t>
        </is>
      </c>
      <c r="E1556" s="0" t="inlineStr">
        <is>
          <t>60.00K</t>
        </is>
      </c>
      <c r="F1556" s="0" t="inlineStr">
        <is>
          <t>(4,</t>
        </is>
      </c>
      <c r="G1556" s="0" t="inlineStr">
        <is>
          <t>14)</t>
        </is>
      </c>
      <c r="K1556" s="0">
        <f>IF(H1555="1)",1,IF(H1555="2)",2,IF(H1555="3)",3,IF(H1555="4)",4,IF(H1555="5)",5,IF(H1555="6)",6,IF(H1555="7)",7,IF(H1555="8)",8,0))))))))</f>
        <v/>
      </c>
      <c r="L1556" s="0">
        <f>IF(H1555="1)",J1555,IF(H1555="2)",J1555,IF(H1555="3)",J1555,IF(H1555="4)",J1555,IF(H1555="5)",J1555,IF(H1555="6)",J1555,IF(H1555="7)",J1555,IF(H1555="8)",J1555,0))))))))</f>
        <v/>
      </c>
    </row>
    <row r="1557">
      <c r="A1557" s="0" t="inlineStr">
        <is>
          <t>New</t>
        </is>
      </c>
      <c r="B1557" s="0" t="inlineStr">
        <is>
          <t>Item</t>
        </is>
      </c>
      <c r="C1557" s="0" t="inlineStr">
        <is>
          <t>Acquired</t>
        </is>
      </c>
      <c r="D1557" s="0" t="inlineStr">
        <is>
          <t>:</t>
        </is>
      </c>
      <c r="E1557" s="0" t="inlineStr">
        <is>
          <t>120.00K</t>
        </is>
      </c>
      <c r="F1557" s="0" t="inlineStr">
        <is>
          <t>(8,</t>
        </is>
      </c>
      <c r="G1557" s="0" t="inlineStr">
        <is>
          <t>20)</t>
        </is>
      </c>
      <c r="K1557" s="0">
        <f>IF(H1556="1)",1,IF(H1556="2)",2,IF(H1556="3)",3,IF(H1556="4)",4,IF(H1556="5)",5,IF(H1556="6)",6,IF(H1556="7)",7,IF(H1556="8)",8,0))))))))</f>
        <v/>
      </c>
      <c r="L1557" s="0">
        <f>IF(H1556="1)",J1556,IF(H1556="2)",J1556,IF(H1556="3)",J1556,IF(H1556="4)",J1556,IF(H1556="5)",J1556,IF(H1556="6)",J1556,IF(H1556="7)",J1556,IF(H1556="8)",J1556,0))))))))</f>
        <v/>
      </c>
    </row>
    <row r="1558">
      <c r="A1558" s="0" t="inlineStr">
        <is>
          <t>New</t>
        </is>
      </c>
      <c r="B1558" s="0" t="inlineStr">
        <is>
          <t>Item</t>
        </is>
      </c>
      <c r="C1558" s="0" t="inlineStr">
        <is>
          <t>Acquired</t>
        </is>
      </c>
      <c r="D1558" s="0" t="inlineStr">
        <is>
          <t>:</t>
        </is>
      </c>
      <c r="E1558" s="0" t="inlineStr">
        <is>
          <t>75.00K</t>
        </is>
      </c>
      <c r="F1558" s="0" t="inlineStr">
        <is>
          <t>(4,</t>
        </is>
      </c>
      <c r="G1558" s="0" t="inlineStr">
        <is>
          <t>20)</t>
        </is>
      </c>
      <c r="K1558" s="0">
        <f>IF(H1557="1)",1,IF(H1557="2)",2,IF(H1557="3)",3,IF(H1557="4)",4,IF(H1557="5)",5,IF(H1557="6)",6,IF(H1557="7)",7,IF(H1557="8)",8,0))))))))</f>
        <v/>
      </c>
      <c r="L1558" s="0">
        <f>IF(H1557="1)",J1557,IF(H1557="2)",J1557,IF(H1557="3)",J1557,IF(H1557="4)",J1557,IF(H1557="5)",J1557,IF(H1557="6)",J1557,IF(H1557="7)",J1557,IF(H1557="8)",J1557,0))))))))</f>
        <v/>
      </c>
    </row>
    <row r="1559">
      <c r="A1559" s="0" t="inlineStr">
        <is>
          <t>New</t>
        </is>
      </c>
      <c r="B1559" s="0" t="inlineStr">
        <is>
          <t>Item</t>
        </is>
      </c>
      <c r="C1559" s="0" t="inlineStr">
        <is>
          <t>Acquired</t>
        </is>
      </c>
      <c r="D1559" s="0" t="inlineStr">
        <is>
          <t>:</t>
        </is>
      </c>
      <c r="E1559" s="0" t="inlineStr">
        <is>
          <t>37.50K</t>
        </is>
      </c>
      <c r="F1559" s="0" t="inlineStr">
        <is>
          <t>(2,</t>
        </is>
      </c>
      <c r="G1559" s="0" t="inlineStr">
        <is>
          <t>22)</t>
        </is>
      </c>
      <c r="K1559" s="0">
        <f>IF(H1558="1)",1,IF(H1558="2)",2,IF(H1558="3)",3,IF(H1558="4)",4,IF(H1558="5)",5,IF(H1558="6)",6,IF(H1558="7)",7,IF(H1558="8)",8,0))))))))</f>
        <v/>
      </c>
      <c r="L1559" s="0">
        <f>IF(H1558="1)",J1558,IF(H1558="2)",J1558,IF(H1558="3)",J1558,IF(H1558="4)",J1558,IF(H1558="5)",J1558,IF(H1558="6)",J1558,IF(H1558="7)",J1558,IF(H1558="8)",J1558,0))))))))</f>
        <v/>
      </c>
    </row>
    <row r="1560">
      <c r="A1560" s="0" t="inlineStr">
        <is>
          <t>New</t>
        </is>
      </c>
      <c r="B1560" s="0" t="inlineStr">
        <is>
          <t>Item</t>
        </is>
      </c>
      <c r="C1560" s="0" t="inlineStr">
        <is>
          <t>Acquired</t>
        </is>
      </c>
      <c r="D1560" s="0" t="inlineStr">
        <is>
          <t>:</t>
        </is>
      </c>
      <c r="E1560" s="0" t="inlineStr">
        <is>
          <t>Mini</t>
        </is>
      </c>
      <c r="F1560" s="0" t="inlineStr">
        <is>
          <t>(1,</t>
        </is>
      </c>
      <c r="G1560" s="0" t="inlineStr">
        <is>
          <t>9)</t>
        </is>
      </c>
      <c r="K1560" s="0">
        <f>IF(H1559="1)",1,IF(H1559="2)",2,IF(H1559="3)",3,IF(H1559="4)",4,IF(H1559="5)",5,IF(H1559="6)",6,IF(H1559="7)",7,IF(H1559="8)",8,0))))))))</f>
        <v/>
      </c>
      <c r="L1560" s="0">
        <f>IF(H1559="1)",J1559,IF(H1559="2)",J1559,IF(H1559="3)",J1559,IF(H1559="4)",J1559,IF(H1559="5)",J1559,IF(H1559="6)",J1559,IF(H1559="7)",J1559,IF(H1559="8)",J1559,0))))))))</f>
        <v/>
      </c>
    </row>
    <row r="1561">
      <c r="A1561" s="0" t="inlineStr">
        <is>
          <t>New</t>
        </is>
      </c>
      <c r="B1561" s="0" t="inlineStr">
        <is>
          <t>Item</t>
        </is>
      </c>
      <c r="C1561" s="0" t="inlineStr">
        <is>
          <t>Acquired</t>
        </is>
      </c>
      <c r="D1561" s="0" t="inlineStr">
        <is>
          <t>:</t>
        </is>
      </c>
      <c r="E1561" s="0" t="inlineStr">
        <is>
          <t>45.00K</t>
        </is>
      </c>
      <c r="F1561" s="0" t="inlineStr">
        <is>
          <t>(3,</t>
        </is>
      </c>
      <c r="G1561" s="0" t="inlineStr">
        <is>
          <t>2)</t>
        </is>
      </c>
      <c r="K1561" s="0">
        <f>IF(H1560="1)",1,IF(H1560="2)",2,IF(H1560="3)",3,IF(H1560="4)",4,IF(H1560="5)",5,IF(H1560="6)",6,IF(H1560="7)",7,IF(H1560="8)",8,0))))))))</f>
        <v/>
      </c>
      <c r="L1561" s="0">
        <f>IF(H1560="1)",J1560,IF(H1560="2)",J1560,IF(H1560="3)",J1560,IF(H1560="4)",J1560,IF(H1560="5)",J1560,IF(H1560="6)",J1560,IF(H1560="7)",J1560,IF(H1560="8)",J1560,0))))))))</f>
        <v/>
      </c>
    </row>
    <row r="1562">
      <c r="A1562" s="0" t="inlineStr">
        <is>
          <t>New</t>
        </is>
      </c>
      <c r="B1562" s="0" t="inlineStr">
        <is>
          <t>Item</t>
        </is>
      </c>
      <c r="C1562" s="0" t="inlineStr">
        <is>
          <t>Acquired</t>
        </is>
      </c>
      <c r="D1562" s="0" t="inlineStr">
        <is>
          <t>:</t>
        </is>
      </c>
      <c r="E1562" s="0" t="inlineStr">
        <is>
          <t>50.00K</t>
        </is>
      </c>
      <c r="F1562" s="0" t="inlineStr">
        <is>
          <t>(1,</t>
        </is>
      </c>
      <c r="G1562" s="0" t="inlineStr">
        <is>
          <t>12)</t>
        </is>
      </c>
      <c r="K1562" s="0">
        <f>IF(H1561="1)",1,IF(H1561="2)",2,IF(H1561="3)",3,IF(H1561="4)",4,IF(H1561="5)",5,IF(H1561="6)",6,IF(H1561="7)",7,IF(H1561="8)",8,0))))))))</f>
        <v/>
      </c>
      <c r="L1562" s="0">
        <f>IF(H1561="1)",J1561,IF(H1561="2)",J1561,IF(H1561="3)",J1561,IF(H1561="4)",J1561,IF(H1561="5)",J1561,IF(H1561="6)",J1561,IF(H1561="7)",J1561,IF(H1561="8)",J1561,0))))))))</f>
        <v/>
      </c>
    </row>
    <row r="1563">
      <c r="A1563" s="0" t="inlineStr">
        <is>
          <t>New</t>
        </is>
      </c>
      <c r="B1563" s="0" t="inlineStr">
        <is>
          <t>Item</t>
        </is>
      </c>
      <c r="C1563" s="0" t="inlineStr">
        <is>
          <t>Acquired</t>
        </is>
      </c>
      <c r="D1563" s="0" t="inlineStr">
        <is>
          <t>:</t>
        </is>
      </c>
      <c r="E1563" s="0" t="inlineStr">
        <is>
          <t>112.50K</t>
        </is>
      </c>
      <c r="F1563" s="0" t="inlineStr">
        <is>
          <t>(5,</t>
        </is>
      </c>
      <c r="G1563" s="0" t="inlineStr">
        <is>
          <t>12)</t>
        </is>
      </c>
      <c r="K1563" s="0">
        <f>IF(H1562="1)",1,IF(H1562="2)",2,IF(H1562="3)",3,IF(H1562="4)",4,IF(H1562="5)",5,IF(H1562="6)",6,IF(H1562="7)",7,IF(H1562="8)",8,0))))))))</f>
        <v/>
      </c>
      <c r="L1563" s="0">
        <f>IF(H1562="1)",J1562,IF(H1562="2)",J1562,IF(H1562="3)",J1562,IF(H1562="4)",J1562,IF(H1562="5)",J1562,IF(H1562="6)",J1562,IF(H1562="7)",J1562,IF(H1562="8)",J1562,0))))))))</f>
        <v/>
      </c>
    </row>
    <row r="1564">
      <c r="A1564" s="0" t="inlineStr">
        <is>
          <t>New</t>
        </is>
      </c>
      <c r="B1564" s="0" t="inlineStr">
        <is>
          <t>Item</t>
        </is>
      </c>
      <c r="C1564" s="0" t="inlineStr">
        <is>
          <t>Acquired</t>
        </is>
      </c>
      <c r="D1564" s="0" t="inlineStr">
        <is>
          <t>:</t>
        </is>
      </c>
      <c r="E1564" s="0" t="inlineStr">
        <is>
          <t>105.00K</t>
        </is>
      </c>
      <c r="F1564" s="0" t="inlineStr">
        <is>
          <t>(4,</t>
        </is>
      </c>
      <c r="G1564" s="0" t="inlineStr">
        <is>
          <t>2)</t>
        </is>
      </c>
      <c r="K1564" s="0">
        <f>IF(H1563="1)",1,IF(H1563="2)",2,IF(H1563="3)",3,IF(H1563="4)",4,IF(H1563="5)",5,IF(H1563="6)",6,IF(H1563="7)",7,IF(H1563="8)",8,0))))))))</f>
        <v/>
      </c>
      <c r="L1564" s="0">
        <f>IF(H1563="1)",J1563,IF(H1563="2)",J1563,IF(H1563="3)",J1563,IF(H1563="4)",J1563,IF(H1563="5)",J1563,IF(H1563="6)",J1563,IF(H1563="7)",J1563,IF(H1563="8)",J1563,0))))))))</f>
        <v/>
      </c>
    </row>
    <row r="1565">
      <c r="A1565" s="0" t="inlineStr">
        <is>
          <t>New</t>
        </is>
      </c>
      <c r="B1565" s="0" t="inlineStr">
        <is>
          <t>Item</t>
        </is>
      </c>
      <c r="C1565" s="0" t="inlineStr">
        <is>
          <t>Acquired</t>
        </is>
      </c>
      <c r="D1565" s="0" t="inlineStr">
        <is>
          <t>:</t>
        </is>
      </c>
      <c r="E1565" s="0" t="inlineStr">
        <is>
          <t>50.00K</t>
        </is>
      </c>
      <c r="F1565" s="0" t="inlineStr">
        <is>
          <t>(1,</t>
        </is>
      </c>
      <c r="G1565" s="0" t="inlineStr">
        <is>
          <t>7)</t>
        </is>
      </c>
      <c r="K1565" s="0">
        <f>IF(H1564="1)",1,IF(H1564="2)",2,IF(H1564="3)",3,IF(H1564="4)",4,IF(H1564="5)",5,IF(H1564="6)",6,IF(H1564="7)",7,IF(H1564="8)",8,0))))))))</f>
        <v/>
      </c>
      <c r="L1565" s="0">
        <f>IF(H1564="1)",J1564,IF(H1564="2)",J1564,IF(H1564="3)",J1564,IF(H1564="4)",J1564,IF(H1564="5)",J1564,IF(H1564="6)",J1564,IF(H1564="7)",J1564,IF(H1564="8)",J1564,0))))))))</f>
        <v/>
      </c>
    </row>
    <row r="1566">
      <c r="A1566" s="0" t="inlineStr">
        <is>
          <t>New</t>
        </is>
      </c>
      <c r="B1566" s="0" t="inlineStr">
        <is>
          <t>Item</t>
        </is>
      </c>
      <c r="C1566" s="0" t="inlineStr">
        <is>
          <t>Acquired</t>
        </is>
      </c>
      <c r="D1566" s="0" t="inlineStr">
        <is>
          <t>:</t>
        </is>
      </c>
      <c r="E1566" s="0" t="inlineStr">
        <is>
          <t>90.00K</t>
        </is>
      </c>
      <c r="F1566" s="0" t="inlineStr">
        <is>
          <t>(7,</t>
        </is>
      </c>
      <c r="G1566" s="0" t="inlineStr">
        <is>
          <t>19)</t>
        </is>
      </c>
      <c r="K1566" s="0">
        <f>IF(H1565="1)",1,IF(H1565="2)",2,IF(H1565="3)",3,IF(H1565="4)",4,IF(H1565="5)",5,IF(H1565="6)",6,IF(H1565="7)",7,IF(H1565="8)",8,0))))))))</f>
        <v/>
      </c>
      <c r="L1566" s="0">
        <f>IF(H1565="1)",J1565,IF(H1565="2)",J1565,IF(H1565="3)",J1565,IF(H1565="4)",J1565,IF(H1565="5)",J1565,IF(H1565="6)",J1565,IF(H1565="7)",J1565,IF(H1565="8)",J1565,0))))))))</f>
        <v/>
      </c>
    </row>
    <row r="1567">
      <c r="A1567" s="0" t="inlineStr">
        <is>
          <t>New</t>
        </is>
      </c>
      <c r="B1567" s="0" t="inlineStr">
        <is>
          <t>Item</t>
        </is>
      </c>
      <c r="C1567" s="0" t="inlineStr">
        <is>
          <t>Acquired</t>
        </is>
      </c>
      <c r="D1567" s="0" t="inlineStr">
        <is>
          <t>:</t>
        </is>
      </c>
      <c r="E1567" s="0" t="inlineStr">
        <is>
          <t>Minor</t>
        </is>
      </c>
      <c r="F1567" s="0" t="inlineStr">
        <is>
          <t>(2,</t>
        </is>
      </c>
      <c r="G1567" s="0" t="inlineStr">
        <is>
          <t>6)</t>
        </is>
      </c>
      <c r="K1567" s="0">
        <f>IF(H1566="1)",1,IF(H1566="2)",2,IF(H1566="3)",3,IF(H1566="4)",4,IF(H1566="5)",5,IF(H1566="6)",6,IF(H1566="7)",7,IF(H1566="8)",8,0))))))))</f>
        <v/>
      </c>
      <c r="L1567" s="0">
        <f>IF(H1566="1)",J1566,IF(H1566="2)",J1566,IF(H1566="3)",J1566,IF(H1566="4)",J1566,IF(H1566="5)",J1566,IF(H1566="6)",J1566,IF(H1566="7)",J1566,IF(H1566="8)",J1566,0))))))))</f>
        <v/>
      </c>
    </row>
    <row r="1568">
      <c r="A1568" s="0" t="inlineStr">
        <is>
          <t>Line</t>
        </is>
      </c>
      <c r="B1568" s="0" t="inlineStr">
        <is>
          <t>Prize</t>
        </is>
      </c>
      <c r="C1568" s="0" t="inlineStr">
        <is>
          <t>Acquired</t>
        </is>
      </c>
      <c r="D1568" s="0" t="inlineStr">
        <is>
          <t>:</t>
        </is>
      </c>
      <c r="E1568" s="0" t="inlineStr">
        <is>
          <t>650.00K</t>
        </is>
      </c>
      <c r="F1568" s="0" t="inlineStr">
        <is>
          <t>(Stage</t>
        </is>
      </c>
      <c r="G1568" s="0" t="inlineStr">
        <is>
          <t>:</t>
        </is>
      </c>
      <c r="H1568" s="0" t="inlineStr">
        <is>
          <t>2)</t>
        </is>
      </c>
      <c r="I1568" s="0" t="inlineStr">
        <is>
          <t>-</t>
        </is>
      </c>
      <c r="J1568" s="0" t="n">
        <v>650000</v>
      </c>
      <c r="K1568" s="0">
        <f>IF(H1567="1)",1,IF(H1567="2)",2,IF(H1567="3)",3,IF(H1567="4)",4,IF(H1567="5)",5,IF(H1567="6)",6,IF(H1567="7)",7,IF(H1567="8)",8,0))))))))</f>
        <v/>
      </c>
      <c r="L1568" s="0">
        <f>IF(H1567="1)",J1567,IF(H1567="2)",J1567,IF(H1567="3)",J1567,IF(H1567="4)",J1567,IF(H1567="5)",J1567,IF(H1567="6)",J1567,IF(H1567="7)",J1567,IF(H1567="8)",J1567,0))))))))</f>
        <v/>
      </c>
    </row>
    <row r="1569">
      <c r="A1569" s="0" t="inlineStr">
        <is>
          <t>Clear</t>
        </is>
      </c>
      <c r="B1569" s="0" t="inlineStr">
        <is>
          <t>Gem</t>
        </is>
      </c>
      <c r="C1569" s="0" t="inlineStr">
        <is>
          <t>Acquired</t>
        </is>
      </c>
      <c r="D1569" s="0" t="inlineStr">
        <is>
          <t>:</t>
        </is>
      </c>
      <c r="E1569" s="0" t="n">
        <v>9400</v>
      </c>
      <c r="F1569" s="0" t="inlineStr">
        <is>
          <t>-&gt;</t>
        </is>
      </c>
      <c r="G1569" s="0" t="n">
        <v>9500</v>
      </c>
      <c r="H1569" s="0" t="inlineStr">
        <is>
          <t>(Stage</t>
        </is>
      </c>
      <c r="I1569" s="0" t="inlineStr">
        <is>
          <t>:</t>
        </is>
      </c>
      <c r="J1569" s="0" t="inlineStr">
        <is>
          <t>2)</t>
        </is>
      </c>
      <c r="K1569" s="0">
        <f>IF(H1568="1)",1,IF(H1568="2)",2,IF(H1568="3)",3,IF(H1568="4)",4,IF(H1568="5)",5,IF(H1568="6)",6,IF(H1568="7)",7,IF(H1568="8)",8,0))))))))</f>
        <v/>
      </c>
      <c r="L1569" s="0">
        <f>IF(H1568="1)",J1568,IF(H1568="2)",J1568,IF(H1568="3)",J1568,IF(H1568="4)",J1568,IF(H1568="5)",J1568,IF(H1568="6)",J1568,IF(H1568="7)",J1568,IF(H1568="8)",J1568,0))))))))</f>
        <v/>
      </c>
    </row>
    <row r="1570">
      <c r="A1570" s="0" t="inlineStr">
        <is>
          <t>New</t>
        </is>
      </c>
      <c r="B1570" s="0" t="inlineStr">
        <is>
          <t>Item</t>
        </is>
      </c>
      <c r="C1570" s="0" t="inlineStr">
        <is>
          <t>Acquired</t>
        </is>
      </c>
      <c r="D1570" s="0" t="inlineStr">
        <is>
          <t>:</t>
        </is>
      </c>
      <c r="E1570" s="0" t="inlineStr">
        <is>
          <t>37.50K</t>
        </is>
      </c>
      <c r="F1570" s="0" t="inlineStr">
        <is>
          <t>(2,</t>
        </is>
      </c>
      <c r="G1570" s="0" t="inlineStr">
        <is>
          <t>16)</t>
        </is>
      </c>
      <c r="K1570" s="0">
        <f>IF(H1569="1)",1,IF(H1569="2)",2,IF(H1569="3)",3,IF(H1569="4)",4,IF(H1569="5)",5,IF(H1569="6)",6,IF(H1569="7)",7,IF(H1569="8)",8,0))))))))</f>
        <v/>
      </c>
      <c r="L1570" s="0">
        <f>IF(H1569="1)",J1569,IF(H1569="2)",J1569,IF(H1569="3)",J1569,IF(H1569="4)",J1569,IF(H1569="5)",J1569,IF(H1569="6)",J1569,IF(H1569="7)",J1569,IF(H1569="8)",J1569,0))))))))</f>
        <v/>
      </c>
    </row>
    <row r="1571">
      <c r="A1571" s="0" t="inlineStr">
        <is>
          <t>New</t>
        </is>
      </c>
      <c r="B1571" s="0" t="inlineStr">
        <is>
          <t>Item</t>
        </is>
      </c>
      <c r="C1571" s="0" t="inlineStr">
        <is>
          <t>Acquired</t>
        </is>
      </c>
      <c r="D1571" s="0" t="inlineStr">
        <is>
          <t>:</t>
        </is>
      </c>
      <c r="E1571" s="0" t="inlineStr">
        <is>
          <t>30.00K</t>
        </is>
      </c>
      <c r="F1571" s="0" t="inlineStr">
        <is>
          <t>(1,</t>
        </is>
      </c>
      <c r="G1571" s="0" t="inlineStr">
        <is>
          <t>16)</t>
        </is>
      </c>
      <c r="K1571" s="0">
        <f>IF(H1570="1)",1,IF(H1570="2)",2,IF(H1570="3)",3,IF(H1570="4)",4,IF(H1570="5)",5,IF(H1570="6)",6,IF(H1570="7)",7,IF(H1570="8)",8,0))))))))</f>
        <v/>
      </c>
      <c r="L1571" s="0">
        <f>IF(H1570="1)",J1570,IF(H1570="2)",J1570,IF(H1570="3)",J1570,IF(H1570="4)",J1570,IF(H1570="5)",J1570,IF(H1570="6)",J1570,IF(H1570="7)",J1570,IF(H1570="8)",J1570,0))))))))</f>
        <v/>
      </c>
    </row>
    <row r="1572">
      <c r="A1572" s="0" t="inlineStr">
        <is>
          <t>New</t>
        </is>
      </c>
      <c r="B1572" s="0" t="inlineStr">
        <is>
          <t>Item</t>
        </is>
      </c>
      <c r="C1572" s="0" t="inlineStr">
        <is>
          <t>Acquired</t>
        </is>
      </c>
      <c r="D1572" s="0" t="inlineStr">
        <is>
          <t>:</t>
        </is>
      </c>
      <c r="E1572" s="0" t="inlineStr">
        <is>
          <t>90.00K</t>
        </is>
      </c>
      <c r="F1572" s="0" t="inlineStr">
        <is>
          <t>(7,</t>
        </is>
      </c>
      <c r="G1572" s="0" t="inlineStr">
        <is>
          <t>24)</t>
        </is>
      </c>
      <c r="K1572" s="0">
        <f>IF(H1571="1)",1,IF(H1571="2)",2,IF(H1571="3)",3,IF(H1571="4)",4,IF(H1571="5)",5,IF(H1571="6)",6,IF(H1571="7)",7,IF(H1571="8)",8,0))))))))</f>
        <v/>
      </c>
      <c r="L1572" s="0">
        <f>IF(H1571="1)",J1571,IF(H1571="2)",J1571,IF(H1571="3)",J1571,IF(H1571="4)",J1571,IF(H1571="5)",J1571,IF(H1571="6)",J1571,IF(H1571="7)",J1571,IF(H1571="8)",J1571,0))))))))</f>
        <v/>
      </c>
    </row>
    <row r="1573">
      <c r="A1573" s="0" t="inlineStr">
        <is>
          <t>New</t>
        </is>
      </c>
      <c r="B1573" s="0" t="inlineStr">
        <is>
          <t>Item</t>
        </is>
      </c>
      <c r="C1573" s="0" t="inlineStr">
        <is>
          <t>Acquired</t>
        </is>
      </c>
      <c r="D1573" s="0" t="inlineStr">
        <is>
          <t>:</t>
        </is>
      </c>
      <c r="E1573" s="0" t="inlineStr">
        <is>
          <t>75.00K</t>
        </is>
      </c>
      <c r="F1573" s="0" t="inlineStr">
        <is>
          <t>(3,</t>
        </is>
      </c>
      <c r="G1573" s="0" t="inlineStr">
        <is>
          <t>5)</t>
        </is>
      </c>
      <c r="K1573" s="0">
        <f>IF(H1572="1)",1,IF(H1572="2)",2,IF(H1572="3)",3,IF(H1572="4)",4,IF(H1572="5)",5,IF(H1572="6)",6,IF(H1572="7)",7,IF(H1572="8)",8,0))))))))</f>
        <v/>
      </c>
      <c r="L1573" s="0">
        <f>IF(H1572="1)",J1572,IF(H1572="2)",J1572,IF(H1572="3)",J1572,IF(H1572="4)",J1572,IF(H1572="5)",J1572,IF(H1572="6)",J1572,IF(H1572="7)",J1572,IF(H1572="8)",J1572,0))))))))</f>
        <v/>
      </c>
    </row>
    <row r="1574">
      <c r="A1574" s="0" t="inlineStr">
        <is>
          <t>New</t>
        </is>
      </c>
      <c r="B1574" s="0" t="inlineStr">
        <is>
          <t>Item</t>
        </is>
      </c>
      <c r="C1574" s="0" t="inlineStr">
        <is>
          <t>Acquired</t>
        </is>
      </c>
      <c r="D1574" s="0" t="inlineStr">
        <is>
          <t>:</t>
        </is>
      </c>
      <c r="E1574" s="0" t="inlineStr">
        <is>
          <t>75.00K</t>
        </is>
      </c>
      <c r="F1574" s="0" t="inlineStr">
        <is>
          <t>(4,</t>
        </is>
      </c>
      <c r="G1574" s="0" t="inlineStr">
        <is>
          <t>3)</t>
        </is>
      </c>
      <c r="K1574" s="0">
        <f>IF(H1573="1)",1,IF(H1573="2)",2,IF(H1573="3)",3,IF(H1573="4)",4,IF(H1573="5)",5,IF(H1573="6)",6,IF(H1573="7)",7,IF(H1573="8)",8,0))))))))</f>
        <v/>
      </c>
      <c r="L1574" s="0">
        <f>IF(H1573="1)",J1573,IF(H1573="2)",J1573,IF(H1573="3)",J1573,IF(H1573="4)",J1573,IF(H1573="5)",J1573,IF(H1573="6)",J1573,IF(H1573="7)",J1573,IF(H1573="8)",J1573,0))))))))</f>
        <v/>
      </c>
    </row>
    <row r="1575">
      <c r="A1575" s="0" t="inlineStr">
        <is>
          <t>New</t>
        </is>
      </c>
      <c r="B1575" s="0" t="inlineStr">
        <is>
          <t>Item</t>
        </is>
      </c>
      <c r="C1575" s="0" t="inlineStr">
        <is>
          <t>Acquired</t>
        </is>
      </c>
      <c r="D1575" s="0" t="inlineStr">
        <is>
          <t>:</t>
        </is>
      </c>
      <c r="E1575" s="0" t="inlineStr">
        <is>
          <t>37.50K</t>
        </is>
      </c>
      <c r="F1575" s="0" t="inlineStr">
        <is>
          <t>(2,</t>
        </is>
      </c>
      <c r="G1575" s="0" t="inlineStr">
        <is>
          <t>18)</t>
        </is>
      </c>
      <c r="K1575" s="0">
        <f>IF(H1574="1)",1,IF(H1574="2)",2,IF(H1574="3)",3,IF(H1574="4)",4,IF(H1574="5)",5,IF(H1574="6)",6,IF(H1574="7)",7,IF(H1574="8)",8,0))))))))</f>
        <v/>
      </c>
      <c r="L1575" s="0">
        <f>IF(H1574="1)",J1574,IF(H1574="2)",J1574,IF(H1574="3)",J1574,IF(H1574="4)",J1574,IF(H1574="5)",J1574,IF(H1574="6)",J1574,IF(H1574="7)",J1574,IF(H1574="8)",J1574,0))))))))</f>
        <v/>
      </c>
    </row>
    <row r="1576">
      <c r="A1576" s="0" t="inlineStr">
        <is>
          <t>New</t>
        </is>
      </c>
      <c r="B1576" s="0" t="inlineStr">
        <is>
          <t>Item</t>
        </is>
      </c>
      <c r="C1576" s="0" t="inlineStr">
        <is>
          <t>Acquired</t>
        </is>
      </c>
      <c r="D1576" s="0" t="inlineStr">
        <is>
          <t>:</t>
        </is>
      </c>
      <c r="E1576" s="0" t="inlineStr">
        <is>
          <t>75.00K</t>
        </is>
      </c>
      <c r="F1576" s="0" t="inlineStr">
        <is>
          <t>(6,</t>
        </is>
      </c>
      <c r="G1576" s="0" t="inlineStr">
        <is>
          <t>16)</t>
        </is>
      </c>
      <c r="K1576" s="0">
        <f>IF(H1575="1)",1,IF(H1575="2)",2,IF(H1575="3)",3,IF(H1575="4)",4,IF(H1575="5)",5,IF(H1575="6)",6,IF(H1575="7)",7,IF(H1575="8)",8,0))))))))</f>
        <v/>
      </c>
      <c r="L1576" s="0">
        <f>IF(H1575="1)",J1575,IF(H1575="2)",J1575,IF(H1575="3)",J1575,IF(H1575="4)",J1575,IF(H1575="5)",J1575,IF(H1575="6)",J1575,IF(H1575="7)",J1575,IF(H1575="8)",J1575,0))))))))</f>
        <v/>
      </c>
    </row>
    <row r="1577">
      <c r="A1577" s="0" t="inlineStr">
        <is>
          <t>New</t>
        </is>
      </c>
      <c r="B1577" s="0" t="inlineStr">
        <is>
          <t>Item</t>
        </is>
      </c>
      <c r="C1577" s="0" t="inlineStr">
        <is>
          <t>Acquired</t>
        </is>
      </c>
      <c r="D1577" s="0" t="inlineStr">
        <is>
          <t>:</t>
        </is>
      </c>
      <c r="E1577" s="0" t="inlineStr">
        <is>
          <t>Minor</t>
        </is>
      </c>
      <c r="F1577" s="0" t="inlineStr">
        <is>
          <t>(7,</t>
        </is>
      </c>
      <c r="G1577" s="0" t="inlineStr">
        <is>
          <t>7)</t>
        </is>
      </c>
      <c r="K1577" s="0">
        <f>IF(H1576="1)",1,IF(H1576="2)",2,IF(H1576="3)",3,IF(H1576="4)",4,IF(H1576="5)",5,IF(H1576="6)",6,IF(H1576="7)",7,IF(H1576="8)",8,0))))))))</f>
        <v/>
      </c>
      <c r="L1577" s="0">
        <f>IF(H1576="1)",J1576,IF(H1576="2)",J1576,IF(H1576="3)",J1576,IF(H1576="4)",J1576,IF(H1576="5)",J1576,IF(H1576="6)",J1576,IF(H1576="7)",J1576,IF(H1576="8)",J1576,0))))))))</f>
        <v/>
      </c>
    </row>
    <row r="1578">
      <c r="A1578" s="0" t="inlineStr">
        <is>
          <t>New</t>
        </is>
      </c>
      <c r="B1578" s="0" t="inlineStr">
        <is>
          <t>Item</t>
        </is>
      </c>
      <c r="C1578" s="0" t="inlineStr">
        <is>
          <t>Acquired</t>
        </is>
      </c>
      <c r="D1578" s="0" t="inlineStr">
        <is>
          <t>:</t>
        </is>
      </c>
      <c r="E1578" s="0" t="inlineStr">
        <is>
          <t>62.50K</t>
        </is>
      </c>
      <c r="F1578" s="0" t="inlineStr">
        <is>
          <t>(2,</t>
        </is>
      </c>
      <c r="G1578" s="0" t="inlineStr">
        <is>
          <t>10)</t>
        </is>
      </c>
      <c r="K1578" s="0">
        <f>IF(H1577="1)",1,IF(H1577="2)",2,IF(H1577="3)",3,IF(H1577="4)",4,IF(H1577="5)",5,IF(H1577="6)",6,IF(H1577="7)",7,IF(H1577="8)",8,0))))))))</f>
        <v/>
      </c>
      <c r="L1578" s="0">
        <f>IF(H1577="1)",J1577,IF(H1577="2)",J1577,IF(H1577="3)",J1577,IF(H1577="4)",J1577,IF(H1577="5)",J1577,IF(H1577="6)",J1577,IF(H1577="7)",J1577,IF(H1577="8)",J1577,0))))))))</f>
        <v/>
      </c>
    </row>
    <row r="1579">
      <c r="A1579" s="0" t="inlineStr">
        <is>
          <t>Item</t>
        </is>
      </c>
      <c r="B1579" s="0" t="inlineStr">
        <is>
          <t>ReSelect</t>
        </is>
      </c>
      <c r="C1579" s="0" t="inlineStr">
        <is>
          <t>Failed</t>
        </is>
      </c>
      <c r="D1579" s="0" t="inlineStr">
        <is>
          <t>:</t>
        </is>
      </c>
      <c r="E1579" s="0" t="inlineStr">
        <is>
          <t>Attempt</t>
        </is>
      </c>
      <c r="F1579" s="0" t="inlineStr">
        <is>
          <t>Count</t>
        </is>
      </c>
      <c r="G1579" s="0" t="inlineStr">
        <is>
          <t>-</t>
        </is>
      </c>
      <c r="H1579" s="0" t="n">
        <v>3</v>
      </c>
      <c r="K1579" s="0">
        <f>IF(H1578="1)",1,IF(H1578="2)",2,IF(H1578="3)",3,IF(H1578="4)",4,IF(H1578="5)",5,IF(H1578="6)",6,IF(H1578="7)",7,IF(H1578="8)",8,0))))))))</f>
        <v/>
      </c>
      <c r="L1579" s="0">
        <f>IF(H1578="1)",J1578,IF(H1578="2)",J1578,IF(H1578="3)",J1578,IF(H1578="4)",J1578,IF(H1578="5)",J1578,IF(H1578="6)",J1578,IF(H1578="7)",J1578,IF(H1578="8)",J1578,0))))))))</f>
        <v/>
      </c>
    </row>
    <row r="1580">
      <c r="A1580" s="0" t="inlineStr">
        <is>
          <t>New</t>
        </is>
      </c>
      <c r="B1580" s="0" t="inlineStr">
        <is>
          <t>Item</t>
        </is>
      </c>
      <c r="C1580" s="0" t="inlineStr">
        <is>
          <t>Acquired</t>
        </is>
      </c>
      <c r="D1580" s="0" t="inlineStr">
        <is>
          <t>:</t>
        </is>
      </c>
      <c r="E1580" s="0" t="inlineStr">
        <is>
          <t>90.00K</t>
        </is>
      </c>
      <c r="F1580" s="0" t="inlineStr">
        <is>
          <t>(7,</t>
        </is>
      </c>
      <c r="G1580" s="0" t="inlineStr">
        <is>
          <t>11)</t>
        </is>
      </c>
      <c r="K1580" s="0">
        <f>IF(H1579="1)",1,IF(H1579="2)",2,IF(H1579="3)",3,IF(H1579="4)",4,IF(H1579="5)",5,IF(H1579="6)",6,IF(H1579="7)",7,IF(H1579="8)",8,0))))))))</f>
        <v/>
      </c>
      <c r="L1580" s="0">
        <f>IF(H1579="1)",J1579,IF(H1579="2)",J1579,IF(H1579="3)",J1579,IF(H1579="4)",J1579,IF(H1579="5)",J1579,IF(H1579="6)",J1579,IF(H1579="7)",J1579,IF(H1579="8)",J1579,0))))))))</f>
        <v/>
      </c>
    </row>
    <row r="1581">
      <c r="A1581" s="0" t="inlineStr">
        <is>
          <t>New</t>
        </is>
      </c>
      <c r="B1581" s="0" t="inlineStr">
        <is>
          <t>Item</t>
        </is>
      </c>
      <c r="C1581" s="0" t="inlineStr">
        <is>
          <t>Acquired</t>
        </is>
      </c>
      <c r="D1581" s="0" t="inlineStr">
        <is>
          <t>:</t>
        </is>
      </c>
      <c r="E1581" s="0" t="inlineStr">
        <is>
          <t>30.00K</t>
        </is>
      </c>
      <c r="F1581" s="0" t="inlineStr">
        <is>
          <t>(1,</t>
        </is>
      </c>
      <c r="G1581" s="0" t="inlineStr">
        <is>
          <t>11)</t>
        </is>
      </c>
      <c r="K1581" s="0">
        <f>IF(H1580="1)",1,IF(H1580="2)",2,IF(H1580="3)",3,IF(H1580="4)",4,IF(H1580="5)",5,IF(H1580="6)",6,IF(H1580="7)",7,IF(H1580="8)",8,0))))))))</f>
        <v/>
      </c>
      <c r="L1581" s="0">
        <f>IF(H1580="1)",J1580,IF(H1580="2)",J1580,IF(H1580="3)",J1580,IF(H1580="4)",J1580,IF(H1580="5)",J1580,IF(H1580="6)",J1580,IF(H1580="7)",J1580,IF(H1580="8)",J1580,0))))))))</f>
        <v/>
      </c>
    </row>
    <row r="1582">
      <c r="A1582" s="0" t="inlineStr">
        <is>
          <t>New</t>
        </is>
      </c>
      <c r="B1582" s="0" t="inlineStr">
        <is>
          <t>Item</t>
        </is>
      </c>
      <c r="C1582" s="0" t="inlineStr">
        <is>
          <t>Acquired</t>
        </is>
      </c>
      <c r="D1582" s="0" t="inlineStr">
        <is>
          <t>:</t>
        </is>
      </c>
      <c r="E1582" s="0" t="inlineStr">
        <is>
          <t>Minor</t>
        </is>
      </c>
      <c r="F1582" s="0" t="inlineStr">
        <is>
          <t>(2,</t>
        </is>
      </c>
      <c r="G1582" s="0" t="inlineStr">
        <is>
          <t>4)</t>
        </is>
      </c>
      <c r="K1582" s="0">
        <f>IF(H1581="1)",1,IF(H1581="2)",2,IF(H1581="3)",3,IF(H1581="4)",4,IF(H1581="5)",5,IF(H1581="6)",6,IF(H1581="7)",7,IF(H1581="8)",8,0))))))))</f>
        <v/>
      </c>
      <c r="L1582" s="0">
        <f>IF(H1581="1)",J1581,IF(H1581="2)",J1581,IF(H1581="3)",J1581,IF(H1581="4)",J1581,IF(H1581="5)",J1581,IF(H1581="6)",J1581,IF(H1581="7)",J1581,IF(H1581="8)",J1581,0))))))))</f>
        <v/>
      </c>
    </row>
    <row r="1583">
      <c r="A1583" s="0" t="inlineStr">
        <is>
          <t>New</t>
        </is>
      </c>
      <c r="B1583" s="0" t="inlineStr">
        <is>
          <t>Item</t>
        </is>
      </c>
      <c r="C1583" s="0" t="inlineStr">
        <is>
          <t>Acquired</t>
        </is>
      </c>
      <c r="D1583" s="0" t="inlineStr">
        <is>
          <t>:</t>
        </is>
      </c>
      <c r="E1583" s="0" t="inlineStr">
        <is>
          <t>45.00K</t>
        </is>
      </c>
      <c r="F1583" s="0" t="inlineStr">
        <is>
          <t>(3,</t>
        </is>
      </c>
      <c r="G1583" s="0" t="inlineStr">
        <is>
          <t>15)</t>
        </is>
      </c>
      <c r="K1583" s="0">
        <f>IF(H1582="1)",1,IF(H1582="2)",2,IF(H1582="3)",3,IF(H1582="4)",4,IF(H1582="5)",5,IF(H1582="6)",6,IF(H1582="7)",7,IF(H1582="8)",8,0))))))))</f>
        <v/>
      </c>
      <c r="L1583" s="0">
        <f>IF(H1582="1)",J1582,IF(H1582="2)",J1582,IF(H1582="3)",J1582,IF(H1582="4)",J1582,IF(H1582="5)",J1582,IF(H1582="6)",J1582,IF(H1582="7)",J1582,IF(H1582="8)",J1582,0))))))))</f>
        <v/>
      </c>
    </row>
    <row r="1584">
      <c r="A1584" s="0" t="inlineStr">
        <is>
          <t>New</t>
        </is>
      </c>
      <c r="B1584" s="0" t="inlineStr">
        <is>
          <t>Item</t>
        </is>
      </c>
      <c r="C1584" s="0" t="inlineStr">
        <is>
          <t>Acquired</t>
        </is>
      </c>
      <c r="D1584" s="0" t="inlineStr">
        <is>
          <t>:</t>
        </is>
      </c>
      <c r="E1584" s="0" t="inlineStr">
        <is>
          <t>Mini</t>
        </is>
      </c>
      <c r="F1584" s="0" t="inlineStr">
        <is>
          <t>(7,</t>
        </is>
      </c>
      <c r="G1584" s="0" t="inlineStr">
        <is>
          <t>20)</t>
        </is>
      </c>
      <c r="K1584" s="0">
        <f>IF(H1583="1)",1,IF(H1583="2)",2,IF(H1583="3)",3,IF(H1583="4)",4,IF(H1583="5)",5,IF(H1583="6)",6,IF(H1583="7)",7,IF(H1583="8)",8,0))))))))</f>
        <v/>
      </c>
      <c r="L1584" s="0">
        <f>IF(H1583="1)",J1583,IF(H1583="2)",J1583,IF(H1583="3)",J1583,IF(H1583="4)",J1583,IF(H1583="5)",J1583,IF(H1583="6)",J1583,IF(H1583="7)",J1583,IF(H1583="8)",J1583,0))))))))</f>
        <v/>
      </c>
    </row>
    <row r="1585">
      <c r="A1585" s="0" t="inlineStr">
        <is>
          <t>New</t>
        </is>
      </c>
      <c r="B1585" s="0" t="inlineStr">
        <is>
          <t>Item</t>
        </is>
      </c>
      <c r="C1585" s="0" t="inlineStr">
        <is>
          <t>Acquired</t>
        </is>
      </c>
      <c r="D1585" s="0" t="inlineStr">
        <is>
          <t>:</t>
        </is>
      </c>
      <c r="E1585" s="0" t="inlineStr">
        <is>
          <t>75.00K</t>
        </is>
      </c>
      <c r="F1585" s="0" t="inlineStr">
        <is>
          <t>(6,</t>
        </is>
      </c>
      <c r="G1585" s="0" t="inlineStr">
        <is>
          <t>7)</t>
        </is>
      </c>
      <c r="K1585" s="0">
        <f>IF(H1584="1)",1,IF(H1584="2)",2,IF(H1584="3)",3,IF(H1584="4)",4,IF(H1584="5)",5,IF(H1584="6)",6,IF(H1584="7)",7,IF(H1584="8)",8,0))))))))</f>
        <v/>
      </c>
      <c r="L1585" s="0">
        <f>IF(H1584="1)",J1584,IF(H1584="2)",J1584,IF(H1584="3)",J1584,IF(H1584="4)",J1584,IF(H1584="5)",J1584,IF(H1584="6)",J1584,IF(H1584="7)",J1584,IF(H1584="8)",J1584,0))))))))</f>
        <v/>
      </c>
    </row>
    <row r="1586">
      <c r="A1586" s="0" t="inlineStr">
        <is>
          <t>Line</t>
        </is>
      </c>
      <c r="B1586" s="0" t="inlineStr">
        <is>
          <t>Prize</t>
        </is>
      </c>
      <c r="C1586" s="0" t="inlineStr">
        <is>
          <t>Acquired</t>
        </is>
      </c>
      <c r="D1586" s="0" t="inlineStr">
        <is>
          <t>:</t>
        </is>
      </c>
      <c r="E1586" s="0" t="inlineStr">
        <is>
          <t>475.00K</t>
        </is>
      </c>
      <c r="F1586" s="0" t="inlineStr">
        <is>
          <t>(Stage</t>
        </is>
      </c>
      <c r="G1586" s="0" t="inlineStr">
        <is>
          <t>:</t>
        </is>
      </c>
      <c r="H1586" s="0" t="inlineStr">
        <is>
          <t>6)</t>
        </is>
      </c>
      <c r="I1586" s="0" t="inlineStr">
        <is>
          <t>-</t>
        </is>
      </c>
      <c r="J1586" s="0" t="n">
        <v>475000</v>
      </c>
      <c r="K1586" s="0">
        <f>IF(H1585="1)",1,IF(H1585="2)",2,IF(H1585="3)",3,IF(H1585="4)",4,IF(H1585="5)",5,IF(H1585="6)",6,IF(H1585="7)",7,IF(H1585="8)",8,0))))))))</f>
        <v/>
      </c>
      <c r="L1586" s="0">
        <f>IF(H1585="1)",J1585,IF(H1585="2)",J1585,IF(H1585="3)",J1585,IF(H1585="4)",J1585,IF(H1585="5)",J1585,IF(H1585="6)",J1585,IF(H1585="7)",J1585,IF(H1585="8)",J1585,0))))))))</f>
        <v/>
      </c>
    </row>
    <row r="1587">
      <c r="A1587" s="0" t="inlineStr">
        <is>
          <t>Line</t>
        </is>
      </c>
      <c r="B1587" s="0" t="inlineStr">
        <is>
          <t>Prize</t>
        </is>
      </c>
      <c r="C1587" s="0" t="inlineStr">
        <is>
          <t>Acquired</t>
        </is>
      </c>
      <c r="D1587" s="0" t="inlineStr">
        <is>
          <t>:</t>
        </is>
      </c>
      <c r="E1587" s="0" t="inlineStr">
        <is>
          <t>475.00K</t>
        </is>
      </c>
      <c r="F1587" s="0" t="inlineStr">
        <is>
          <t>(Stage</t>
        </is>
      </c>
      <c r="G1587" s="0" t="inlineStr">
        <is>
          <t>:</t>
        </is>
      </c>
      <c r="H1587" s="0" t="inlineStr">
        <is>
          <t>6)</t>
        </is>
      </c>
      <c r="I1587" s="0" t="inlineStr">
        <is>
          <t>-</t>
        </is>
      </c>
      <c r="J1587" s="0" t="n">
        <v>475000</v>
      </c>
      <c r="K1587" s="0">
        <f>IF(H1586="1)",1,IF(H1586="2)",2,IF(H1586="3)",3,IF(H1586="4)",4,IF(H1586="5)",5,IF(H1586="6)",6,IF(H1586="7)",7,IF(H1586="8)",8,0))))))))</f>
        <v/>
      </c>
      <c r="L1587" s="0">
        <f>IF(H1586="1)",J1586,IF(H1586="2)",J1586,IF(H1586="3)",J1586,IF(H1586="4)",J1586,IF(H1586="5)",J1586,IF(H1586="6)",J1586,IF(H1586="7)",J1586,IF(H1586="8)",J1586,0))))))))</f>
        <v/>
      </c>
    </row>
    <row r="1588">
      <c r="A1588" s="0" t="inlineStr">
        <is>
          <t>Clear</t>
        </is>
      </c>
      <c r="B1588" s="0" t="inlineStr">
        <is>
          <t>Gem</t>
        </is>
      </c>
      <c r="C1588" s="0" t="inlineStr">
        <is>
          <t>Acquired</t>
        </is>
      </c>
      <c r="D1588" s="0" t="inlineStr">
        <is>
          <t>:</t>
        </is>
      </c>
      <c r="E1588" s="0" t="n">
        <v>9500</v>
      </c>
      <c r="F1588" s="0" t="inlineStr">
        <is>
          <t>-&gt;</t>
        </is>
      </c>
      <c r="G1588" s="0" t="n">
        <v>9600</v>
      </c>
      <c r="H1588" s="0" t="inlineStr">
        <is>
          <t>(Stage</t>
        </is>
      </c>
      <c r="I1588" s="0" t="inlineStr">
        <is>
          <t>:</t>
        </is>
      </c>
      <c r="J1588" s="0" t="inlineStr">
        <is>
          <t>6)</t>
        </is>
      </c>
      <c r="K1588" s="0">
        <f>IF(H1587="1)",1,IF(H1587="2)",2,IF(H1587="3)",3,IF(H1587="4)",4,IF(H1587="5)",5,IF(H1587="6)",6,IF(H1587="7)",7,IF(H1587="8)",8,0))))))))</f>
        <v/>
      </c>
      <c r="L1588" s="0">
        <f>IF(H1587="1)",J1587,IF(H1587="2)",J1587,IF(H1587="3)",J1587,IF(H1587="4)",J1587,IF(H1587="5)",J1587,IF(H1587="6)",J1587,IF(H1587="7)",J1587,IF(H1587="8)",J1587,0))))))))</f>
        <v/>
      </c>
    </row>
    <row r="1589">
      <c r="A1589" s="0" t="inlineStr">
        <is>
          <t>New</t>
        </is>
      </c>
      <c r="B1589" s="0" t="inlineStr">
        <is>
          <t>Item</t>
        </is>
      </c>
      <c r="C1589" s="0" t="inlineStr">
        <is>
          <t>Acquired</t>
        </is>
      </c>
      <c r="D1589" s="0" t="inlineStr">
        <is>
          <t>:</t>
        </is>
      </c>
      <c r="E1589" s="0" t="inlineStr">
        <is>
          <t>125.00K</t>
        </is>
      </c>
      <c r="F1589" s="0" t="inlineStr">
        <is>
          <t>(6,</t>
        </is>
      </c>
      <c r="G1589" s="0" t="inlineStr">
        <is>
          <t>3)</t>
        </is>
      </c>
      <c r="K1589" s="0">
        <f>IF(H1588="1)",1,IF(H1588="2)",2,IF(H1588="3)",3,IF(H1588="4)",4,IF(H1588="5)",5,IF(H1588="6)",6,IF(H1588="7)",7,IF(H1588="8)",8,0))))))))</f>
        <v/>
      </c>
      <c r="L1589" s="0">
        <f>IF(H1588="1)",J1588,IF(H1588="2)",J1588,IF(H1588="3)",J1588,IF(H1588="4)",J1588,IF(H1588="5)",J1588,IF(H1588="6)",J1588,IF(H1588="7)",J1588,IF(H1588="8)",J1588,0))))))))</f>
        <v/>
      </c>
    </row>
    <row r="1590">
      <c r="A1590" s="0" t="inlineStr">
        <is>
          <t>New</t>
        </is>
      </c>
      <c r="B1590" s="0" t="inlineStr">
        <is>
          <t>Item</t>
        </is>
      </c>
      <c r="C1590" s="0" t="inlineStr">
        <is>
          <t>Acquired</t>
        </is>
      </c>
      <c r="D1590" s="0" t="inlineStr">
        <is>
          <t>:</t>
        </is>
      </c>
      <c r="E1590" s="0" t="inlineStr">
        <is>
          <t>75.00K</t>
        </is>
      </c>
      <c r="F1590" s="0" t="inlineStr">
        <is>
          <t>(6,</t>
        </is>
      </c>
      <c r="G1590" s="0" t="inlineStr">
        <is>
          <t>23)</t>
        </is>
      </c>
      <c r="K1590" s="0">
        <f>IF(H1589="1)",1,IF(H1589="2)",2,IF(H1589="3)",3,IF(H1589="4)",4,IF(H1589="5)",5,IF(H1589="6)",6,IF(H1589="7)",7,IF(H1589="8)",8,0))))))))</f>
        <v/>
      </c>
      <c r="L1590" s="0">
        <f>IF(H1589="1)",J1589,IF(H1589="2)",J1589,IF(H1589="3)",J1589,IF(H1589="4)",J1589,IF(H1589="5)",J1589,IF(H1589="6)",J1589,IF(H1589="7)",J1589,IF(H1589="8)",J1589,0))))))))</f>
        <v/>
      </c>
    </row>
    <row r="1591">
      <c r="A1591" s="0" t="inlineStr">
        <is>
          <t>New</t>
        </is>
      </c>
      <c r="B1591" s="0" t="inlineStr">
        <is>
          <t>Item</t>
        </is>
      </c>
      <c r="C1591" s="0" t="inlineStr">
        <is>
          <t>Acquired</t>
        </is>
      </c>
      <c r="D1591" s="0" t="inlineStr">
        <is>
          <t>:</t>
        </is>
      </c>
      <c r="E1591" s="0" t="inlineStr">
        <is>
          <t>75.00K</t>
        </is>
      </c>
      <c r="F1591" s="0" t="inlineStr">
        <is>
          <t>(6,</t>
        </is>
      </c>
      <c r="G1591" s="0" t="inlineStr">
        <is>
          <t>20)</t>
        </is>
      </c>
      <c r="K1591" s="0">
        <f>IF(H1590="1)",1,IF(H1590="2)",2,IF(H1590="3)",3,IF(H1590="4)",4,IF(H1590="5)",5,IF(H1590="6)",6,IF(H1590="7)",7,IF(H1590="8)",8,0))))))))</f>
        <v/>
      </c>
      <c r="L1591" s="0">
        <f>IF(H1590="1)",J1590,IF(H1590="2)",J1590,IF(H1590="3)",J1590,IF(H1590="4)",J1590,IF(H1590="5)",J1590,IF(H1590="6)",J1590,IF(H1590="7)",J1590,IF(H1590="8)",J1590,0))))))))</f>
        <v/>
      </c>
    </row>
    <row r="1592">
      <c r="A1592" s="0" t="inlineStr">
        <is>
          <t>New</t>
        </is>
      </c>
      <c r="B1592" s="0" t="inlineStr">
        <is>
          <t>Item</t>
        </is>
      </c>
      <c r="C1592" s="0" t="inlineStr">
        <is>
          <t>Acquired</t>
        </is>
      </c>
      <c r="D1592" s="0" t="inlineStr">
        <is>
          <t>:</t>
        </is>
      </c>
      <c r="E1592" s="0" t="inlineStr">
        <is>
          <t>37.50K</t>
        </is>
      </c>
      <c r="F1592" s="0" t="inlineStr">
        <is>
          <t>(2,</t>
        </is>
      </c>
      <c r="G1592" s="0" t="inlineStr">
        <is>
          <t>20)</t>
        </is>
      </c>
      <c r="K1592" s="0">
        <f>IF(H1591="1)",1,IF(H1591="2)",2,IF(H1591="3)",3,IF(H1591="4)",4,IF(H1591="5)",5,IF(H1591="6)",6,IF(H1591="7)",7,IF(H1591="8)",8,0))))))))</f>
        <v/>
      </c>
      <c r="L1592" s="0">
        <f>IF(H1591="1)",J1591,IF(H1591="2)",J1591,IF(H1591="3)",J1591,IF(H1591="4)",J1591,IF(H1591="5)",J1591,IF(H1591="6)",J1591,IF(H1591="7)",J1591,IF(H1591="8)",J1591,0))))))))</f>
        <v/>
      </c>
    </row>
    <row r="1593">
      <c r="A1593" s="0" t="inlineStr">
        <is>
          <t>New</t>
        </is>
      </c>
      <c r="B1593" s="0" t="inlineStr">
        <is>
          <t>Item</t>
        </is>
      </c>
      <c r="C1593" s="0" t="inlineStr">
        <is>
          <t>Acquired</t>
        </is>
      </c>
      <c r="D1593" s="0" t="inlineStr">
        <is>
          <t>:</t>
        </is>
      </c>
      <c r="E1593" s="0" t="inlineStr">
        <is>
          <t>112.50K</t>
        </is>
      </c>
      <c r="F1593" s="0" t="inlineStr">
        <is>
          <t>(5,</t>
        </is>
      </c>
      <c r="G1593" s="0" t="inlineStr">
        <is>
          <t>24)</t>
        </is>
      </c>
      <c r="K1593" s="0">
        <f>IF(H1592="1)",1,IF(H1592="2)",2,IF(H1592="3)",3,IF(H1592="4)",4,IF(H1592="5)",5,IF(H1592="6)",6,IF(H1592="7)",7,IF(H1592="8)",8,0))))))))</f>
        <v/>
      </c>
      <c r="L1593" s="0">
        <f>IF(H1592="1)",J1592,IF(H1592="2)",J1592,IF(H1592="3)",J1592,IF(H1592="4)",J1592,IF(H1592="5)",J1592,IF(H1592="6)",J1592,IF(H1592="7)",J1592,IF(H1592="8)",J1592,0))))))))</f>
        <v/>
      </c>
    </row>
    <row r="1594">
      <c r="A1594" s="0" t="inlineStr">
        <is>
          <t>New</t>
        </is>
      </c>
      <c r="B1594" s="0" t="inlineStr">
        <is>
          <t>Item</t>
        </is>
      </c>
      <c r="C1594" s="0" t="inlineStr">
        <is>
          <t>Acquired</t>
        </is>
      </c>
      <c r="D1594" s="0" t="inlineStr">
        <is>
          <t>:</t>
        </is>
      </c>
      <c r="E1594" s="0" t="inlineStr">
        <is>
          <t>75.00K</t>
        </is>
      </c>
      <c r="F1594" s="0" t="inlineStr">
        <is>
          <t>(4,</t>
        </is>
      </c>
      <c r="G1594" s="0" t="inlineStr">
        <is>
          <t>15)</t>
        </is>
      </c>
      <c r="K1594" s="0">
        <f>IF(H1593="1)",1,IF(H1593="2)",2,IF(H1593="3)",3,IF(H1593="4)",4,IF(H1593="5)",5,IF(H1593="6)",6,IF(H1593="7)",7,IF(H1593="8)",8,0))))))))</f>
        <v/>
      </c>
      <c r="L1594" s="0">
        <f>IF(H1593="1)",J1593,IF(H1593="2)",J1593,IF(H1593="3)",J1593,IF(H1593="4)",J1593,IF(H1593="5)",J1593,IF(H1593="6)",J1593,IF(H1593="7)",J1593,IF(H1593="8)",J1593,0))))))))</f>
        <v/>
      </c>
    </row>
    <row r="1595">
      <c r="A1595" s="0" t="inlineStr">
        <is>
          <t>New</t>
        </is>
      </c>
      <c r="B1595" s="0" t="inlineStr">
        <is>
          <t>Item</t>
        </is>
      </c>
      <c r="C1595" s="0" t="inlineStr">
        <is>
          <t>Acquired</t>
        </is>
      </c>
      <c r="D1595" s="0" t="inlineStr">
        <is>
          <t>:</t>
        </is>
      </c>
      <c r="E1595" s="0" t="inlineStr">
        <is>
          <t>45.00K</t>
        </is>
      </c>
      <c r="F1595" s="0" t="inlineStr">
        <is>
          <t>(3,</t>
        </is>
      </c>
      <c r="G1595" s="0" t="inlineStr">
        <is>
          <t>3)</t>
        </is>
      </c>
      <c r="K1595" s="0">
        <f>IF(H1594="1)",1,IF(H1594="2)",2,IF(H1594="3)",3,IF(H1594="4)",4,IF(H1594="5)",5,IF(H1594="6)",6,IF(H1594="7)",7,IF(H1594="8)",8,0))))))))</f>
        <v/>
      </c>
      <c r="L1595" s="0">
        <f>IF(H1594="1)",J1594,IF(H1594="2)",J1594,IF(H1594="3)",J1594,IF(H1594="4)",J1594,IF(H1594="5)",J1594,IF(H1594="6)",J1594,IF(H1594="7)",J1594,IF(H1594="8)",J1594,0))))))))</f>
        <v/>
      </c>
    </row>
    <row r="1596">
      <c r="A1596" s="0" t="inlineStr">
        <is>
          <t>New</t>
        </is>
      </c>
      <c r="B1596" s="0" t="inlineStr">
        <is>
          <t>Item</t>
        </is>
      </c>
      <c r="C1596" s="0" t="inlineStr">
        <is>
          <t>Acquired</t>
        </is>
      </c>
      <c r="D1596" s="0" t="inlineStr">
        <is>
          <t>:</t>
        </is>
      </c>
      <c r="E1596" s="0" t="inlineStr">
        <is>
          <t>45.00K</t>
        </is>
      </c>
      <c r="F1596" s="0" t="inlineStr">
        <is>
          <t>(3,</t>
        </is>
      </c>
      <c r="G1596" s="0" t="inlineStr">
        <is>
          <t>6)</t>
        </is>
      </c>
      <c r="K1596" s="0">
        <f>IF(H1595="1)",1,IF(H1595="2)",2,IF(H1595="3)",3,IF(H1595="4)",4,IF(H1595="5)",5,IF(H1595="6)",6,IF(H1595="7)",7,IF(H1595="8)",8,0))))))))</f>
        <v/>
      </c>
      <c r="L1596" s="0">
        <f>IF(H1595="1)",J1595,IF(H1595="2)",J1595,IF(H1595="3)",J1595,IF(H1595="4)",J1595,IF(H1595="5)",J1595,IF(H1595="6)",J1595,IF(H1595="7)",J1595,IF(H1595="8)",J1595,0))))))))</f>
        <v/>
      </c>
    </row>
    <row r="1597">
      <c r="A1597" s="0" t="inlineStr">
        <is>
          <t>New</t>
        </is>
      </c>
      <c r="B1597" s="0" t="inlineStr">
        <is>
          <t>Item</t>
        </is>
      </c>
      <c r="C1597" s="0" t="inlineStr">
        <is>
          <t>Acquired</t>
        </is>
      </c>
      <c r="D1597" s="0" t="inlineStr">
        <is>
          <t>:</t>
        </is>
      </c>
      <c r="E1597" s="0" t="inlineStr">
        <is>
          <t>200.00K</t>
        </is>
      </c>
      <c r="F1597" s="0" t="inlineStr">
        <is>
          <t>(8,</t>
        </is>
      </c>
      <c r="G1597" s="0" t="inlineStr">
        <is>
          <t>12)</t>
        </is>
      </c>
      <c r="K1597" s="0">
        <f>IF(H1596="1)",1,IF(H1596="2)",2,IF(H1596="3)",3,IF(H1596="4)",4,IF(H1596="5)",5,IF(H1596="6)",6,IF(H1596="7)",7,IF(H1596="8)",8,0))))))))</f>
        <v/>
      </c>
      <c r="L1597" s="0">
        <f>IF(H1596="1)",J1596,IF(H1596="2)",J1596,IF(H1596="3)",J1596,IF(H1596="4)",J1596,IF(H1596="5)",J1596,IF(H1596="6)",J1596,IF(H1596="7)",J1596,IF(H1596="8)",J1596,0))))))))</f>
        <v/>
      </c>
    </row>
    <row r="1598">
      <c r="A1598" s="0" t="inlineStr">
        <is>
          <t>New</t>
        </is>
      </c>
      <c r="B1598" s="0" t="inlineStr">
        <is>
          <t>Item</t>
        </is>
      </c>
      <c r="C1598" s="0" t="inlineStr">
        <is>
          <t>Acquired</t>
        </is>
      </c>
      <c r="D1598" s="0" t="inlineStr">
        <is>
          <t>:</t>
        </is>
      </c>
      <c r="E1598" s="0" t="inlineStr">
        <is>
          <t>200.00K</t>
        </is>
      </c>
      <c r="F1598" s="0" t="inlineStr">
        <is>
          <t>(8,</t>
        </is>
      </c>
      <c r="G1598" s="0" t="inlineStr">
        <is>
          <t>3)</t>
        </is>
      </c>
      <c r="K1598" s="0">
        <f>IF(H1597="1)",1,IF(H1597="2)",2,IF(H1597="3)",3,IF(H1597="4)",4,IF(H1597="5)",5,IF(H1597="6)",6,IF(H1597="7)",7,IF(H1597="8)",8,0))))))))</f>
        <v/>
      </c>
      <c r="L1598" s="0">
        <f>IF(H1597="1)",J1597,IF(H1597="2)",J1597,IF(H1597="3)",J1597,IF(H1597="4)",J1597,IF(H1597="5)",J1597,IF(H1597="6)",J1597,IF(H1597="7)",J1597,IF(H1597="8)",J1597,0))))))))</f>
        <v/>
      </c>
    </row>
    <row r="1599">
      <c r="A1599" s="0" t="inlineStr">
        <is>
          <t>Line</t>
        </is>
      </c>
      <c r="B1599" s="0" t="inlineStr">
        <is>
          <t>Prize</t>
        </is>
      </c>
      <c r="C1599" s="0" t="inlineStr">
        <is>
          <t>Acquired</t>
        </is>
      </c>
      <c r="D1599" s="0" t="inlineStr">
        <is>
          <t>:</t>
        </is>
      </c>
      <c r="E1599" s="0" t="inlineStr">
        <is>
          <t>6.20M</t>
        </is>
      </c>
      <c r="F1599" s="0" t="inlineStr">
        <is>
          <t>(Stage</t>
        </is>
      </c>
      <c r="G1599" s="0" t="inlineStr">
        <is>
          <t>:</t>
        </is>
      </c>
      <c r="H1599" s="0" t="inlineStr">
        <is>
          <t>8)</t>
        </is>
      </c>
      <c r="I1599" s="0" t="inlineStr">
        <is>
          <t>-</t>
        </is>
      </c>
      <c r="J1599" s="0" t="n">
        <v>6200000</v>
      </c>
      <c r="K1599" s="0">
        <f>IF(H1598="1)",1,IF(H1598="2)",2,IF(H1598="3)",3,IF(H1598="4)",4,IF(H1598="5)",5,IF(H1598="6)",6,IF(H1598="7)",7,IF(H1598="8)",8,0))))))))</f>
        <v/>
      </c>
      <c r="L1599" s="0">
        <f>IF(H1598="1)",J1598,IF(H1598="2)",J1598,IF(H1598="3)",J1598,IF(H1598="4)",J1598,IF(H1598="5)",J1598,IF(H1598="6)",J1598,IF(H1598="7)",J1598,IF(H1598="8)",J1598,0))))))))</f>
        <v/>
      </c>
    </row>
    <row r="1600">
      <c r="A1600" s="0" t="inlineStr">
        <is>
          <t>Clear</t>
        </is>
      </c>
      <c r="B1600" s="0" t="inlineStr">
        <is>
          <t>Gem</t>
        </is>
      </c>
      <c r="C1600" s="0" t="inlineStr">
        <is>
          <t>Acquired</t>
        </is>
      </c>
      <c r="D1600" s="0" t="inlineStr">
        <is>
          <t>:</t>
        </is>
      </c>
      <c r="E1600" s="0" t="n">
        <v>9600</v>
      </c>
      <c r="F1600" s="0" t="inlineStr">
        <is>
          <t>-&gt;</t>
        </is>
      </c>
      <c r="G1600" s="0" t="n">
        <v>9700</v>
      </c>
      <c r="H1600" s="0" t="inlineStr">
        <is>
          <t>(Stage</t>
        </is>
      </c>
      <c r="I1600" s="0" t="inlineStr">
        <is>
          <t>:</t>
        </is>
      </c>
      <c r="J1600" s="0" t="inlineStr">
        <is>
          <t>8)</t>
        </is>
      </c>
      <c r="K1600" s="0">
        <f>IF(H1599="1)",1,IF(H1599="2)",2,IF(H1599="3)",3,IF(H1599="4)",4,IF(H1599="5)",5,IF(H1599="6)",6,IF(H1599="7)",7,IF(H1599="8)",8,0))))))))</f>
        <v/>
      </c>
      <c r="L1600" s="0">
        <f>IF(H1599="1)",J1599,IF(H1599="2)",J1599,IF(H1599="3)",J1599,IF(H1599="4)",J1599,IF(H1599="5)",J1599,IF(H1599="6)",J1599,IF(H1599="7)",J1599,IF(H1599="8)",J1599,0))))))))</f>
        <v/>
      </c>
    </row>
    <row r="1601">
      <c r="A1601" s="0" t="inlineStr">
        <is>
          <t>New</t>
        </is>
      </c>
      <c r="B1601" s="0" t="inlineStr">
        <is>
          <t>Item</t>
        </is>
      </c>
      <c r="C1601" s="0" t="inlineStr">
        <is>
          <t>Acquired</t>
        </is>
      </c>
      <c r="D1601" s="0" t="inlineStr">
        <is>
          <t>:</t>
        </is>
      </c>
      <c r="E1601" s="0" t="inlineStr">
        <is>
          <t>210.00K</t>
        </is>
      </c>
      <c r="F1601" s="0" t="inlineStr">
        <is>
          <t>(7,</t>
        </is>
      </c>
      <c r="G1601" s="0" t="inlineStr">
        <is>
          <t>23)</t>
        </is>
      </c>
      <c r="K1601" s="0">
        <f>IF(H1600="1)",1,IF(H1600="2)",2,IF(H1600="3)",3,IF(H1600="4)",4,IF(H1600="5)",5,IF(H1600="6)",6,IF(H1600="7)",7,IF(H1600="8)",8,0))))))))</f>
        <v/>
      </c>
      <c r="L1601" s="0">
        <f>IF(H1600="1)",J1600,IF(H1600="2)",J1600,IF(H1600="3)",J1600,IF(H1600="4)",J1600,IF(H1600="5)",J1600,IF(H1600="6)",J1600,IF(H1600="7)",J1600,IF(H1600="8)",J1600,0))))))))</f>
        <v/>
      </c>
    </row>
    <row r="1602">
      <c r="A1602" s="0" t="inlineStr">
        <is>
          <t>New</t>
        </is>
      </c>
      <c r="B1602" s="0" t="inlineStr">
        <is>
          <t>Item</t>
        </is>
      </c>
      <c r="C1602" s="0" t="inlineStr">
        <is>
          <t>Acquired</t>
        </is>
      </c>
      <c r="D1602" s="0" t="inlineStr">
        <is>
          <t>:</t>
        </is>
      </c>
      <c r="E1602" s="0" t="inlineStr">
        <is>
          <t>30.00K</t>
        </is>
      </c>
      <c r="F1602" s="0" t="inlineStr">
        <is>
          <t>(1,</t>
        </is>
      </c>
      <c r="G1602" s="0" t="inlineStr">
        <is>
          <t>15)</t>
        </is>
      </c>
      <c r="K1602" s="0">
        <f>IF(H1601="1)",1,IF(H1601="2)",2,IF(H1601="3)",3,IF(H1601="4)",4,IF(H1601="5)",5,IF(H1601="6)",6,IF(H1601="7)",7,IF(H1601="8)",8,0))))))))</f>
        <v/>
      </c>
      <c r="L1602" s="0">
        <f>IF(H1601="1)",J1601,IF(H1601="2)",J1601,IF(H1601="3)",J1601,IF(H1601="4)",J1601,IF(H1601="5)",J1601,IF(H1601="6)",J1601,IF(H1601="7)",J1601,IF(H1601="8)",J1601,0))))))))</f>
        <v/>
      </c>
    </row>
    <row r="1603">
      <c r="A1603" s="0" t="inlineStr">
        <is>
          <t>New</t>
        </is>
      </c>
      <c r="B1603" s="0" t="inlineStr">
        <is>
          <t>Item</t>
        </is>
      </c>
      <c r="C1603" s="0" t="inlineStr">
        <is>
          <t>Acquired</t>
        </is>
      </c>
      <c r="D1603" s="0" t="inlineStr">
        <is>
          <t>:</t>
        </is>
      </c>
      <c r="E1603" s="0" t="inlineStr">
        <is>
          <t>150.00K</t>
        </is>
      </c>
      <c r="F1603" s="0" t="inlineStr">
        <is>
          <t>(7,</t>
        </is>
      </c>
      <c r="G1603" s="0" t="inlineStr">
        <is>
          <t>16)</t>
        </is>
      </c>
      <c r="K1603" s="0">
        <f>IF(H1602="1)",1,IF(H1602="2)",2,IF(H1602="3)",3,IF(H1602="4)",4,IF(H1602="5)",5,IF(H1602="6)",6,IF(H1602="7)",7,IF(H1602="8)",8,0))))))))</f>
        <v/>
      </c>
      <c r="L1603" s="0">
        <f>IF(H1602="1)",J1602,IF(H1602="2)",J1602,IF(H1602="3)",J1602,IF(H1602="4)",J1602,IF(H1602="5)",J1602,IF(H1602="6)",J1602,IF(H1602="7)",J1602,IF(H1602="8)",J1602,0))))))))</f>
        <v/>
      </c>
    </row>
    <row r="1604">
      <c r="A1604" s="0" t="inlineStr">
        <is>
          <t>New</t>
        </is>
      </c>
      <c r="B1604" s="0" t="inlineStr">
        <is>
          <t>Item</t>
        </is>
      </c>
      <c r="C1604" s="0" t="inlineStr">
        <is>
          <t>Acquired</t>
        </is>
      </c>
      <c r="D1604" s="0" t="inlineStr">
        <is>
          <t>:</t>
        </is>
      </c>
      <c r="E1604" s="0" t="inlineStr">
        <is>
          <t>200.00K</t>
        </is>
      </c>
      <c r="F1604" s="0" t="inlineStr">
        <is>
          <t>(8,</t>
        </is>
      </c>
      <c r="G1604" s="0" t="inlineStr">
        <is>
          <t>25)</t>
        </is>
      </c>
      <c r="K1604" s="0">
        <f>IF(H1603="1)",1,IF(H1603="2)",2,IF(H1603="3)",3,IF(H1603="4)",4,IF(H1603="5)",5,IF(H1603="6)",6,IF(H1603="7)",7,IF(H1603="8)",8,0))))))))</f>
        <v/>
      </c>
      <c r="L1604" s="0">
        <f>IF(H1603="1)",J1603,IF(H1603="2)",J1603,IF(H1603="3)",J1603,IF(H1603="4)",J1603,IF(H1603="5)",J1603,IF(H1603="6)",J1603,IF(H1603="7)",J1603,IF(H1603="8)",J1603,0))))))))</f>
        <v/>
      </c>
    </row>
    <row r="1605">
      <c r="A1605" s="0" t="inlineStr">
        <is>
          <t>New</t>
        </is>
      </c>
      <c r="B1605" s="0" t="inlineStr">
        <is>
          <t>Item</t>
        </is>
      </c>
      <c r="C1605" s="0" t="inlineStr">
        <is>
          <t>Acquired</t>
        </is>
      </c>
      <c r="D1605" s="0" t="inlineStr">
        <is>
          <t>:</t>
        </is>
      </c>
      <c r="E1605" s="0" t="inlineStr">
        <is>
          <t>37.50K</t>
        </is>
      </c>
      <c r="F1605" s="0" t="inlineStr">
        <is>
          <t>(2,</t>
        </is>
      </c>
      <c r="G1605" s="0" t="inlineStr">
        <is>
          <t>17)</t>
        </is>
      </c>
      <c r="K1605" s="0">
        <f>IF(H1604="1)",1,IF(H1604="2)",2,IF(H1604="3)",3,IF(H1604="4)",4,IF(H1604="5)",5,IF(H1604="6)",6,IF(H1604="7)",7,IF(H1604="8)",8,0))))))))</f>
        <v/>
      </c>
      <c r="L1605" s="0">
        <f>IF(H1604="1)",J1604,IF(H1604="2)",J1604,IF(H1604="3)",J1604,IF(H1604="4)",J1604,IF(H1604="5)",J1604,IF(H1604="6)",J1604,IF(H1604="7)",J1604,IF(H1604="8)",J1604,0))))))))</f>
        <v/>
      </c>
    </row>
    <row r="1606">
      <c r="A1606" s="0" t="inlineStr">
        <is>
          <t>New</t>
        </is>
      </c>
      <c r="B1606" s="0" t="inlineStr">
        <is>
          <t>Item</t>
        </is>
      </c>
      <c r="C1606" s="0" t="inlineStr">
        <is>
          <t>Acquired</t>
        </is>
      </c>
      <c r="D1606" s="0" t="inlineStr">
        <is>
          <t>:</t>
        </is>
      </c>
      <c r="E1606" s="0" t="inlineStr">
        <is>
          <t>62.50K</t>
        </is>
      </c>
      <c r="F1606" s="0" t="inlineStr">
        <is>
          <t>(2,</t>
        </is>
      </c>
      <c r="G1606" s="0" t="inlineStr">
        <is>
          <t>25)</t>
        </is>
      </c>
      <c r="K1606" s="0">
        <f>IF(H1605="1)",1,IF(H1605="2)",2,IF(H1605="3)",3,IF(H1605="4)",4,IF(H1605="5)",5,IF(H1605="6)",6,IF(H1605="7)",7,IF(H1605="8)",8,0))))))))</f>
        <v/>
      </c>
      <c r="L1606" s="0">
        <f>IF(H1605="1)",J1605,IF(H1605="2)",J1605,IF(H1605="3)",J1605,IF(H1605="4)",J1605,IF(H1605="5)",J1605,IF(H1605="6)",J1605,IF(H1605="7)",J1605,IF(H1605="8)",J1605,0))))))))</f>
        <v/>
      </c>
    </row>
    <row r="1607">
      <c r="A1607" s="0" t="inlineStr">
        <is>
          <t>New</t>
        </is>
      </c>
      <c r="B1607" s="0" t="inlineStr">
        <is>
          <t>Item</t>
        </is>
      </c>
      <c r="C1607" s="0" t="inlineStr">
        <is>
          <t>Acquired</t>
        </is>
      </c>
      <c r="D1607" s="0" t="inlineStr">
        <is>
          <t>:</t>
        </is>
      </c>
      <c r="E1607" s="0" t="inlineStr">
        <is>
          <t>Minor</t>
        </is>
      </c>
      <c r="F1607" s="0" t="inlineStr">
        <is>
          <t>(2,</t>
        </is>
      </c>
      <c r="G1607" s="0" t="inlineStr">
        <is>
          <t>14)</t>
        </is>
      </c>
      <c r="K1607" s="0">
        <f>IF(H1606="1)",1,IF(H1606="2)",2,IF(H1606="3)",3,IF(H1606="4)",4,IF(H1606="5)",5,IF(H1606="6)",6,IF(H1606="7)",7,IF(H1606="8)",8,0))))))))</f>
        <v/>
      </c>
      <c r="L1607" s="0">
        <f>IF(H1606="1)",J1606,IF(H1606="2)",J1606,IF(H1606="3)",J1606,IF(H1606="4)",J1606,IF(H1606="5)",J1606,IF(H1606="6)",J1606,IF(H1606="7)",J1606,IF(H1606="8)",J1606,0))))))))</f>
        <v/>
      </c>
    </row>
    <row r="1608">
      <c r="A1608" s="0" t="inlineStr">
        <is>
          <t>New</t>
        </is>
      </c>
      <c r="B1608" s="0" t="inlineStr">
        <is>
          <t>Item</t>
        </is>
      </c>
      <c r="C1608" s="0" t="inlineStr">
        <is>
          <t>Acquired</t>
        </is>
      </c>
      <c r="D1608" s="0" t="inlineStr">
        <is>
          <t>:</t>
        </is>
      </c>
      <c r="E1608" s="0" t="inlineStr">
        <is>
          <t>62.50K</t>
        </is>
      </c>
      <c r="F1608" s="0" t="inlineStr">
        <is>
          <t>(2,</t>
        </is>
      </c>
      <c r="G1608" s="0" t="inlineStr">
        <is>
          <t>2)</t>
        </is>
      </c>
      <c r="K1608" s="0">
        <f>IF(H1607="1)",1,IF(H1607="2)",2,IF(H1607="3)",3,IF(H1607="4)",4,IF(H1607="5)",5,IF(H1607="6)",6,IF(H1607="7)",7,IF(H1607="8)",8,0))))))))</f>
        <v/>
      </c>
      <c r="L1608" s="0">
        <f>IF(H1607="1)",J1607,IF(H1607="2)",J1607,IF(H1607="3)",J1607,IF(H1607="4)",J1607,IF(H1607="5)",J1607,IF(H1607="6)",J1607,IF(H1607="7)",J1607,IF(H1607="8)",J1607,0))))))))</f>
        <v/>
      </c>
    </row>
    <row r="1609">
      <c r="A1609" s="0" t="inlineStr">
        <is>
          <t>New</t>
        </is>
      </c>
      <c r="B1609" s="0" t="inlineStr">
        <is>
          <t>Item</t>
        </is>
      </c>
      <c r="C1609" s="0" t="inlineStr">
        <is>
          <t>Acquired</t>
        </is>
      </c>
      <c r="D1609" s="0" t="inlineStr">
        <is>
          <t>:</t>
        </is>
      </c>
      <c r="E1609" s="0" t="inlineStr">
        <is>
          <t>Mini</t>
        </is>
      </c>
      <c r="F1609" s="0" t="inlineStr">
        <is>
          <t>(3,</t>
        </is>
      </c>
      <c r="G1609" s="0" t="inlineStr">
        <is>
          <t>4)</t>
        </is>
      </c>
      <c r="K1609" s="0">
        <f>IF(H1608="1)",1,IF(H1608="2)",2,IF(H1608="3)",3,IF(H1608="4)",4,IF(H1608="5)",5,IF(H1608="6)",6,IF(H1608="7)",7,IF(H1608="8)",8,0))))))))</f>
        <v/>
      </c>
      <c r="L1609" s="0">
        <f>IF(H1608="1)",J1608,IF(H1608="2)",J1608,IF(H1608="3)",J1608,IF(H1608="4)",J1608,IF(H1608="5)",J1608,IF(H1608="6)",J1608,IF(H1608="7)",J1608,IF(H1608="8)",J1608,0))))))))</f>
        <v/>
      </c>
    </row>
    <row r="1610">
      <c r="A1610" s="0" t="inlineStr">
        <is>
          <t>New</t>
        </is>
      </c>
      <c r="B1610" s="0" t="inlineStr">
        <is>
          <t>Item</t>
        </is>
      </c>
      <c r="C1610" s="0" t="inlineStr">
        <is>
          <t>Acquired</t>
        </is>
      </c>
      <c r="D1610" s="0" t="inlineStr">
        <is>
          <t>:</t>
        </is>
      </c>
      <c r="E1610" s="0" t="inlineStr">
        <is>
          <t>30.00K</t>
        </is>
      </c>
      <c r="F1610" s="0" t="inlineStr">
        <is>
          <t>(1,</t>
        </is>
      </c>
      <c r="G1610" s="0" t="inlineStr">
        <is>
          <t>2)</t>
        </is>
      </c>
      <c r="K1610" s="0">
        <f>IF(H1609="1)",1,IF(H1609="2)",2,IF(H1609="3)",3,IF(H1609="4)",4,IF(H1609="5)",5,IF(H1609="6)",6,IF(H1609="7)",7,IF(H1609="8)",8,0))))))))</f>
        <v/>
      </c>
      <c r="L1610" s="0">
        <f>IF(H1609="1)",J1609,IF(H1609="2)",J1609,IF(H1609="3)",J1609,IF(H1609="4)",J1609,IF(H1609="5)",J1609,IF(H1609="6)",J1609,IF(H1609="7)",J1609,IF(H1609="8)",J1609,0))))))))</f>
        <v/>
      </c>
    </row>
    <row r="1611">
      <c r="A1611" s="0" t="inlineStr">
        <is>
          <t>New</t>
        </is>
      </c>
      <c r="B1611" s="0" t="inlineStr">
        <is>
          <t>Item</t>
        </is>
      </c>
      <c r="C1611" s="0" t="inlineStr">
        <is>
          <t>Acquired</t>
        </is>
      </c>
      <c r="D1611" s="0" t="inlineStr">
        <is>
          <t>:</t>
        </is>
      </c>
      <c r="E1611" s="0" t="inlineStr">
        <is>
          <t>105.00K</t>
        </is>
      </c>
      <c r="F1611" s="0" t="inlineStr">
        <is>
          <t>(4,</t>
        </is>
      </c>
      <c r="G1611" s="0" t="inlineStr">
        <is>
          <t>18)</t>
        </is>
      </c>
      <c r="K1611" s="0">
        <f>IF(H1610="1)",1,IF(H1610="2)",2,IF(H1610="3)",3,IF(H1610="4)",4,IF(H1610="5)",5,IF(H1610="6)",6,IF(H1610="7)",7,IF(H1610="8)",8,0))))))))</f>
        <v/>
      </c>
      <c r="L1611" s="0">
        <f>IF(H1610="1)",J1610,IF(H1610="2)",J1610,IF(H1610="3)",J1610,IF(H1610="4)",J1610,IF(H1610="5)",J1610,IF(H1610="6)",J1610,IF(H1610="7)",J1610,IF(H1610="8)",J1610,0))))))))</f>
        <v/>
      </c>
    </row>
    <row r="1612">
      <c r="A1612" s="0" t="inlineStr">
        <is>
          <t>New</t>
        </is>
      </c>
      <c r="B1612" s="0" t="inlineStr">
        <is>
          <t>Item</t>
        </is>
      </c>
      <c r="C1612" s="0" t="inlineStr">
        <is>
          <t>Acquired</t>
        </is>
      </c>
      <c r="D1612" s="0" t="inlineStr">
        <is>
          <t>:</t>
        </is>
      </c>
      <c r="E1612" s="0" t="inlineStr">
        <is>
          <t>75.00K</t>
        </is>
      </c>
      <c r="F1612" s="0" t="inlineStr">
        <is>
          <t>(3,</t>
        </is>
      </c>
      <c r="G1612" s="0" t="inlineStr">
        <is>
          <t>16)</t>
        </is>
      </c>
      <c r="K1612" s="0">
        <f>IF(H1611="1)",1,IF(H1611="2)",2,IF(H1611="3)",3,IF(H1611="4)",4,IF(H1611="5)",5,IF(H1611="6)",6,IF(H1611="7)",7,IF(H1611="8)",8,0))))))))</f>
        <v/>
      </c>
      <c r="L1612" s="0">
        <f>IF(H1611="1)",J1611,IF(H1611="2)",J1611,IF(H1611="3)",J1611,IF(H1611="4)",J1611,IF(H1611="5)",J1611,IF(H1611="6)",J1611,IF(H1611="7)",J1611,IF(H1611="8)",J1611,0))))))))</f>
        <v/>
      </c>
    </row>
    <row r="1613">
      <c r="A1613" s="0" t="inlineStr">
        <is>
          <t>New</t>
        </is>
      </c>
      <c r="B1613" s="0" t="inlineStr">
        <is>
          <t>Item</t>
        </is>
      </c>
      <c r="C1613" s="0" t="inlineStr">
        <is>
          <t>Acquired</t>
        </is>
      </c>
      <c r="D1613" s="0" t="inlineStr">
        <is>
          <t>:</t>
        </is>
      </c>
      <c r="E1613" s="0" t="inlineStr">
        <is>
          <t>112.50K</t>
        </is>
      </c>
      <c r="F1613" s="0" t="inlineStr">
        <is>
          <t>(5,</t>
        </is>
      </c>
      <c r="G1613" s="0" t="inlineStr">
        <is>
          <t>4)</t>
        </is>
      </c>
      <c r="K1613" s="0">
        <f>IF(H1612="1)",1,IF(H1612="2)",2,IF(H1612="3)",3,IF(H1612="4)",4,IF(H1612="5)",5,IF(H1612="6)",6,IF(H1612="7)",7,IF(H1612="8)",8,0))))))))</f>
        <v/>
      </c>
      <c r="L1613" s="0">
        <f>IF(H1612="1)",J1612,IF(H1612="2)",J1612,IF(H1612="3)",J1612,IF(H1612="4)",J1612,IF(H1612="5)",J1612,IF(H1612="6)",J1612,IF(H1612="7)",J1612,IF(H1612="8)",J1612,0))))))))</f>
        <v/>
      </c>
    </row>
    <row r="1614">
      <c r="A1614" s="0" t="inlineStr">
        <is>
          <t>New</t>
        </is>
      </c>
      <c r="B1614" s="0" t="inlineStr">
        <is>
          <t>Item</t>
        </is>
      </c>
      <c r="C1614" s="0" t="inlineStr">
        <is>
          <t>Acquired</t>
        </is>
      </c>
      <c r="D1614" s="0" t="inlineStr">
        <is>
          <t>:</t>
        </is>
      </c>
      <c r="E1614" s="0" t="inlineStr">
        <is>
          <t>37.50K</t>
        </is>
      </c>
      <c r="F1614" s="0" t="inlineStr">
        <is>
          <t>(2,</t>
        </is>
      </c>
      <c r="G1614" s="0" t="inlineStr">
        <is>
          <t>19)</t>
        </is>
      </c>
      <c r="K1614" s="0">
        <f>IF(H1613="1)",1,IF(H1613="2)",2,IF(H1613="3)",3,IF(H1613="4)",4,IF(H1613="5)",5,IF(H1613="6)",6,IF(H1613="7)",7,IF(H1613="8)",8,0))))))))</f>
        <v/>
      </c>
      <c r="L1614" s="0">
        <f>IF(H1613="1)",J1613,IF(H1613="2)",J1613,IF(H1613="3)",J1613,IF(H1613="4)",J1613,IF(H1613="5)",J1613,IF(H1613="6)",J1613,IF(H1613="7)",J1613,IF(H1613="8)",J1613,0))))))))</f>
        <v/>
      </c>
    </row>
    <row r="1615">
      <c r="A1615" s="0" t="inlineStr">
        <is>
          <t>Line</t>
        </is>
      </c>
      <c r="B1615" s="0" t="inlineStr">
        <is>
          <t>Prize</t>
        </is>
      </c>
      <c r="C1615" s="0" t="inlineStr">
        <is>
          <t>Acquired</t>
        </is>
      </c>
      <c r="D1615" s="0" t="inlineStr">
        <is>
          <t>:</t>
        </is>
      </c>
      <c r="E1615" s="0" t="inlineStr">
        <is>
          <t>187.50K</t>
        </is>
      </c>
      <c r="F1615" s="0" t="inlineStr">
        <is>
          <t>(Stage</t>
        </is>
      </c>
      <c r="G1615" s="0" t="inlineStr">
        <is>
          <t>:</t>
        </is>
      </c>
      <c r="H1615" s="0" t="inlineStr">
        <is>
          <t>2)</t>
        </is>
      </c>
      <c r="I1615" s="0" t="inlineStr">
        <is>
          <t>-</t>
        </is>
      </c>
      <c r="J1615" s="0" t="n">
        <v>187500</v>
      </c>
      <c r="K1615" s="0">
        <f>IF(H1614="1)",1,IF(H1614="2)",2,IF(H1614="3)",3,IF(H1614="4)",4,IF(H1614="5)",5,IF(H1614="6)",6,IF(H1614="7)",7,IF(H1614="8)",8,0))))))))</f>
        <v/>
      </c>
      <c r="L1615" s="0">
        <f>IF(H1614="1)",J1614,IF(H1614="2)",J1614,IF(H1614="3)",J1614,IF(H1614="4)",J1614,IF(H1614="5)",J1614,IF(H1614="6)",J1614,IF(H1614="7)",J1614,IF(H1614="8)",J1614,0))))))))</f>
        <v/>
      </c>
    </row>
    <row r="1616">
      <c r="A1616" s="0" t="inlineStr">
        <is>
          <t>Clear</t>
        </is>
      </c>
      <c r="B1616" s="0" t="inlineStr">
        <is>
          <t>Gem</t>
        </is>
      </c>
      <c r="C1616" s="0" t="inlineStr">
        <is>
          <t>Acquired</t>
        </is>
      </c>
      <c r="D1616" s="0" t="inlineStr">
        <is>
          <t>:</t>
        </is>
      </c>
      <c r="E1616" s="0" t="n">
        <v>9700</v>
      </c>
      <c r="F1616" s="0" t="inlineStr">
        <is>
          <t>-&gt;</t>
        </is>
      </c>
      <c r="G1616" s="0" t="n">
        <v>9800</v>
      </c>
      <c r="H1616" s="0" t="inlineStr">
        <is>
          <t>(Stage</t>
        </is>
      </c>
      <c r="I1616" s="0" t="inlineStr">
        <is>
          <t>:</t>
        </is>
      </c>
      <c r="J1616" s="0" t="inlineStr">
        <is>
          <t>2)</t>
        </is>
      </c>
      <c r="K1616" s="0">
        <f>IF(H1615="1)",1,IF(H1615="2)",2,IF(H1615="3)",3,IF(H1615="4)",4,IF(H1615="5)",5,IF(H1615="6)",6,IF(H1615="7)",7,IF(H1615="8)",8,0))))))))</f>
        <v/>
      </c>
      <c r="L1616" s="0">
        <f>IF(H1615="1)",J1615,IF(H1615="2)",J1615,IF(H1615="3)",J1615,IF(H1615="4)",J1615,IF(H1615="5)",J1615,IF(H1615="6)",J1615,IF(H1615="7)",J1615,IF(H1615="8)",J1615,0))))))))</f>
        <v/>
      </c>
    </row>
    <row r="1617">
      <c r="A1617" s="0" t="inlineStr">
        <is>
          <t>New</t>
        </is>
      </c>
      <c r="B1617" s="0" t="inlineStr">
        <is>
          <t>Item</t>
        </is>
      </c>
      <c r="C1617" s="0" t="inlineStr">
        <is>
          <t>Acquired</t>
        </is>
      </c>
      <c r="D1617" s="0" t="inlineStr">
        <is>
          <t>:</t>
        </is>
      </c>
      <c r="E1617" s="0" t="inlineStr">
        <is>
          <t>45.00K</t>
        </is>
      </c>
      <c r="F1617" s="0" t="inlineStr">
        <is>
          <t>(3,</t>
        </is>
      </c>
      <c r="G1617" s="0" t="inlineStr">
        <is>
          <t>10)</t>
        </is>
      </c>
      <c r="K1617" s="0">
        <f>IF(H1616="1)",1,IF(H1616="2)",2,IF(H1616="3)",3,IF(H1616="4)",4,IF(H1616="5)",5,IF(H1616="6)",6,IF(H1616="7)",7,IF(H1616="8)",8,0))))))))</f>
        <v/>
      </c>
      <c r="L1617" s="0">
        <f>IF(H1616="1)",J1616,IF(H1616="2)",J1616,IF(H1616="3)",J1616,IF(H1616="4)",J1616,IF(H1616="5)",J1616,IF(H1616="6)",J1616,IF(H1616="7)",J1616,IF(H1616="8)",J1616,0))))))))</f>
        <v/>
      </c>
    </row>
    <row r="1618">
      <c r="A1618" s="0" t="inlineStr">
        <is>
          <t>New</t>
        </is>
      </c>
      <c r="B1618" s="0" t="inlineStr">
        <is>
          <t>Item</t>
        </is>
      </c>
      <c r="C1618" s="0" t="inlineStr">
        <is>
          <t>Acquired</t>
        </is>
      </c>
      <c r="D1618" s="0" t="inlineStr">
        <is>
          <t>:</t>
        </is>
      </c>
      <c r="E1618" s="0" t="inlineStr">
        <is>
          <t>210.00K</t>
        </is>
      </c>
      <c r="F1618" s="0" t="inlineStr">
        <is>
          <t>(7,</t>
        </is>
      </c>
      <c r="G1618" s="0" t="inlineStr">
        <is>
          <t>10)</t>
        </is>
      </c>
      <c r="K1618" s="0">
        <f>IF(H1617="1)",1,IF(H1617="2)",2,IF(H1617="3)",3,IF(H1617="4)",4,IF(H1617="5)",5,IF(H1617="6)",6,IF(H1617="7)",7,IF(H1617="8)",8,0))))))))</f>
        <v/>
      </c>
      <c r="L1618" s="0">
        <f>IF(H1617="1)",J1617,IF(H1617="2)",J1617,IF(H1617="3)",J1617,IF(H1617="4)",J1617,IF(H1617="5)",J1617,IF(H1617="6)",J1617,IF(H1617="7)",J1617,IF(H1617="8)",J1617,0))))))))</f>
        <v/>
      </c>
    </row>
    <row r="1619">
      <c r="A1619" s="0" t="inlineStr">
        <is>
          <t>New</t>
        </is>
      </c>
      <c r="B1619" s="0" t="inlineStr">
        <is>
          <t>Item</t>
        </is>
      </c>
      <c r="C1619" s="0" t="inlineStr">
        <is>
          <t>Acquired</t>
        </is>
      </c>
      <c r="D1619" s="0" t="inlineStr">
        <is>
          <t>:</t>
        </is>
      </c>
      <c r="E1619" s="0" t="inlineStr">
        <is>
          <t>37.50K</t>
        </is>
      </c>
      <c r="F1619" s="0" t="inlineStr">
        <is>
          <t>(2,</t>
        </is>
      </c>
      <c r="G1619" s="0" t="inlineStr">
        <is>
          <t>7)</t>
        </is>
      </c>
      <c r="K1619" s="0">
        <f>IF(H1618="1)",1,IF(H1618="2)",2,IF(H1618="3)",3,IF(H1618="4)",4,IF(H1618="5)",5,IF(H1618="6)",6,IF(H1618="7)",7,IF(H1618="8)",8,0))))))))</f>
        <v/>
      </c>
      <c r="L1619" s="0">
        <f>IF(H1618="1)",J1618,IF(H1618="2)",J1618,IF(H1618="3)",J1618,IF(H1618="4)",J1618,IF(H1618="5)",J1618,IF(H1618="6)",J1618,IF(H1618="7)",J1618,IF(H1618="8)",J1618,0))))))))</f>
        <v/>
      </c>
    </row>
    <row r="1620">
      <c r="A1620" s="0" t="inlineStr">
        <is>
          <t>New</t>
        </is>
      </c>
      <c r="B1620" s="0" t="inlineStr">
        <is>
          <t>Item</t>
        </is>
      </c>
      <c r="C1620" s="0" t="inlineStr">
        <is>
          <t>Acquired</t>
        </is>
      </c>
      <c r="D1620" s="0" t="inlineStr">
        <is>
          <t>:</t>
        </is>
      </c>
      <c r="E1620" s="0" t="inlineStr">
        <is>
          <t>125.00K</t>
        </is>
      </c>
      <c r="F1620" s="0" t="inlineStr">
        <is>
          <t>(6,</t>
        </is>
      </c>
      <c r="G1620" s="0" t="inlineStr">
        <is>
          <t>17)</t>
        </is>
      </c>
      <c r="K1620" s="0">
        <f>IF(H1619="1)",1,IF(H1619="2)",2,IF(H1619="3)",3,IF(H1619="4)",4,IF(H1619="5)",5,IF(H1619="6)",6,IF(H1619="7)",7,IF(H1619="8)",8,0))))))))</f>
        <v/>
      </c>
      <c r="L1620" s="0">
        <f>IF(H1619="1)",J1619,IF(H1619="2)",J1619,IF(H1619="3)",J1619,IF(H1619="4)",J1619,IF(H1619="5)",J1619,IF(H1619="6)",J1619,IF(H1619="7)",J1619,IF(H1619="8)",J1619,0))))))))</f>
        <v/>
      </c>
    </row>
    <row r="1621">
      <c r="A1621" s="0" t="inlineStr">
        <is>
          <t>New</t>
        </is>
      </c>
      <c r="B1621" s="0" t="inlineStr">
        <is>
          <t>Item</t>
        </is>
      </c>
      <c r="C1621" s="0" t="inlineStr">
        <is>
          <t>Acquired</t>
        </is>
      </c>
      <c r="D1621" s="0" t="inlineStr">
        <is>
          <t>:</t>
        </is>
      </c>
      <c r="E1621" s="0" t="inlineStr">
        <is>
          <t>175.00K</t>
        </is>
      </c>
      <c r="F1621" s="0" t="inlineStr">
        <is>
          <t>(6,</t>
        </is>
      </c>
      <c r="G1621" s="0" t="inlineStr">
        <is>
          <t>8)</t>
        </is>
      </c>
      <c r="K1621" s="0">
        <f>IF(H1620="1)",1,IF(H1620="2)",2,IF(H1620="3)",3,IF(H1620="4)",4,IF(H1620="5)",5,IF(H1620="6)",6,IF(H1620="7)",7,IF(H1620="8)",8,0))))))))</f>
        <v/>
      </c>
      <c r="L1621" s="0">
        <f>IF(H1620="1)",J1620,IF(H1620="2)",J1620,IF(H1620="3)",J1620,IF(H1620="4)",J1620,IF(H1620="5)",J1620,IF(H1620="6)",J1620,IF(H1620="7)",J1620,IF(H1620="8)",J1620,0))))))))</f>
        <v/>
      </c>
    </row>
    <row r="1622">
      <c r="A1622" s="0" t="inlineStr">
        <is>
          <t>New</t>
        </is>
      </c>
      <c r="B1622" s="0" t="inlineStr">
        <is>
          <t>Item</t>
        </is>
      </c>
      <c r="C1622" s="0" t="inlineStr">
        <is>
          <t>Acquired</t>
        </is>
      </c>
      <c r="D1622" s="0" t="inlineStr">
        <is>
          <t>:</t>
        </is>
      </c>
      <c r="E1622" s="0" t="inlineStr">
        <is>
          <t>30.00K</t>
        </is>
      </c>
      <c r="F1622" s="0" t="inlineStr">
        <is>
          <t>(1,</t>
        </is>
      </c>
      <c r="G1622" s="0" t="inlineStr">
        <is>
          <t>24)</t>
        </is>
      </c>
      <c r="K1622" s="0">
        <f>IF(H1621="1)",1,IF(H1621="2)",2,IF(H1621="3)",3,IF(H1621="4)",4,IF(H1621="5)",5,IF(H1621="6)",6,IF(H1621="7)",7,IF(H1621="8)",8,0))))))))</f>
        <v/>
      </c>
      <c r="L1622" s="0">
        <f>IF(H1621="1)",J1621,IF(H1621="2)",J1621,IF(H1621="3)",J1621,IF(H1621="4)",J1621,IF(H1621="5)",J1621,IF(H1621="6)",J1621,IF(H1621="7)",J1621,IF(H1621="8)",J1621,0))))))))</f>
        <v/>
      </c>
    </row>
    <row r="1623">
      <c r="A1623" s="0" t="inlineStr">
        <is>
          <t>New</t>
        </is>
      </c>
      <c r="B1623" s="0" t="inlineStr">
        <is>
          <t>Item</t>
        </is>
      </c>
      <c r="C1623" s="0" t="inlineStr">
        <is>
          <t>Acquired</t>
        </is>
      </c>
      <c r="D1623" s="0" t="inlineStr">
        <is>
          <t>:</t>
        </is>
      </c>
      <c r="E1623" s="0" t="inlineStr">
        <is>
          <t>62.50K</t>
        </is>
      </c>
      <c r="F1623" s="0" t="inlineStr">
        <is>
          <t>(2,</t>
        </is>
      </c>
      <c r="G1623" s="0" t="inlineStr">
        <is>
          <t>5)</t>
        </is>
      </c>
      <c r="K1623" s="0">
        <f>IF(H1622="1)",1,IF(H1622="2)",2,IF(H1622="3)",3,IF(H1622="4)",4,IF(H1622="5)",5,IF(H1622="6)",6,IF(H1622="7)",7,IF(H1622="8)",8,0))))))))</f>
        <v/>
      </c>
      <c r="L1623" s="0">
        <f>IF(H1622="1)",J1622,IF(H1622="2)",J1622,IF(H1622="3)",J1622,IF(H1622="4)",J1622,IF(H1622="5)",J1622,IF(H1622="6)",J1622,IF(H1622="7)",J1622,IF(H1622="8)",J1622,0))))))))</f>
        <v/>
      </c>
    </row>
    <row r="1624">
      <c r="A1624" s="0" t="inlineStr">
        <is>
          <t>New</t>
        </is>
      </c>
      <c r="B1624" s="0" t="inlineStr">
        <is>
          <t>Item</t>
        </is>
      </c>
      <c r="C1624" s="0" t="inlineStr">
        <is>
          <t>Acquired</t>
        </is>
      </c>
      <c r="D1624" s="0" t="inlineStr">
        <is>
          <t>:</t>
        </is>
      </c>
      <c r="E1624" s="0" t="inlineStr">
        <is>
          <t>Minor</t>
        </is>
      </c>
      <c r="F1624" s="0" t="inlineStr">
        <is>
          <t>(6,</t>
        </is>
      </c>
      <c r="G1624" s="0" t="inlineStr">
        <is>
          <t>7)</t>
        </is>
      </c>
      <c r="K1624" s="0">
        <f>IF(H1623="1)",1,IF(H1623="2)",2,IF(H1623="3)",3,IF(H1623="4)",4,IF(H1623="5)",5,IF(H1623="6)",6,IF(H1623="7)",7,IF(H1623="8)",8,0))))))))</f>
        <v/>
      </c>
      <c r="L1624" s="0">
        <f>IF(H1623="1)",J1623,IF(H1623="2)",J1623,IF(H1623="3)",J1623,IF(H1623="4)",J1623,IF(H1623="5)",J1623,IF(H1623="6)",J1623,IF(H1623="7)",J1623,IF(H1623="8)",J1623,0))))))))</f>
        <v/>
      </c>
    </row>
    <row r="1625">
      <c r="A1625" s="0" t="inlineStr">
        <is>
          <t>New</t>
        </is>
      </c>
      <c r="B1625" s="0" t="inlineStr">
        <is>
          <t>Item</t>
        </is>
      </c>
      <c r="C1625" s="0" t="inlineStr">
        <is>
          <t>Acquired</t>
        </is>
      </c>
      <c r="D1625" s="0" t="inlineStr">
        <is>
          <t>:</t>
        </is>
      </c>
      <c r="E1625" s="0" t="inlineStr">
        <is>
          <t>Mini</t>
        </is>
      </c>
      <c r="F1625" s="0" t="inlineStr">
        <is>
          <t>(7,</t>
        </is>
      </c>
      <c r="G1625" s="0" t="inlineStr">
        <is>
          <t>9)</t>
        </is>
      </c>
      <c r="K1625" s="0">
        <f>IF(H1624="1)",1,IF(H1624="2)",2,IF(H1624="3)",3,IF(H1624="4)",4,IF(H1624="5)",5,IF(H1624="6)",6,IF(H1624="7)",7,IF(H1624="8)",8,0))))))))</f>
        <v/>
      </c>
      <c r="L1625" s="0">
        <f>IF(H1624="1)",J1624,IF(H1624="2)",J1624,IF(H1624="3)",J1624,IF(H1624="4)",J1624,IF(H1624="5)",J1624,IF(H1624="6)",J1624,IF(H1624="7)",J1624,IF(H1624="8)",J1624,0))))))))</f>
        <v/>
      </c>
    </row>
    <row r="1626">
      <c r="A1626" s="0" t="inlineStr">
        <is>
          <t>New</t>
        </is>
      </c>
      <c r="B1626" s="0" t="inlineStr">
        <is>
          <t>Item</t>
        </is>
      </c>
      <c r="C1626" s="0" t="inlineStr">
        <is>
          <t>Acquired</t>
        </is>
      </c>
      <c r="D1626" s="0" t="inlineStr">
        <is>
          <t>:</t>
        </is>
      </c>
      <c r="E1626" s="0" t="inlineStr">
        <is>
          <t>37.50K</t>
        </is>
      </c>
      <c r="F1626" s="0" t="inlineStr">
        <is>
          <t>(2,</t>
        </is>
      </c>
      <c r="G1626" s="0" t="inlineStr">
        <is>
          <t>22)</t>
        </is>
      </c>
      <c r="K1626" s="0">
        <f>IF(H1625="1)",1,IF(H1625="2)",2,IF(H1625="3)",3,IF(H1625="4)",4,IF(H1625="5)",5,IF(H1625="6)",6,IF(H1625="7)",7,IF(H1625="8)",8,0))))))))</f>
        <v/>
      </c>
      <c r="L1626" s="0">
        <f>IF(H1625="1)",J1625,IF(H1625="2)",J1625,IF(H1625="3)",J1625,IF(H1625="4)",J1625,IF(H1625="5)",J1625,IF(H1625="6)",J1625,IF(H1625="7)",J1625,IF(H1625="8)",J1625,0))))))))</f>
        <v/>
      </c>
    </row>
    <row r="1627">
      <c r="A1627" s="0" t="inlineStr">
        <is>
          <t>New</t>
        </is>
      </c>
      <c r="B1627" s="0" t="inlineStr">
        <is>
          <t>Item</t>
        </is>
      </c>
      <c r="C1627" s="0" t="inlineStr">
        <is>
          <t>Acquired</t>
        </is>
      </c>
      <c r="D1627" s="0" t="inlineStr">
        <is>
          <t>:</t>
        </is>
      </c>
      <c r="E1627" s="0" t="inlineStr">
        <is>
          <t>30.00K</t>
        </is>
      </c>
      <c r="F1627" s="0" t="inlineStr">
        <is>
          <t>(1,</t>
        </is>
      </c>
      <c r="G1627" s="0" t="inlineStr">
        <is>
          <t>18)</t>
        </is>
      </c>
      <c r="K1627" s="0">
        <f>IF(H1626="1)",1,IF(H1626="2)",2,IF(H1626="3)",3,IF(H1626="4)",4,IF(H1626="5)",5,IF(H1626="6)",6,IF(H1626="7)",7,IF(H1626="8)",8,0))))))))</f>
        <v/>
      </c>
      <c r="L1627" s="0">
        <f>IF(H1626="1)",J1626,IF(H1626="2)",J1626,IF(H1626="3)",J1626,IF(H1626="4)",J1626,IF(H1626="5)",J1626,IF(H1626="6)",J1626,IF(H1626="7)",J1626,IF(H1626="8)",J1626,0))))))))</f>
        <v/>
      </c>
    </row>
    <row r="1628">
      <c r="A1628" s="0" t="inlineStr">
        <is>
          <t>New</t>
        </is>
      </c>
      <c r="B1628" s="0" t="inlineStr">
        <is>
          <t>Item</t>
        </is>
      </c>
      <c r="C1628" s="0" t="inlineStr">
        <is>
          <t>Acquired</t>
        </is>
      </c>
      <c r="D1628" s="0" t="inlineStr">
        <is>
          <t>:</t>
        </is>
      </c>
      <c r="E1628" s="0" t="inlineStr">
        <is>
          <t>Mini</t>
        </is>
      </c>
      <c r="F1628" s="0" t="inlineStr">
        <is>
          <t>(5,</t>
        </is>
      </c>
      <c r="G1628" s="0" t="inlineStr">
        <is>
          <t>10)</t>
        </is>
      </c>
      <c r="K1628" s="0">
        <f>IF(H1627="1)",1,IF(H1627="2)",2,IF(H1627="3)",3,IF(H1627="4)",4,IF(H1627="5)",5,IF(H1627="6)",6,IF(H1627="7)",7,IF(H1627="8)",8,0))))))))</f>
        <v/>
      </c>
      <c r="L1628" s="0">
        <f>IF(H1627="1)",J1627,IF(H1627="2)",J1627,IF(H1627="3)",J1627,IF(H1627="4)",J1627,IF(H1627="5)",J1627,IF(H1627="6)",J1627,IF(H1627="7)",J1627,IF(H1627="8)",J1627,0))))))))</f>
        <v/>
      </c>
    </row>
    <row r="1629">
      <c r="A1629" s="0" t="inlineStr">
        <is>
          <t>New</t>
        </is>
      </c>
      <c r="B1629" s="0" t="inlineStr">
        <is>
          <t>Item</t>
        </is>
      </c>
      <c r="C1629" s="0" t="inlineStr">
        <is>
          <t>Acquired</t>
        </is>
      </c>
      <c r="D1629" s="0" t="inlineStr">
        <is>
          <t>:</t>
        </is>
      </c>
      <c r="E1629" s="0" t="inlineStr">
        <is>
          <t>Mini</t>
        </is>
      </c>
      <c r="F1629" s="0" t="inlineStr">
        <is>
          <t>(2,</t>
        </is>
      </c>
      <c r="G1629" s="0" t="inlineStr">
        <is>
          <t>14)</t>
        </is>
      </c>
      <c r="K1629" s="0">
        <f>IF(H1628="1)",1,IF(H1628="2)",2,IF(H1628="3)",3,IF(H1628="4)",4,IF(H1628="5)",5,IF(H1628="6)",6,IF(H1628="7)",7,IF(H1628="8)",8,0))))))))</f>
        <v/>
      </c>
      <c r="L1629" s="0">
        <f>IF(H1628="1)",J1628,IF(H1628="2)",J1628,IF(H1628="3)",J1628,IF(H1628="4)",J1628,IF(H1628="5)",J1628,IF(H1628="6)",J1628,IF(H1628="7)",J1628,IF(H1628="8)",J1628,0))))))))</f>
        <v/>
      </c>
    </row>
    <row r="1630">
      <c r="A1630" s="0" t="inlineStr">
        <is>
          <t>New</t>
        </is>
      </c>
      <c r="B1630" s="0" t="inlineStr">
        <is>
          <t>Item</t>
        </is>
      </c>
      <c r="C1630" s="0" t="inlineStr">
        <is>
          <t>Acquired</t>
        </is>
      </c>
      <c r="D1630" s="0" t="inlineStr">
        <is>
          <t>:</t>
        </is>
      </c>
      <c r="E1630" s="0" t="inlineStr">
        <is>
          <t>45.00K</t>
        </is>
      </c>
      <c r="F1630" s="0" t="inlineStr">
        <is>
          <t>(3,</t>
        </is>
      </c>
      <c r="G1630" s="0" t="inlineStr">
        <is>
          <t>7)</t>
        </is>
      </c>
      <c r="K1630" s="0">
        <f>IF(H1629="1)",1,IF(H1629="2)",2,IF(H1629="3)",3,IF(H1629="4)",4,IF(H1629="5)",5,IF(H1629="6)",6,IF(H1629="7)",7,IF(H1629="8)",8,0))))))))</f>
        <v/>
      </c>
      <c r="L1630" s="0">
        <f>IF(H1629="1)",J1629,IF(H1629="2)",J1629,IF(H1629="3)",J1629,IF(H1629="4)",J1629,IF(H1629="5)",J1629,IF(H1629="6)",J1629,IF(H1629="7)",J1629,IF(H1629="8)",J1629,0))))))))</f>
        <v/>
      </c>
    </row>
    <row r="1631">
      <c r="A1631" s="0" t="inlineStr">
        <is>
          <t>New</t>
        </is>
      </c>
      <c r="B1631" s="0" t="inlineStr">
        <is>
          <t>Item</t>
        </is>
      </c>
      <c r="C1631" s="0" t="inlineStr">
        <is>
          <t>Acquired</t>
        </is>
      </c>
      <c r="D1631" s="0" t="inlineStr">
        <is>
          <t>:</t>
        </is>
      </c>
      <c r="E1631" s="0" t="inlineStr">
        <is>
          <t>175.00K</t>
        </is>
      </c>
      <c r="F1631" s="0" t="inlineStr">
        <is>
          <t>(6,</t>
        </is>
      </c>
      <c r="G1631" s="0" t="inlineStr">
        <is>
          <t>15)</t>
        </is>
      </c>
      <c r="K1631" s="0">
        <f>IF(H1630="1)",1,IF(H1630="2)",2,IF(H1630="3)",3,IF(H1630="4)",4,IF(H1630="5)",5,IF(H1630="6)",6,IF(H1630="7)",7,IF(H1630="8)",8,0))))))))</f>
        <v/>
      </c>
      <c r="L1631" s="0">
        <f>IF(H1630="1)",J1630,IF(H1630="2)",J1630,IF(H1630="3)",J1630,IF(H1630="4)",J1630,IF(H1630="5)",J1630,IF(H1630="6)",J1630,IF(H1630="7)",J1630,IF(H1630="8)",J1630,0))))))))</f>
        <v/>
      </c>
    </row>
    <row r="1632">
      <c r="A1632" s="0" t="inlineStr">
        <is>
          <t>New</t>
        </is>
      </c>
      <c r="B1632" s="0" t="inlineStr">
        <is>
          <t>Item</t>
        </is>
      </c>
      <c r="C1632" s="0" t="inlineStr">
        <is>
          <t>Acquired</t>
        </is>
      </c>
      <c r="D1632" s="0" t="inlineStr">
        <is>
          <t>:</t>
        </is>
      </c>
      <c r="E1632" s="0" t="inlineStr">
        <is>
          <t>50.00K</t>
        </is>
      </c>
      <c r="F1632" s="0" t="inlineStr">
        <is>
          <t>(1,</t>
        </is>
      </c>
      <c r="G1632" s="0" t="inlineStr">
        <is>
          <t>6)</t>
        </is>
      </c>
      <c r="K1632" s="0">
        <f>IF(H1631="1)",1,IF(H1631="2)",2,IF(H1631="3)",3,IF(H1631="4)",4,IF(H1631="5)",5,IF(H1631="6)",6,IF(H1631="7)",7,IF(H1631="8)",8,0))))))))</f>
        <v/>
      </c>
      <c r="L1632" s="0">
        <f>IF(H1631="1)",J1631,IF(H1631="2)",J1631,IF(H1631="3)",J1631,IF(H1631="4)",J1631,IF(H1631="5)",J1631,IF(H1631="6)",J1631,IF(H1631="7)",J1631,IF(H1631="8)",J1631,0))))))))</f>
        <v/>
      </c>
    </row>
    <row r="1633">
      <c r="A1633" s="0" t="inlineStr">
        <is>
          <t>New</t>
        </is>
      </c>
      <c r="B1633" s="0" t="inlineStr">
        <is>
          <t>Item</t>
        </is>
      </c>
      <c r="C1633" s="0" t="inlineStr">
        <is>
          <t>Acquired</t>
        </is>
      </c>
      <c r="D1633" s="0" t="inlineStr">
        <is>
          <t>:</t>
        </is>
      </c>
      <c r="E1633" s="0" t="inlineStr">
        <is>
          <t>Mini</t>
        </is>
      </c>
      <c r="F1633" s="0" t="inlineStr">
        <is>
          <t>(2,</t>
        </is>
      </c>
      <c r="G1633" s="0" t="inlineStr">
        <is>
          <t>19)</t>
        </is>
      </c>
      <c r="K1633" s="0">
        <f>IF(H1632="1)",1,IF(H1632="2)",2,IF(H1632="3)",3,IF(H1632="4)",4,IF(H1632="5)",5,IF(H1632="6)",6,IF(H1632="7)",7,IF(H1632="8)",8,0))))))))</f>
        <v/>
      </c>
      <c r="L1633" s="0">
        <f>IF(H1632="1)",J1632,IF(H1632="2)",J1632,IF(H1632="3)",J1632,IF(H1632="4)",J1632,IF(H1632="5)",J1632,IF(H1632="6)",J1632,IF(H1632="7)",J1632,IF(H1632="8)",J1632,0))))))))</f>
        <v/>
      </c>
    </row>
    <row r="1634">
      <c r="A1634" s="0" t="inlineStr">
        <is>
          <t>New</t>
        </is>
      </c>
      <c r="B1634" s="0" t="inlineStr">
        <is>
          <t>Item</t>
        </is>
      </c>
      <c r="C1634" s="0" t="inlineStr">
        <is>
          <t>Acquired</t>
        </is>
      </c>
      <c r="D1634" s="0" t="inlineStr">
        <is>
          <t>:</t>
        </is>
      </c>
      <c r="E1634" s="0" t="inlineStr">
        <is>
          <t>87.50K</t>
        </is>
      </c>
      <c r="F1634" s="0" t="inlineStr">
        <is>
          <t>(2,</t>
        </is>
      </c>
      <c r="G1634" s="0" t="inlineStr">
        <is>
          <t>15)</t>
        </is>
      </c>
      <c r="K1634" s="0">
        <f>IF(H1633="1)",1,IF(H1633="2)",2,IF(H1633="3)",3,IF(H1633="4)",4,IF(H1633="5)",5,IF(H1633="6)",6,IF(H1633="7)",7,IF(H1633="8)",8,0))))))))</f>
        <v/>
      </c>
      <c r="L1634" s="0">
        <f>IF(H1633="1)",J1633,IF(H1633="2)",J1633,IF(H1633="3)",J1633,IF(H1633="4)",J1633,IF(H1633="5)",J1633,IF(H1633="6)",J1633,IF(H1633="7)",J1633,IF(H1633="8)",J1633,0))))))))</f>
        <v/>
      </c>
    </row>
    <row r="1635">
      <c r="A1635" s="0" t="inlineStr">
        <is>
          <t>New</t>
        </is>
      </c>
      <c r="B1635" s="0" t="inlineStr">
        <is>
          <t>Item</t>
        </is>
      </c>
      <c r="C1635" s="0" t="inlineStr">
        <is>
          <t>Acquired</t>
        </is>
      </c>
      <c r="D1635" s="0" t="inlineStr">
        <is>
          <t>:</t>
        </is>
      </c>
      <c r="E1635" s="0" t="inlineStr">
        <is>
          <t>125.00K</t>
        </is>
      </c>
      <c r="F1635" s="0" t="inlineStr">
        <is>
          <t>(6,</t>
        </is>
      </c>
      <c r="G1635" s="0" t="inlineStr">
        <is>
          <t>11)</t>
        </is>
      </c>
      <c r="K1635" s="0">
        <f>IF(H1634="1)",1,IF(H1634="2)",2,IF(H1634="3)",3,IF(H1634="4)",4,IF(H1634="5)",5,IF(H1634="6)",6,IF(H1634="7)",7,IF(H1634="8)",8,0))))))))</f>
        <v/>
      </c>
      <c r="L1635" s="0">
        <f>IF(H1634="1)",J1634,IF(H1634="2)",J1634,IF(H1634="3)",J1634,IF(H1634="4)",J1634,IF(H1634="5)",J1634,IF(H1634="6)",J1634,IF(H1634="7)",J1634,IF(H1634="8)",J1634,0))))))))</f>
        <v/>
      </c>
    </row>
    <row r="1636">
      <c r="A1636" s="0" t="inlineStr">
        <is>
          <t>New</t>
        </is>
      </c>
      <c r="B1636" s="0" t="inlineStr">
        <is>
          <t>Item</t>
        </is>
      </c>
      <c r="C1636" s="0" t="inlineStr">
        <is>
          <t>Acquired</t>
        </is>
      </c>
      <c r="D1636" s="0" t="inlineStr">
        <is>
          <t>:</t>
        </is>
      </c>
      <c r="E1636" s="0" t="inlineStr">
        <is>
          <t>210.00K</t>
        </is>
      </c>
      <c r="F1636" s="0" t="inlineStr">
        <is>
          <t>(7,</t>
        </is>
      </c>
      <c r="G1636" s="0" t="inlineStr">
        <is>
          <t>5)</t>
        </is>
      </c>
      <c r="K1636" s="0">
        <f>IF(H1635="1)",1,IF(H1635="2)",2,IF(H1635="3)",3,IF(H1635="4)",4,IF(H1635="5)",5,IF(H1635="6)",6,IF(H1635="7)",7,IF(H1635="8)",8,0))))))))</f>
        <v/>
      </c>
      <c r="L1636" s="0">
        <f>IF(H1635="1)",J1635,IF(H1635="2)",J1635,IF(H1635="3)",J1635,IF(H1635="4)",J1635,IF(H1635="5)",J1635,IF(H1635="6)",J1635,IF(H1635="7)",J1635,IF(H1635="8)",J1635,0))))))))</f>
        <v/>
      </c>
    </row>
    <row r="1637">
      <c r="A1637" s="0" t="inlineStr">
        <is>
          <t>New</t>
        </is>
      </c>
      <c r="B1637" s="0" t="inlineStr">
        <is>
          <t>Item</t>
        </is>
      </c>
      <c r="C1637" s="0" t="inlineStr">
        <is>
          <t>Acquired</t>
        </is>
      </c>
      <c r="D1637" s="0" t="inlineStr">
        <is>
          <t>:</t>
        </is>
      </c>
      <c r="E1637" s="0" t="inlineStr">
        <is>
          <t>67.50K</t>
        </is>
      </c>
      <c r="F1637" s="0" t="inlineStr">
        <is>
          <t>(5,</t>
        </is>
      </c>
      <c r="G1637" s="0" t="inlineStr">
        <is>
          <t>8)</t>
        </is>
      </c>
      <c r="K1637" s="0">
        <f>IF(H1636="1)",1,IF(H1636="2)",2,IF(H1636="3)",3,IF(H1636="4)",4,IF(H1636="5)",5,IF(H1636="6)",6,IF(H1636="7)",7,IF(H1636="8)",8,0))))))))</f>
        <v/>
      </c>
      <c r="L1637" s="0">
        <f>IF(H1636="1)",J1636,IF(H1636="2)",J1636,IF(H1636="3)",J1636,IF(H1636="4)",J1636,IF(H1636="5)",J1636,IF(H1636="6)",J1636,IF(H1636="7)",J1636,IF(H1636="8)",J1636,0))))))))</f>
        <v/>
      </c>
    </row>
    <row r="1638">
      <c r="A1638" s="0" t="inlineStr">
        <is>
          <t>Item</t>
        </is>
      </c>
      <c r="B1638" s="0" t="inlineStr">
        <is>
          <t>ReSelect</t>
        </is>
      </c>
      <c r="C1638" s="0" t="inlineStr">
        <is>
          <t>Failed</t>
        </is>
      </c>
      <c r="D1638" s="0" t="inlineStr">
        <is>
          <t>:</t>
        </is>
      </c>
      <c r="E1638" s="0" t="inlineStr">
        <is>
          <t>Attempt</t>
        </is>
      </c>
      <c r="F1638" s="0" t="inlineStr">
        <is>
          <t>Count</t>
        </is>
      </c>
      <c r="G1638" s="0" t="inlineStr">
        <is>
          <t>-</t>
        </is>
      </c>
      <c r="H1638" s="0" t="n">
        <v>3</v>
      </c>
      <c r="K1638" s="0">
        <f>IF(H1637="1)",1,IF(H1637="2)",2,IF(H1637="3)",3,IF(H1637="4)",4,IF(H1637="5)",5,IF(H1637="6)",6,IF(H1637="7)",7,IF(H1637="8)",8,0))))))))</f>
        <v/>
      </c>
      <c r="L1638" s="0">
        <f>IF(H1637="1)",J1637,IF(H1637="2)",J1637,IF(H1637="3)",J1637,IF(H1637="4)",J1637,IF(H1637="5)",J1637,IF(H1637="6)",J1637,IF(H1637="7)",J1637,IF(H1637="8)",J1637,0))))))))</f>
        <v/>
      </c>
    </row>
    <row r="1639">
      <c r="A1639" s="0" t="inlineStr">
        <is>
          <t>New</t>
        </is>
      </c>
      <c r="B1639" s="0" t="inlineStr">
        <is>
          <t>Item</t>
        </is>
      </c>
      <c r="C1639" s="0" t="inlineStr">
        <is>
          <t>Acquired</t>
        </is>
      </c>
      <c r="D1639" s="0" t="inlineStr">
        <is>
          <t>:</t>
        </is>
      </c>
      <c r="E1639" s="0" t="inlineStr">
        <is>
          <t>60.00K</t>
        </is>
      </c>
      <c r="F1639" s="0" t="inlineStr">
        <is>
          <t>(4,</t>
        </is>
      </c>
      <c r="G1639" s="0" t="inlineStr">
        <is>
          <t>23)</t>
        </is>
      </c>
      <c r="K1639" s="0">
        <f>IF(H1638="1)",1,IF(H1638="2)",2,IF(H1638="3)",3,IF(H1638="4)",4,IF(H1638="5)",5,IF(H1638="6)",6,IF(H1638="7)",7,IF(H1638="8)",8,0))))))))</f>
        <v/>
      </c>
      <c r="L1639" s="0">
        <f>IF(H1638="1)",J1638,IF(H1638="2)",J1638,IF(H1638="3)",J1638,IF(H1638="4)",J1638,IF(H1638="5)",J1638,IF(H1638="6)",J1638,IF(H1638="7)",J1638,IF(H1638="8)",J1638,0))))))))</f>
        <v/>
      </c>
    </row>
    <row r="1640">
      <c r="A1640" s="0" t="inlineStr">
        <is>
          <t>New</t>
        </is>
      </c>
      <c r="B1640" s="0" t="inlineStr">
        <is>
          <t>Item</t>
        </is>
      </c>
      <c r="C1640" s="0" t="inlineStr">
        <is>
          <t>Acquired</t>
        </is>
      </c>
      <c r="D1640" s="0" t="inlineStr">
        <is>
          <t>:</t>
        </is>
      </c>
      <c r="E1640" s="0" t="inlineStr">
        <is>
          <t>75.00K</t>
        </is>
      </c>
      <c r="F1640" s="0" t="inlineStr">
        <is>
          <t>(6,</t>
        </is>
      </c>
      <c r="G1640" s="0" t="inlineStr">
        <is>
          <t>22)</t>
        </is>
      </c>
      <c r="K1640" s="0">
        <f>IF(H1639="1)",1,IF(H1639="2)",2,IF(H1639="3)",3,IF(H1639="4)",4,IF(H1639="5)",5,IF(H1639="6)",6,IF(H1639="7)",7,IF(H1639="8)",8,0))))))))</f>
        <v/>
      </c>
      <c r="L1640" s="0">
        <f>IF(H1639="1)",J1639,IF(H1639="2)",J1639,IF(H1639="3)",J1639,IF(H1639="4)",J1639,IF(H1639="5)",J1639,IF(H1639="6)",J1639,IF(H1639="7)",J1639,IF(H1639="8)",J1639,0))))))))</f>
        <v/>
      </c>
    </row>
    <row r="1641">
      <c r="A1641" s="0" t="inlineStr">
        <is>
          <t>New</t>
        </is>
      </c>
      <c r="B1641" s="0" t="inlineStr">
        <is>
          <t>Item</t>
        </is>
      </c>
      <c r="C1641" s="0" t="inlineStr">
        <is>
          <t>Acquired</t>
        </is>
      </c>
      <c r="D1641" s="0" t="inlineStr">
        <is>
          <t>:</t>
        </is>
      </c>
      <c r="E1641" s="0" t="inlineStr">
        <is>
          <t>280.00K</t>
        </is>
      </c>
      <c r="F1641" s="0" t="inlineStr">
        <is>
          <t>(8,</t>
        </is>
      </c>
      <c r="G1641" s="0" t="inlineStr">
        <is>
          <t>8)</t>
        </is>
      </c>
      <c r="K1641" s="0">
        <f>IF(H1640="1)",1,IF(H1640="2)",2,IF(H1640="3)",3,IF(H1640="4)",4,IF(H1640="5)",5,IF(H1640="6)",6,IF(H1640="7)",7,IF(H1640="8)",8,0))))))))</f>
        <v/>
      </c>
      <c r="L1641" s="0">
        <f>IF(H1640="1)",J1640,IF(H1640="2)",J1640,IF(H1640="3)",J1640,IF(H1640="4)",J1640,IF(H1640="5)",J1640,IF(H1640="6)",J1640,IF(H1640="7)",J1640,IF(H1640="8)",J1640,0))))))))</f>
        <v/>
      </c>
    </row>
    <row r="1642">
      <c r="A1642" s="0" t="inlineStr">
        <is>
          <t>New</t>
        </is>
      </c>
      <c r="B1642" s="0" t="inlineStr">
        <is>
          <t>Item</t>
        </is>
      </c>
      <c r="C1642" s="0" t="inlineStr">
        <is>
          <t>Acquired</t>
        </is>
      </c>
      <c r="D1642" s="0" t="inlineStr">
        <is>
          <t>:</t>
        </is>
      </c>
      <c r="E1642" s="0" t="inlineStr">
        <is>
          <t>60.00K</t>
        </is>
      </c>
      <c r="F1642" s="0" t="inlineStr">
        <is>
          <t>(4,</t>
        </is>
      </c>
      <c r="G1642" s="0" t="inlineStr">
        <is>
          <t>21)</t>
        </is>
      </c>
      <c r="K1642" s="0">
        <f>IF(H1641="1)",1,IF(H1641="2)",2,IF(H1641="3)",3,IF(H1641="4)",4,IF(H1641="5)",5,IF(H1641="6)",6,IF(H1641="7)",7,IF(H1641="8)",8,0))))))))</f>
        <v/>
      </c>
      <c r="L1642" s="0">
        <f>IF(H1641="1)",J1641,IF(H1641="2)",J1641,IF(H1641="3)",J1641,IF(H1641="4)",J1641,IF(H1641="5)",J1641,IF(H1641="6)",J1641,IF(H1641="7)",J1641,IF(H1641="8)",J1641,0))))))))</f>
        <v/>
      </c>
    </row>
    <row r="1643">
      <c r="A1643" s="0" t="inlineStr">
        <is>
          <t>New</t>
        </is>
      </c>
      <c r="B1643" s="0" t="inlineStr">
        <is>
          <t>Item</t>
        </is>
      </c>
      <c r="C1643" s="0" t="inlineStr">
        <is>
          <t>Acquired</t>
        </is>
      </c>
      <c r="D1643" s="0" t="inlineStr">
        <is>
          <t>:</t>
        </is>
      </c>
      <c r="E1643" s="0" t="inlineStr">
        <is>
          <t>75.00K</t>
        </is>
      </c>
      <c r="F1643" s="0" t="inlineStr">
        <is>
          <t>(4,</t>
        </is>
      </c>
      <c r="G1643" s="0" t="inlineStr">
        <is>
          <t>1)</t>
        </is>
      </c>
      <c r="K1643" s="0">
        <f>IF(H1642="1)",1,IF(H1642="2)",2,IF(H1642="3)",3,IF(H1642="4)",4,IF(H1642="5)",5,IF(H1642="6)",6,IF(H1642="7)",7,IF(H1642="8)",8,0))))))))</f>
        <v/>
      </c>
      <c r="L1643" s="0">
        <f>IF(H1642="1)",J1642,IF(H1642="2)",J1642,IF(H1642="3)",J1642,IF(H1642="4)",J1642,IF(H1642="5)",J1642,IF(H1642="6)",J1642,IF(H1642="7)",J1642,IF(H1642="8)",J1642,0))))))))</f>
        <v/>
      </c>
    </row>
    <row r="1644">
      <c r="A1644" s="0" t="inlineStr">
        <is>
          <t>Line</t>
        </is>
      </c>
      <c r="B1644" s="0" t="inlineStr">
        <is>
          <t>Prize</t>
        </is>
      </c>
      <c r="C1644" s="0" t="inlineStr">
        <is>
          <t>Acquired</t>
        </is>
      </c>
      <c r="D1644" s="0" t="inlineStr">
        <is>
          <t>:</t>
        </is>
      </c>
      <c r="E1644" s="0" t="inlineStr">
        <is>
          <t>960.00K</t>
        </is>
      </c>
      <c r="F1644" s="0" t="inlineStr">
        <is>
          <t>(Stage</t>
        </is>
      </c>
      <c r="G1644" s="0" t="inlineStr">
        <is>
          <t>:</t>
        </is>
      </c>
      <c r="H1644" s="0" t="inlineStr">
        <is>
          <t>4)</t>
        </is>
      </c>
      <c r="I1644" s="0" t="inlineStr">
        <is>
          <t>-</t>
        </is>
      </c>
      <c r="J1644" s="0" t="n">
        <v>960000</v>
      </c>
      <c r="K1644" s="0">
        <f>IF(H1643="1)",1,IF(H1643="2)",2,IF(H1643="3)",3,IF(H1643="4)",4,IF(H1643="5)",5,IF(H1643="6)",6,IF(H1643="7)",7,IF(H1643="8)",8,0))))))))</f>
        <v/>
      </c>
      <c r="L1644" s="0">
        <f>IF(H1643="1)",J1643,IF(H1643="2)",J1643,IF(H1643="3)",J1643,IF(H1643="4)",J1643,IF(H1643="5)",J1643,IF(H1643="6)",J1643,IF(H1643="7)",J1643,IF(H1643="8)",J1643,0))))))))</f>
        <v/>
      </c>
    </row>
    <row r="1645">
      <c r="A1645" s="0" t="inlineStr">
        <is>
          <t>Clear</t>
        </is>
      </c>
      <c r="B1645" s="0" t="inlineStr">
        <is>
          <t>Gem</t>
        </is>
      </c>
      <c r="C1645" s="0" t="inlineStr">
        <is>
          <t>Acquired</t>
        </is>
      </c>
      <c r="D1645" s="0" t="inlineStr">
        <is>
          <t>:</t>
        </is>
      </c>
      <c r="E1645" s="0" t="n">
        <v>9800</v>
      </c>
      <c r="F1645" s="0" t="inlineStr">
        <is>
          <t>-&gt;</t>
        </is>
      </c>
      <c r="G1645" s="0" t="n">
        <v>9900</v>
      </c>
      <c r="H1645" s="0" t="inlineStr">
        <is>
          <t>(Stage</t>
        </is>
      </c>
      <c r="I1645" s="0" t="inlineStr">
        <is>
          <t>:</t>
        </is>
      </c>
      <c r="J1645" s="0" t="inlineStr">
        <is>
          <t>4)</t>
        </is>
      </c>
      <c r="K1645" s="0">
        <f>IF(H1644="1)",1,IF(H1644="2)",2,IF(H1644="3)",3,IF(H1644="4)",4,IF(H1644="5)",5,IF(H1644="6)",6,IF(H1644="7)",7,IF(H1644="8)",8,0))))))))</f>
        <v/>
      </c>
      <c r="L1645" s="0">
        <f>IF(H1644="1)",J1644,IF(H1644="2)",J1644,IF(H1644="3)",J1644,IF(H1644="4)",J1644,IF(H1644="5)",J1644,IF(H1644="6)",J1644,IF(H1644="7)",J1644,IF(H1644="8)",J1644,0))))))))</f>
        <v/>
      </c>
    </row>
    <row r="1646">
      <c r="A1646" s="0" t="inlineStr">
        <is>
          <t>New</t>
        </is>
      </c>
      <c r="B1646" s="0" t="inlineStr">
        <is>
          <t>Item</t>
        </is>
      </c>
      <c r="C1646" s="0" t="inlineStr">
        <is>
          <t>Acquired</t>
        </is>
      </c>
      <c r="D1646" s="0" t="inlineStr">
        <is>
          <t>:</t>
        </is>
      </c>
      <c r="E1646" s="0" t="inlineStr">
        <is>
          <t>Minor</t>
        </is>
      </c>
      <c r="F1646" s="0" t="inlineStr">
        <is>
          <t>(7,</t>
        </is>
      </c>
      <c r="G1646" s="0" t="inlineStr">
        <is>
          <t>8)</t>
        </is>
      </c>
      <c r="K1646" s="0">
        <f>IF(H1645="1)",1,IF(H1645="2)",2,IF(H1645="3)",3,IF(H1645="4)",4,IF(H1645="5)",5,IF(H1645="6)",6,IF(H1645="7)",7,IF(H1645="8)",8,0))))))))</f>
        <v/>
      </c>
      <c r="L1646" s="0">
        <f>IF(H1645="1)",J1645,IF(H1645="2)",J1645,IF(H1645="3)",J1645,IF(H1645="4)",J1645,IF(H1645="5)",J1645,IF(H1645="6)",J1645,IF(H1645="7)",J1645,IF(H1645="8)",J1645,0))))))))</f>
        <v/>
      </c>
    </row>
    <row r="1647">
      <c r="A1647" s="0" t="inlineStr">
        <is>
          <t>New</t>
        </is>
      </c>
      <c r="B1647" s="0" t="inlineStr">
        <is>
          <t>Item</t>
        </is>
      </c>
      <c r="C1647" s="0" t="inlineStr">
        <is>
          <t>Acquired</t>
        </is>
      </c>
      <c r="D1647" s="0" t="inlineStr">
        <is>
          <t>:</t>
        </is>
      </c>
      <c r="E1647" s="0" t="inlineStr">
        <is>
          <t>200.00K</t>
        </is>
      </c>
      <c r="F1647" s="0" t="inlineStr">
        <is>
          <t>(8,</t>
        </is>
      </c>
      <c r="G1647" s="0" t="inlineStr">
        <is>
          <t>7)</t>
        </is>
      </c>
      <c r="K1647" s="0">
        <f>IF(H1646="1)",1,IF(H1646="2)",2,IF(H1646="3)",3,IF(H1646="4)",4,IF(H1646="5)",5,IF(H1646="6)",6,IF(H1646="7)",7,IF(H1646="8)",8,0))))))))</f>
        <v/>
      </c>
      <c r="L1647" s="0">
        <f>IF(H1646="1)",J1646,IF(H1646="2)",J1646,IF(H1646="3)",J1646,IF(H1646="4)",J1646,IF(H1646="5)",J1646,IF(H1646="6)",J1646,IF(H1646="7)",J1646,IF(H1646="8)",J1646,0))))))))</f>
        <v/>
      </c>
    </row>
    <row r="1648">
      <c r="A1648" s="0" t="inlineStr">
        <is>
          <t>New</t>
        </is>
      </c>
      <c r="B1648" s="0" t="inlineStr">
        <is>
          <t>Item</t>
        </is>
      </c>
      <c r="C1648" s="0" t="inlineStr">
        <is>
          <t>Acquired</t>
        </is>
      </c>
      <c r="D1648" s="0" t="inlineStr">
        <is>
          <t>:</t>
        </is>
      </c>
      <c r="E1648" s="0" t="inlineStr">
        <is>
          <t>200.00K</t>
        </is>
      </c>
      <c r="F1648" s="0" t="inlineStr">
        <is>
          <t>(8,</t>
        </is>
      </c>
      <c r="G1648" s="0" t="inlineStr">
        <is>
          <t>17)</t>
        </is>
      </c>
      <c r="K1648" s="0">
        <f>IF(H1647="1)",1,IF(H1647="2)",2,IF(H1647="3)",3,IF(H1647="4)",4,IF(H1647="5)",5,IF(H1647="6)",6,IF(H1647="7)",7,IF(H1647="8)",8,0))))))))</f>
        <v/>
      </c>
      <c r="L1648" s="0">
        <f>IF(H1647="1)",J1647,IF(H1647="2)",J1647,IF(H1647="3)",J1647,IF(H1647="4)",J1647,IF(H1647="5)",J1647,IF(H1647="6)",J1647,IF(H1647="7)",J1647,IF(H1647="8)",J1647,0))))))))</f>
        <v/>
      </c>
    </row>
    <row r="1649">
      <c r="A1649" s="0" t="inlineStr">
        <is>
          <t>New</t>
        </is>
      </c>
      <c r="B1649" s="0" t="inlineStr">
        <is>
          <t>Item</t>
        </is>
      </c>
      <c r="C1649" s="0" t="inlineStr">
        <is>
          <t>Acquired</t>
        </is>
      </c>
      <c r="D1649" s="0" t="inlineStr">
        <is>
          <t>:</t>
        </is>
      </c>
      <c r="E1649" s="0" t="inlineStr">
        <is>
          <t>105.00K</t>
        </is>
      </c>
      <c r="F1649" s="0" t="inlineStr">
        <is>
          <t>(4,</t>
        </is>
      </c>
      <c r="G1649" s="0" t="inlineStr">
        <is>
          <t>6)</t>
        </is>
      </c>
      <c r="K1649" s="0">
        <f>IF(H1648="1)",1,IF(H1648="2)",2,IF(H1648="3)",3,IF(H1648="4)",4,IF(H1648="5)",5,IF(H1648="6)",6,IF(H1648="7)",7,IF(H1648="8)",8,0))))))))</f>
        <v/>
      </c>
      <c r="L1649" s="0">
        <f>IF(H1648="1)",J1648,IF(H1648="2)",J1648,IF(H1648="3)",J1648,IF(H1648="4)",J1648,IF(H1648="5)",J1648,IF(H1648="6)",J1648,IF(H1648="7)",J1648,IF(H1648="8)",J1648,0))))))))</f>
        <v/>
      </c>
    </row>
    <row r="1650">
      <c r="A1650" s="0" t="inlineStr">
        <is>
          <t>New</t>
        </is>
      </c>
      <c r="B1650" s="0" t="inlineStr">
        <is>
          <t>Item</t>
        </is>
      </c>
      <c r="C1650" s="0" t="inlineStr">
        <is>
          <t>Acquired</t>
        </is>
      </c>
      <c r="D1650" s="0" t="inlineStr">
        <is>
          <t>:</t>
        </is>
      </c>
      <c r="E1650" s="0" t="inlineStr">
        <is>
          <t>120.00K</t>
        </is>
      </c>
      <c r="F1650" s="0" t="inlineStr">
        <is>
          <t>(8,</t>
        </is>
      </c>
      <c r="G1650" s="0" t="inlineStr">
        <is>
          <t>9)</t>
        </is>
      </c>
      <c r="K1650" s="0">
        <f>IF(H1649="1)",1,IF(H1649="2)",2,IF(H1649="3)",3,IF(H1649="4)",4,IF(H1649="5)",5,IF(H1649="6)",6,IF(H1649="7)",7,IF(H1649="8)",8,0))))))))</f>
        <v/>
      </c>
      <c r="L1650" s="0">
        <f>IF(H1649="1)",J1649,IF(H1649="2)",J1649,IF(H1649="3)",J1649,IF(H1649="4)",J1649,IF(H1649="5)",J1649,IF(H1649="6)",J1649,IF(H1649="7)",J1649,IF(H1649="8)",J1649,0))))))))</f>
        <v/>
      </c>
    </row>
    <row r="1651">
      <c r="A1651" s="0" t="inlineStr">
        <is>
          <t>New</t>
        </is>
      </c>
      <c r="B1651" s="0" t="inlineStr">
        <is>
          <t>Item</t>
        </is>
      </c>
      <c r="C1651" s="0" t="inlineStr">
        <is>
          <t>Acquired</t>
        </is>
      </c>
      <c r="D1651" s="0" t="inlineStr">
        <is>
          <t>:</t>
        </is>
      </c>
      <c r="E1651" s="0" t="inlineStr">
        <is>
          <t>60.00K</t>
        </is>
      </c>
      <c r="F1651" s="0" t="inlineStr">
        <is>
          <t>(4,</t>
        </is>
      </c>
      <c r="G1651" s="0" t="inlineStr">
        <is>
          <t>3)</t>
        </is>
      </c>
      <c r="K1651" s="0">
        <f>IF(H1650="1)",1,IF(H1650="2)",2,IF(H1650="3)",3,IF(H1650="4)",4,IF(H1650="5)",5,IF(H1650="6)",6,IF(H1650="7)",7,IF(H1650="8)",8,0))))))))</f>
        <v/>
      </c>
      <c r="L1651" s="0">
        <f>IF(H1650="1)",J1650,IF(H1650="2)",J1650,IF(H1650="3)",J1650,IF(H1650="4)",J1650,IF(H1650="5)",J1650,IF(H1650="6)",J1650,IF(H1650="7)",J1650,IF(H1650="8)",J1650,0))))))))</f>
        <v/>
      </c>
    </row>
    <row r="1652">
      <c r="A1652" s="0" t="inlineStr">
        <is>
          <t>New</t>
        </is>
      </c>
      <c r="B1652" s="0" t="inlineStr">
        <is>
          <t>Item</t>
        </is>
      </c>
      <c r="C1652" s="0" t="inlineStr">
        <is>
          <t>Acquired</t>
        </is>
      </c>
      <c r="D1652" s="0" t="inlineStr">
        <is>
          <t>:</t>
        </is>
      </c>
      <c r="E1652" s="0" t="inlineStr">
        <is>
          <t>75.00K</t>
        </is>
      </c>
      <c r="F1652" s="0" t="inlineStr">
        <is>
          <t>(3,</t>
        </is>
      </c>
      <c r="G1652" s="0" t="inlineStr">
        <is>
          <t>14)</t>
        </is>
      </c>
      <c r="K1652" s="0">
        <f>IF(H1651="1)",1,IF(H1651="2)",2,IF(H1651="3)",3,IF(H1651="4)",4,IF(H1651="5)",5,IF(H1651="6)",6,IF(H1651="7)",7,IF(H1651="8)",8,0))))))))</f>
        <v/>
      </c>
      <c r="L1652" s="0">
        <f>IF(H1651="1)",J1651,IF(H1651="2)",J1651,IF(H1651="3)",J1651,IF(H1651="4)",J1651,IF(H1651="5)",J1651,IF(H1651="6)",J1651,IF(H1651="7)",J1651,IF(H1651="8)",J1651,0))))))))</f>
        <v/>
      </c>
    </row>
    <row r="1653">
      <c r="A1653" s="0" t="inlineStr">
        <is>
          <t>New</t>
        </is>
      </c>
      <c r="B1653" s="0" t="inlineStr">
        <is>
          <t>Item</t>
        </is>
      </c>
      <c r="C1653" s="0" t="inlineStr">
        <is>
          <t>Acquired</t>
        </is>
      </c>
      <c r="D1653" s="0" t="inlineStr">
        <is>
          <t>:</t>
        </is>
      </c>
      <c r="E1653" s="0" t="inlineStr">
        <is>
          <t>175.00K</t>
        </is>
      </c>
      <c r="F1653" s="0" t="inlineStr">
        <is>
          <t>(6,</t>
        </is>
      </c>
      <c r="G1653" s="0" t="inlineStr">
        <is>
          <t>25)</t>
        </is>
      </c>
      <c r="K1653" s="0">
        <f>IF(H1652="1)",1,IF(H1652="2)",2,IF(H1652="3)",3,IF(H1652="4)",4,IF(H1652="5)",5,IF(H1652="6)",6,IF(H1652="7)",7,IF(H1652="8)",8,0))))))))</f>
        <v/>
      </c>
      <c r="L1653" s="0">
        <f>IF(H1652="1)",J1652,IF(H1652="2)",J1652,IF(H1652="3)",J1652,IF(H1652="4)",J1652,IF(H1652="5)",J1652,IF(H1652="6)",J1652,IF(H1652="7)",J1652,IF(H1652="8)",J1652,0))))))))</f>
        <v/>
      </c>
    </row>
    <row r="1654">
      <c r="A1654" s="0" t="inlineStr">
        <is>
          <t>New</t>
        </is>
      </c>
      <c r="B1654" s="0" t="inlineStr">
        <is>
          <t>Item</t>
        </is>
      </c>
      <c r="C1654" s="0" t="inlineStr">
        <is>
          <t>Acquired</t>
        </is>
      </c>
      <c r="D1654" s="0" t="inlineStr">
        <is>
          <t>:</t>
        </is>
      </c>
      <c r="E1654" s="0" t="inlineStr">
        <is>
          <t>120.00K</t>
        </is>
      </c>
      <c r="F1654" s="0" t="inlineStr">
        <is>
          <t>(8,</t>
        </is>
      </c>
      <c r="G1654" s="0" t="inlineStr">
        <is>
          <t>24)</t>
        </is>
      </c>
      <c r="K1654" s="0">
        <f>IF(H1653="1)",1,IF(H1653="2)",2,IF(H1653="3)",3,IF(H1653="4)",4,IF(H1653="5)",5,IF(H1653="6)",6,IF(H1653="7)",7,IF(H1653="8)",8,0))))))))</f>
        <v/>
      </c>
      <c r="L1654" s="0">
        <f>IF(H1653="1)",J1653,IF(H1653="2)",J1653,IF(H1653="3)",J1653,IF(H1653="4)",J1653,IF(H1653="5)",J1653,IF(H1653="6)",J1653,IF(H1653="7)",J1653,IF(H1653="8)",J1653,0))))))))</f>
        <v/>
      </c>
    </row>
    <row r="1655">
      <c r="A1655" s="0" t="inlineStr">
        <is>
          <t>New</t>
        </is>
      </c>
      <c r="B1655" s="0" t="inlineStr">
        <is>
          <t>Item</t>
        </is>
      </c>
      <c r="C1655" s="0" t="inlineStr">
        <is>
          <t>Acquired</t>
        </is>
      </c>
      <c r="D1655" s="0" t="inlineStr">
        <is>
          <t>:</t>
        </is>
      </c>
      <c r="E1655" s="0" t="inlineStr">
        <is>
          <t>Mini</t>
        </is>
      </c>
      <c r="F1655" s="0" t="inlineStr">
        <is>
          <t>(6,</t>
        </is>
      </c>
      <c r="G1655" s="0" t="inlineStr">
        <is>
          <t>16)</t>
        </is>
      </c>
      <c r="K1655" s="0">
        <f>IF(H1654="1)",1,IF(H1654="2)",2,IF(H1654="3)",3,IF(H1654="4)",4,IF(H1654="5)",5,IF(H1654="6)",6,IF(H1654="7)",7,IF(H1654="8)",8,0))))))))</f>
        <v/>
      </c>
      <c r="L1655" s="0">
        <f>IF(H1654="1)",J1654,IF(H1654="2)",J1654,IF(H1654="3)",J1654,IF(H1654="4)",J1654,IF(H1654="5)",J1654,IF(H1654="6)",J1654,IF(H1654="7)",J1654,IF(H1654="8)",J1654,0))))))))</f>
        <v/>
      </c>
    </row>
    <row r="1656">
      <c r="A1656" s="0" t="inlineStr">
        <is>
          <t>New</t>
        </is>
      </c>
      <c r="B1656" s="0" t="inlineStr">
        <is>
          <t>Item</t>
        </is>
      </c>
      <c r="C1656" s="0" t="inlineStr">
        <is>
          <t>Acquired</t>
        </is>
      </c>
      <c r="D1656" s="0" t="inlineStr">
        <is>
          <t>:</t>
        </is>
      </c>
      <c r="E1656" s="0" t="inlineStr">
        <is>
          <t>60.00K</t>
        </is>
      </c>
      <c r="F1656" s="0" t="inlineStr">
        <is>
          <t>(4,</t>
        </is>
      </c>
      <c r="G1656" s="0" t="inlineStr">
        <is>
          <t>14)</t>
        </is>
      </c>
      <c r="K1656" s="0">
        <f>IF(H1655="1)",1,IF(H1655="2)",2,IF(H1655="3)",3,IF(H1655="4)",4,IF(H1655="5)",5,IF(H1655="6)",6,IF(H1655="7)",7,IF(H1655="8)",8,0))))))))</f>
        <v/>
      </c>
      <c r="L1656" s="0">
        <f>IF(H1655="1)",J1655,IF(H1655="2)",J1655,IF(H1655="3)",J1655,IF(H1655="4)",J1655,IF(H1655="5)",J1655,IF(H1655="6)",J1655,IF(H1655="7)",J1655,IF(H1655="8)",J1655,0))))))))</f>
        <v/>
      </c>
    </row>
    <row r="1657">
      <c r="A1657" s="0" t="inlineStr">
        <is>
          <t>New</t>
        </is>
      </c>
      <c r="B1657" s="0" t="inlineStr">
        <is>
          <t>Item</t>
        </is>
      </c>
      <c r="C1657" s="0" t="inlineStr">
        <is>
          <t>Acquired</t>
        </is>
      </c>
      <c r="D1657" s="0" t="inlineStr">
        <is>
          <t>:</t>
        </is>
      </c>
      <c r="E1657" s="0" t="inlineStr">
        <is>
          <t>Minor</t>
        </is>
      </c>
      <c r="F1657" s="0" t="inlineStr">
        <is>
          <t>(2,</t>
        </is>
      </c>
      <c r="G1657" s="0" t="inlineStr">
        <is>
          <t>20)</t>
        </is>
      </c>
      <c r="K1657" s="0">
        <f>IF(H1656="1)",1,IF(H1656="2)",2,IF(H1656="3)",3,IF(H1656="4)",4,IF(H1656="5)",5,IF(H1656="6)",6,IF(H1656="7)",7,IF(H1656="8)",8,0))))))))</f>
        <v/>
      </c>
      <c r="L1657" s="0">
        <f>IF(H1656="1)",J1656,IF(H1656="2)",J1656,IF(H1656="3)",J1656,IF(H1656="4)",J1656,IF(H1656="5)",J1656,IF(H1656="6)",J1656,IF(H1656="7)",J1656,IF(H1656="8)",J1656,0))))))))</f>
        <v/>
      </c>
    </row>
    <row r="1658">
      <c r="A1658" s="0" t="inlineStr">
        <is>
          <t>New</t>
        </is>
      </c>
      <c r="B1658" s="0" t="inlineStr">
        <is>
          <t>Item</t>
        </is>
      </c>
      <c r="C1658" s="0" t="inlineStr">
        <is>
          <t>Acquired</t>
        </is>
      </c>
      <c r="D1658" s="0" t="inlineStr">
        <is>
          <t>:</t>
        </is>
      </c>
      <c r="E1658" s="0" t="inlineStr">
        <is>
          <t>105.00K</t>
        </is>
      </c>
      <c r="F1658" s="0" t="inlineStr">
        <is>
          <t>(4,</t>
        </is>
      </c>
      <c r="G1658" s="0" t="inlineStr">
        <is>
          <t>21)</t>
        </is>
      </c>
      <c r="K1658" s="0">
        <f>IF(H1657="1)",1,IF(H1657="2)",2,IF(H1657="3)",3,IF(H1657="4)",4,IF(H1657="5)",5,IF(H1657="6)",6,IF(H1657="7)",7,IF(H1657="8)",8,0))))))))</f>
        <v/>
      </c>
      <c r="L1658" s="0">
        <f>IF(H1657="1)",J1657,IF(H1657="2)",J1657,IF(H1657="3)",J1657,IF(H1657="4)",J1657,IF(H1657="5)",J1657,IF(H1657="6)",J1657,IF(H1657="7)",J1657,IF(H1657="8)",J1657,0))))))))</f>
        <v/>
      </c>
    </row>
    <row r="1659">
      <c r="A1659" s="0" t="inlineStr">
        <is>
          <t>New</t>
        </is>
      </c>
      <c r="B1659" s="0" t="inlineStr">
        <is>
          <t>Item</t>
        </is>
      </c>
      <c r="C1659" s="0" t="inlineStr">
        <is>
          <t>Acquired</t>
        </is>
      </c>
      <c r="D1659" s="0" t="inlineStr">
        <is>
          <t>:</t>
        </is>
      </c>
      <c r="E1659" s="0" t="inlineStr">
        <is>
          <t>120.00K</t>
        </is>
      </c>
      <c r="F1659" s="0" t="inlineStr">
        <is>
          <t>(8,</t>
        </is>
      </c>
      <c r="G1659" s="0" t="inlineStr">
        <is>
          <t>6)</t>
        </is>
      </c>
      <c r="K1659" s="0">
        <f>IF(H1658="1)",1,IF(H1658="2)",2,IF(H1658="3)",3,IF(H1658="4)",4,IF(H1658="5)",5,IF(H1658="6)",6,IF(H1658="7)",7,IF(H1658="8)",8,0))))))))</f>
        <v/>
      </c>
      <c r="L1659" s="0">
        <f>IF(H1658="1)",J1658,IF(H1658="2)",J1658,IF(H1658="3)",J1658,IF(H1658="4)",J1658,IF(H1658="5)",J1658,IF(H1658="6)",J1658,IF(H1658="7)",J1658,IF(H1658="8)",J1658,0))))))))</f>
        <v/>
      </c>
    </row>
    <row r="1660">
      <c r="A1660" s="0" t="inlineStr">
        <is>
          <t>New</t>
        </is>
      </c>
      <c r="B1660" s="0" t="inlineStr">
        <is>
          <t>Item</t>
        </is>
      </c>
      <c r="C1660" s="0" t="inlineStr">
        <is>
          <t>Acquired</t>
        </is>
      </c>
      <c r="D1660" s="0" t="inlineStr">
        <is>
          <t>:</t>
        </is>
      </c>
      <c r="E1660" s="0" t="inlineStr">
        <is>
          <t>60.00K</t>
        </is>
      </c>
      <c r="F1660" s="0" t="inlineStr">
        <is>
          <t>(4,</t>
        </is>
      </c>
      <c r="G1660" s="0" t="inlineStr">
        <is>
          <t>4)</t>
        </is>
      </c>
      <c r="K1660" s="0">
        <f>IF(H1659="1)",1,IF(H1659="2)",2,IF(H1659="3)",3,IF(H1659="4)",4,IF(H1659="5)",5,IF(H1659="6)",6,IF(H1659="7)",7,IF(H1659="8)",8,0))))))))</f>
        <v/>
      </c>
      <c r="L1660" s="0">
        <f>IF(H1659="1)",J1659,IF(H1659="2)",J1659,IF(H1659="3)",J1659,IF(H1659="4)",J1659,IF(H1659="5)",J1659,IF(H1659="6)",J1659,IF(H1659="7)",J1659,IF(H1659="8)",J1659,0))))))))</f>
        <v/>
      </c>
    </row>
    <row r="1661">
      <c r="A1661" s="0" t="inlineStr">
        <is>
          <t>New</t>
        </is>
      </c>
      <c r="B1661" s="0" t="inlineStr">
        <is>
          <t>Item</t>
        </is>
      </c>
      <c r="C1661" s="0" t="inlineStr">
        <is>
          <t>Acquired</t>
        </is>
      </c>
      <c r="D1661" s="0" t="inlineStr">
        <is>
          <t>:</t>
        </is>
      </c>
      <c r="E1661" s="0" t="inlineStr">
        <is>
          <t>67.50K</t>
        </is>
      </c>
      <c r="F1661" s="0" t="inlineStr">
        <is>
          <t>(5,</t>
        </is>
      </c>
      <c r="G1661" s="0" t="inlineStr">
        <is>
          <t>20)</t>
        </is>
      </c>
      <c r="K1661" s="0">
        <f>IF(H1660="1)",1,IF(H1660="2)",2,IF(H1660="3)",3,IF(H1660="4)",4,IF(H1660="5)",5,IF(H1660="6)",6,IF(H1660="7)",7,IF(H1660="8)",8,0))))))))</f>
        <v/>
      </c>
      <c r="L1661" s="0">
        <f>IF(H1660="1)",J1660,IF(H1660="2)",J1660,IF(H1660="3)",J1660,IF(H1660="4)",J1660,IF(H1660="5)",J1660,IF(H1660="6)",J1660,IF(H1660="7)",J1660,IF(H1660="8)",J1660,0))))))))</f>
        <v/>
      </c>
    </row>
    <row r="1662">
      <c r="A1662" s="0" t="inlineStr">
        <is>
          <t>New</t>
        </is>
      </c>
      <c r="B1662" s="0" t="inlineStr">
        <is>
          <t>Item</t>
        </is>
      </c>
      <c r="C1662" s="0" t="inlineStr">
        <is>
          <t>Acquired</t>
        </is>
      </c>
      <c r="D1662" s="0" t="inlineStr">
        <is>
          <t>:</t>
        </is>
      </c>
      <c r="E1662" s="0" t="inlineStr">
        <is>
          <t>75.00K</t>
        </is>
      </c>
      <c r="F1662" s="0" t="inlineStr">
        <is>
          <t>(6,</t>
        </is>
      </c>
      <c r="G1662" s="0" t="inlineStr">
        <is>
          <t>4)</t>
        </is>
      </c>
      <c r="K1662" s="0">
        <f>IF(H1661="1)",1,IF(H1661="2)",2,IF(H1661="3)",3,IF(H1661="4)",4,IF(H1661="5)",5,IF(H1661="6)",6,IF(H1661="7)",7,IF(H1661="8)",8,0))))))))</f>
        <v/>
      </c>
      <c r="L1662" s="0">
        <f>IF(H1661="1)",J1661,IF(H1661="2)",J1661,IF(H1661="3)",J1661,IF(H1661="4)",J1661,IF(H1661="5)",J1661,IF(H1661="6)",J1661,IF(H1661="7)",J1661,IF(H1661="8)",J1661,0))))))))</f>
        <v/>
      </c>
    </row>
    <row r="1663">
      <c r="A1663" s="0" t="inlineStr">
        <is>
          <t>New</t>
        </is>
      </c>
      <c r="B1663" s="0" t="inlineStr">
        <is>
          <t>Item</t>
        </is>
      </c>
      <c r="C1663" s="0" t="inlineStr">
        <is>
          <t>Acquired</t>
        </is>
      </c>
      <c r="D1663" s="0" t="inlineStr">
        <is>
          <t>:</t>
        </is>
      </c>
      <c r="E1663" s="0" t="inlineStr">
        <is>
          <t>280.00K</t>
        </is>
      </c>
      <c r="F1663" s="0" t="inlineStr">
        <is>
          <t>(8,</t>
        </is>
      </c>
      <c r="G1663" s="0" t="inlineStr">
        <is>
          <t>18)</t>
        </is>
      </c>
      <c r="K1663" s="0">
        <f>IF(H1662="1)",1,IF(H1662="2)",2,IF(H1662="3)",3,IF(H1662="4)",4,IF(H1662="5)",5,IF(H1662="6)",6,IF(H1662="7)",7,IF(H1662="8)",8,0))))))))</f>
        <v/>
      </c>
      <c r="L1663" s="0">
        <f>IF(H1662="1)",J1662,IF(H1662="2)",J1662,IF(H1662="3)",J1662,IF(H1662="4)",J1662,IF(H1662="5)",J1662,IF(H1662="6)",J1662,IF(H1662="7)",J1662,IF(H1662="8)",J1662,0))))))))</f>
        <v/>
      </c>
    </row>
    <row r="1664">
      <c r="A1664" s="0" t="inlineStr">
        <is>
          <t>New</t>
        </is>
      </c>
      <c r="B1664" s="0" t="inlineStr">
        <is>
          <t>Item</t>
        </is>
      </c>
      <c r="C1664" s="0" t="inlineStr">
        <is>
          <t>Acquired</t>
        </is>
      </c>
      <c r="D1664" s="0" t="inlineStr">
        <is>
          <t>:</t>
        </is>
      </c>
      <c r="E1664" s="0" t="inlineStr">
        <is>
          <t>67.50K</t>
        </is>
      </c>
      <c r="F1664" s="0" t="inlineStr">
        <is>
          <t>(5,</t>
        </is>
      </c>
      <c r="G1664" s="0" t="inlineStr">
        <is>
          <t>17)</t>
        </is>
      </c>
      <c r="K1664" s="0">
        <f>IF(H1663="1)",1,IF(H1663="2)",2,IF(H1663="3)",3,IF(H1663="4)",4,IF(H1663="5)",5,IF(H1663="6)",6,IF(H1663="7)",7,IF(H1663="8)",8,0))))))))</f>
        <v/>
      </c>
      <c r="L1664" s="0">
        <f>IF(H1663="1)",J1663,IF(H1663="2)",J1663,IF(H1663="3)",J1663,IF(H1663="4)",J1663,IF(H1663="5)",J1663,IF(H1663="6)",J1663,IF(H1663="7)",J1663,IF(H1663="8)",J1663,0))))))))</f>
        <v/>
      </c>
    </row>
    <row r="1665">
      <c r="A1665" s="0" t="inlineStr">
        <is>
          <t>New</t>
        </is>
      </c>
      <c r="B1665" s="0" t="inlineStr">
        <is>
          <t>Item</t>
        </is>
      </c>
      <c r="C1665" s="0" t="inlineStr">
        <is>
          <t>Acquired</t>
        </is>
      </c>
      <c r="D1665" s="0" t="inlineStr">
        <is>
          <t>:</t>
        </is>
      </c>
      <c r="E1665" s="0" t="inlineStr">
        <is>
          <t>37.50K</t>
        </is>
      </c>
      <c r="F1665" s="0" t="inlineStr">
        <is>
          <t>(2,</t>
        </is>
      </c>
      <c r="G1665" s="0" t="inlineStr">
        <is>
          <t>24)</t>
        </is>
      </c>
      <c r="K1665" s="0">
        <f>IF(H1664="1)",1,IF(H1664="2)",2,IF(H1664="3)",3,IF(H1664="4)",4,IF(H1664="5)",5,IF(H1664="6)",6,IF(H1664="7)",7,IF(H1664="8)",8,0))))))))</f>
        <v/>
      </c>
      <c r="L1665" s="0">
        <f>IF(H1664="1)",J1664,IF(H1664="2)",J1664,IF(H1664="3)",J1664,IF(H1664="4)",J1664,IF(H1664="5)",J1664,IF(H1664="6)",J1664,IF(H1664="7)",J1664,IF(H1664="8)",J1664,0))))))))</f>
        <v/>
      </c>
    </row>
    <row r="1666">
      <c r="A1666" s="0" t="inlineStr">
        <is>
          <t>New</t>
        </is>
      </c>
      <c r="B1666" s="0" t="inlineStr">
        <is>
          <t>Item</t>
        </is>
      </c>
      <c r="C1666" s="0" t="inlineStr">
        <is>
          <t>Acquired</t>
        </is>
      </c>
      <c r="D1666" s="0" t="inlineStr">
        <is>
          <t>:</t>
        </is>
      </c>
      <c r="E1666" s="0" t="inlineStr">
        <is>
          <t>200.00K</t>
        </is>
      </c>
      <c r="F1666" s="0" t="inlineStr">
        <is>
          <t>(8,</t>
        </is>
      </c>
      <c r="G1666" s="0" t="inlineStr">
        <is>
          <t>15)</t>
        </is>
      </c>
      <c r="K1666" s="0">
        <f>IF(H1665="1)",1,IF(H1665="2)",2,IF(H1665="3)",3,IF(H1665="4)",4,IF(H1665="5)",5,IF(H1665="6)",6,IF(H1665="7)",7,IF(H1665="8)",8,0))))))))</f>
        <v/>
      </c>
      <c r="L1666" s="0">
        <f>IF(H1665="1)",J1665,IF(H1665="2)",J1665,IF(H1665="3)",J1665,IF(H1665="4)",J1665,IF(H1665="5)",J1665,IF(H1665="6)",J1665,IF(H1665="7)",J1665,IF(H1665="8)",J1665,0))))))))</f>
        <v/>
      </c>
    </row>
    <row r="1667">
      <c r="A1667" s="0" t="inlineStr">
        <is>
          <t>New</t>
        </is>
      </c>
      <c r="B1667" s="0" t="inlineStr">
        <is>
          <t>Item</t>
        </is>
      </c>
      <c r="C1667" s="0" t="inlineStr">
        <is>
          <t>Acquired</t>
        </is>
      </c>
      <c r="D1667" s="0" t="inlineStr">
        <is>
          <t>:</t>
        </is>
      </c>
      <c r="E1667" s="0" t="inlineStr">
        <is>
          <t>75.00K</t>
        </is>
      </c>
      <c r="F1667" s="0" t="inlineStr">
        <is>
          <t>(4,</t>
        </is>
      </c>
      <c r="G1667" s="0" t="inlineStr">
        <is>
          <t>2)</t>
        </is>
      </c>
      <c r="K1667" s="0">
        <f>IF(H1666="1)",1,IF(H1666="2)",2,IF(H1666="3)",3,IF(H1666="4)",4,IF(H1666="5)",5,IF(H1666="6)",6,IF(H1666="7)",7,IF(H1666="8)",8,0))))))))</f>
        <v/>
      </c>
      <c r="L1667" s="0">
        <f>IF(H1666="1)",J1666,IF(H1666="2)",J1666,IF(H1666="3)",J1666,IF(H1666="4)",J1666,IF(H1666="5)",J1666,IF(H1666="6)",J1666,IF(H1666="7)",J1666,IF(H1666="8)",J1666,0))))))))</f>
        <v/>
      </c>
    </row>
    <row r="1668">
      <c r="A1668" s="0" t="inlineStr">
        <is>
          <t>New</t>
        </is>
      </c>
      <c r="B1668" s="0" t="inlineStr">
        <is>
          <t>Item</t>
        </is>
      </c>
      <c r="C1668" s="0" t="inlineStr">
        <is>
          <t>Acquired</t>
        </is>
      </c>
      <c r="D1668" s="0" t="inlineStr">
        <is>
          <t>:</t>
        </is>
      </c>
      <c r="E1668" s="0" t="inlineStr">
        <is>
          <t>75.00K</t>
        </is>
      </c>
      <c r="F1668" s="0" t="inlineStr">
        <is>
          <t>(3,</t>
        </is>
      </c>
      <c r="G1668" s="0" t="inlineStr">
        <is>
          <t>1)</t>
        </is>
      </c>
      <c r="K1668" s="0">
        <f>IF(H1667="1)",1,IF(H1667="2)",2,IF(H1667="3)",3,IF(H1667="4)",4,IF(H1667="5)",5,IF(H1667="6)",6,IF(H1667="7)",7,IF(H1667="8)",8,0))))))))</f>
        <v/>
      </c>
      <c r="L1668" s="0">
        <f>IF(H1667="1)",J1667,IF(H1667="2)",J1667,IF(H1667="3)",J1667,IF(H1667="4)",J1667,IF(H1667="5)",J1667,IF(H1667="6)",J1667,IF(H1667="7)",J1667,IF(H1667="8)",J1667,0))))))))</f>
        <v/>
      </c>
    </row>
    <row r="1669">
      <c r="A1669" s="0" t="inlineStr">
        <is>
          <t>Line</t>
        </is>
      </c>
      <c r="B1669" s="0" t="inlineStr">
        <is>
          <t>Prize</t>
        </is>
      </c>
      <c r="C1669" s="0" t="inlineStr">
        <is>
          <t>Acquired</t>
        </is>
      </c>
      <c r="D1669" s="0" t="inlineStr">
        <is>
          <t>:</t>
        </is>
      </c>
      <c r="E1669" s="0" t="inlineStr">
        <is>
          <t>540.00K</t>
        </is>
      </c>
      <c r="F1669" s="0" t="inlineStr">
        <is>
          <t>(Stage</t>
        </is>
      </c>
      <c r="G1669" s="0" t="inlineStr">
        <is>
          <t>:</t>
        </is>
      </c>
      <c r="H1669" s="0" t="inlineStr">
        <is>
          <t>3)</t>
        </is>
      </c>
      <c r="I1669" s="0" t="inlineStr">
        <is>
          <t>-</t>
        </is>
      </c>
      <c r="J1669" s="0" t="n">
        <v>540000</v>
      </c>
      <c r="K1669" s="0">
        <f>IF(H1668="1)",1,IF(H1668="2)",2,IF(H1668="3)",3,IF(H1668="4)",4,IF(H1668="5)",5,IF(H1668="6)",6,IF(H1668="7)",7,IF(H1668="8)",8,0))))))))</f>
        <v/>
      </c>
      <c r="L1669" s="0">
        <f>IF(H1668="1)",J1668,IF(H1668="2)",J1668,IF(H1668="3)",J1668,IF(H1668="4)",J1668,IF(H1668="5)",J1668,IF(H1668="6)",J1668,IF(H1668="7)",J1668,IF(H1668="8)",J1668,0))))))))</f>
        <v/>
      </c>
    </row>
    <row r="1670">
      <c r="A1670" s="0" t="inlineStr">
        <is>
          <t>Clear</t>
        </is>
      </c>
      <c r="B1670" s="0" t="inlineStr">
        <is>
          <t>Gem</t>
        </is>
      </c>
      <c r="C1670" s="0" t="inlineStr">
        <is>
          <t>Acquired</t>
        </is>
      </c>
      <c r="D1670" s="0" t="inlineStr">
        <is>
          <t>:</t>
        </is>
      </c>
      <c r="E1670" s="0" t="n">
        <v>9900</v>
      </c>
      <c r="F1670" s="0" t="inlineStr">
        <is>
          <t>-&gt;</t>
        </is>
      </c>
      <c r="G1670" s="0" t="n">
        <v>10000</v>
      </c>
      <c r="H1670" s="0" t="inlineStr">
        <is>
          <t>(Stage</t>
        </is>
      </c>
      <c r="I1670" s="0" t="inlineStr">
        <is>
          <t>:</t>
        </is>
      </c>
      <c r="J1670" s="0" t="inlineStr">
        <is>
          <t>3)</t>
        </is>
      </c>
      <c r="K1670" s="0">
        <f>IF(H1669="1)",1,IF(H1669="2)",2,IF(H1669="3)",3,IF(H1669="4)",4,IF(H1669="5)",5,IF(H1669="6)",6,IF(H1669="7)",7,IF(H1669="8)",8,0))))))))</f>
        <v/>
      </c>
      <c r="L1670" s="0">
        <f>IF(H1669="1)",J1669,IF(H1669="2)",J1669,IF(H1669="3)",J1669,IF(H1669="4)",J1669,IF(H1669="5)",J1669,IF(H1669="6)",J1669,IF(H1669="7)",J1669,IF(H1669="8)",J1669,0))))))))</f>
        <v/>
      </c>
    </row>
    <row r="1671">
      <c r="A1671" s="0" t="inlineStr">
        <is>
          <t>New</t>
        </is>
      </c>
      <c r="B1671" s="0" t="inlineStr">
        <is>
          <t>Item</t>
        </is>
      </c>
      <c r="C1671" s="0" t="inlineStr">
        <is>
          <t>Acquired</t>
        </is>
      </c>
      <c r="D1671" s="0" t="inlineStr">
        <is>
          <t>:</t>
        </is>
      </c>
      <c r="E1671" s="0" t="inlineStr">
        <is>
          <t>157.50K</t>
        </is>
      </c>
      <c r="F1671" s="0" t="inlineStr">
        <is>
          <t>(5,</t>
        </is>
      </c>
      <c r="G1671" s="0" t="inlineStr">
        <is>
          <t>21)</t>
        </is>
      </c>
      <c r="K1671" s="0">
        <f>IF(H1670="1)",1,IF(H1670="2)",2,IF(H1670="3)",3,IF(H1670="4)",4,IF(H1670="5)",5,IF(H1670="6)",6,IF(H1670="7)",7,IF(H1670="8)",8,0))))))))</f>
        <v/>
      </c>
      <c r="L1671" s="0">
        <f>IF(H1670="1)",J1670,IF(H1670="2)",J1670,IF(H1670="3)",J1670,IF(H1670="4)",J1670,IF(H1670="5)",J1670,IF(H1670="6)",J1670,IF(H1670="7)",J1670,IF(H1670="8)",J1670,0))))))))</f>
        <v/>
      </c>
    </row>
    <row r="1672">
      <c r="A1672" s="0" t="inlineStr">
        <is>
          <t>Line</t>
        </is>
      </c>
      <c r="B1672" s="0" t="inlineStr">
        <is>
          <t>Prize</t>
        </is>
      </c>
      <c r="C1672" s="0" t="inlineStr">
        <is>
          <t>Acquired</t>
        </is>
      </c>
      <c r="D1672" s="0" t="inlineStr">
        <is>
          <t>:</t>
        </is>
      </c>
      <c r="E1672" s="0" t="inlineStr">
        <is>
          <t>2.58M</t>
        </is>
      </c>
      <c r="F1672" s="0" t="inlineStr">
        <is>
          <t>(Stage</t>
        </is>
      </c>
      <c r="G1672" s="0" t="inlineStr">
        <is>
          <t>:</t>
        </is>
      </c>
      <c r="H1672" s="0" t="inlineStr">
        <is>
          <t>5)</t>
        </is>
      </c>
      <c r="I1672" s="0" t="inlineStr">
        <is>
          <t>-</t>
        </is>
      </c>
      <c r="J1672" s="0" t="n">
        <v>2575000</v>
      </c>
      <c r="K1672" s="0">
        <f>IF(H1671="1)",1,IF(H1671="2)",2,IF(H1671="3)",3,IF(H1671="4)",4,IF(H1671="5)",5,IF(H1671="6)",6,IF(H1671="7)",7,IF(H1671="8)",8,0))))))))</f>
        <v/>
      </c>
      <c r="L1672" s="0">
        <f>IF(H1671="1)",J1671,IF(H1671="2)",J1671,IF(H1671="3)",J1671,IF(H1671="4)",J1671,IF(H1671="5)",J1671,IF(H1671="6)",J1671,IF(H1671="7)",J1671,IF(H1671="8)",J1671,0))))))))</f>
        <v/>
      </c>
    </row>
    <row r="1673">
      <c r="A1673" s="0" t="inlineStr">
        <is>
          <t>Clear</t>
        </is>
      </c>
      <c r="B1673" s="0" t="inlineStr">
        <is>
          <t>Gem</t>
        </is>
      </c>
      <c r="C1673" s="0" t="inlineStr">
        <is>
          <t>Acquired</t>
        </is>
      </c>
      <c r="D1673" s="0" t="inlineStr">
        <is>
          <t>:</t>
        </is>
      </c>
      <c r="E1673" s="0" t="n">
        <v>10000</v>
      </c>
      <c r="F1673" s="0" t="inlineStr">
        <is>
          <t>-&gt;</t>
        </is>
      </c>
      <c r="G1673" s="0" t="n">
        <v>10100</v>
      </c>
      <c r="H1673" s="0" t="inlineStr">
        <is>
          <t>(Stage</t>
        </is>
      </c>
      <c r="I1673" s="0" t="inlineStr">
        <is>
          <t>:</t>
        </is>
      </c>
      <c r="J1673" s="0" t="inlineStr">
        <is>
          <t>5)</t>
        </is>
      </c>
      <c r="K1673" s="0">
        <f>IF(H1672="1)",1,IF(H1672="2)",2,IF(H1672="3)",3,IF(H1672="4)",4,IF(H1672="5)",5,IF(H1672="6)",6,IF(H1672="7)",7,IF(H1672="8)",8,0))))))))</f>
        <v/>
      </c>
      <c r="L1673" s="0">
        <f>IF(H1672="1)",J1672,IF(H1672="2)",J1672,IF(H1672="3)",J1672,IF(H1672="4)",J1672,IF(H1672="5)",J1672,IF(H1672="6)",J1672,IF(H1672="7)",J1672,IF(H1672="8)",J1672,0))))))))</f>
        <v/>
      </c>
    </row>
    <row r="1674">
      <c r="A1674" s="0" t="inlineStr">
        <is>
          <t>New</t>
        </is>
      </c>
      <c r="B1674" s="0" t="inlineStr">
        <is>
          <t>Item</t>
        </is>
      </c>
      <c r="C1674" s="0" t="inlineStr">
        <is>
          <t>Acquired</t>
        </is>
      </c>
      <c r="D1674" s="0" t="inlineStr">
        <is>
          <t>:</t>
        </is>
      </c>
      <c r="E1674" s="0" t="inlineStr">
        <is>
          <t>75.00K</t>
        </is>
      </c>
      <c r="F1674" s="0" t="inlineStr">
        <is>
          <t>(4,</t>
        </is>
      </c>
      <c r="G1674" s="0" t="inlineStr">
        <is>
          <t>25)</t>
        </is>
      </c>
      <c r="K1674" s="0">
        <f>IF(H1673="1)",1,IF(H1673="2)",2,IF(H1673="3)",3,IF(H1673="4)",4,IF(H1673="5)",5,IF(H1673="6)",6,IF(H1673="7)",7,IF(H1673="8)",8,0))))))))</f>
        <v/>
      </c>
      <c r="L1674" s="0">
        <f>IF(H1673="1)",J1673,IF(H1673="2)",J1673,IF(H1673="3)",J1673,IF(H1673="4)",J1673,IF(H1673="5)",J1673,IF(H1673="6)",J1673,IF(H1673="7)",J1673,IF(H1673="8)",J1673,0))))))))</f>
        <v/>
      </c>
    </row>
    <row r="1675">
      <c r="A1675" s="0" t="inlineStr">
        <is>
          <t>New</t>
        </is>
      </c>
      <c r="B1675" s="0" t="inlineStr">
        <is>
          <t>Item</t>
        </is>
      </c>
      <c r="C1675" s="0" t="inlineStr">
        <is>
          <t>Acquired</t>
        </is>
      </c>
      <c r="D1675" s="0" t="inlineStr">
        <is>
          <t>:</t>
        </is>
      </c>
      <c r="E1675" s="0" t="inlineStr">
        <is>
          <t>157.50K</t>
        </is>
      </c>
      <c r="F1675" s="0" t="inlineStr">
        <is>
          <t>(5,</t>
        </is>
      </c>
      <c r="G1675" s="0" t="inlineStr">
        <is>
          <t>11)</t>
        </is>
      </c>
      <c r="K1675" s="0">
        <f>IF(H1674="1)",1,IF(H1674="2)",2,IF(H1674="3)",3,IF(H1674="4)",4,IF(H1674="5)",5,IF(H1674="6)",6,IF(H1674="7)",7,IF(H1674="8)",8,0))))))))</f>
        <v/>
      </c>
      <c r="L1675" s="0">
        <f>IF(H1674="1)",J1674,IF(H1674="2)",J1674,IF(H1674="3)",J1674,IF(H1674="4)",J1674,IF(H1674="5)",J1674,IF(H1674="6)",J1674,IF(H1674="7)",J1674,IF(H1674="8)",J1674,0))))))))</f>
        <v/>
      </c>
    </row>
    <row r="1676">
      <c r="A1676" s="0" t="inlineStr">
        <is>
          <t>New</t>
        </is>
      </c>
      <c r="B1676" s="0" t="inlineStr">
        <is>
          <t>Item</t>
        </is>
      </c>
      <c r="C1676" s="0" t="inlineStr">
        <is>
          <t>Acquired</t>
        </is>
      </c>
      <c r="D1676" s="0" t="inlineStr">
        <is>
          <t>:</t>
        </is>
      </c>
      <c r="E1676" s="0" t="inlineStr">
        <is>
          <t>67.50K</t>
        </is>
      </c>
      <c r="F1676" s="0" t="inlineStr">
        <is>
          <t>(5,</t>
        </is>
      </c>
      <c r="G1676" s="0" t="inlineStr">
        <is>
          <t>5)</t>
        </is>
      </c>
      <c r="K1676" s="0">
        <f>IF(H1675="1)",1,IF(H1675="2)",2,IF(H1675="3)",3,IF(H1675="4)",4,IF(H1675="5)",5,IF(H1675="6)",6,IF(H1675="7)",7,IF(H1675="8)",8,0))))))))</f>
        <v/>
      </c>
      <c r="L1676" s="0">
        <f>IF(H1675="1)",J1675,IF(H1675="2)",J1675,IF(H1675="3)",J1675,IF(H1675="4)",J1675,IF(H1675="5)",J1675,IF(H1675="6)",J1675,IF(H1675="7)",J1675,IF(H1675="8)",J1675,0))))))))</f>
        <v/>
      </c>
    </row>
    <row r="1677">
      <c r="A1677" s="0" t="inlineStr">
        <is>
          <t>New</t>
        </is>
      </c>
      <c r="B1677" s="0" t="inlineStr">
        <is>
          <t>Item</t>
        </is>
      </c>
      <c r="C1677" s="0" t="inlineStr">
        <is>
          <t>Acquired</t>
        </is>
      </c>
      <c r="D1677" s="0" t="inlineStr">
        <is>
          <t>:</t>
        </is>
      </c>
      <c r="E1677" s="0" t="inlineStr">
        <is>
          <t>75.00K</t>
        </is>
      </c>
      <c r="F1677" s="0" t="inlineStr">
        <is>
          <t>(6,</t>
        </is>
      </c>
      <c r="G1677" s="0" t="inlineStr">
        <is>
          <t>24)</t>
        </is>
      </c>
      <c r="K1677" s="0">
        <f>IF(H1676="1)",1,IF(H1676="2)",2,IF(H1676="3)",3,IF(H1676="4)",4,IF(H1676="5)",5,IF(H1676="6)",6,IF(H1676="7)",7,IF(H1676="8)",8,0))))))))</f>
        <v/>
      </c>
      <c r="L1677" s="0">
        <f>IF(H1676="1)",J1676,IF(H1676="2)",J1676,IF(H1676="3)",J1676,IF(H1676="4)",J1676,IF(H1676="5)",J1676,IF(H1676="6)",J1676,IF(H1676="7)",J1676,IF(H1676="8)",J1676,0))))))))</f>
        <v/>
      </c>
    </row>
    <row r="1678">
      <c r="A1678" s="0" t="inlineStr">
        <is>
          <t>New</t>
        </is>
      </c>
      <c r="B1678" s="0" t="inlineStr">
        <is>
          <t>Item</t>
        </is>
      </c>
      <c r="C1678" s="0" t="inlineStr">
        <is>
          <t>Acquired</t>
        </is>
      </c>
      <c r="D1678" s="0" t="inlineStr">
        <is>
          <t>:</t>
        </is>
      </c>
      <c r="E1678" s="0" t="inlineStr">
        <is>
          <t>67.50K</t>
        </is>
      </c>
      <c r="F1678" s="0" t="inlineStr">
        <is>
          <t>(5,</t>
        </is>
      </c>
      <c r="G1678" s="0" t="inlineStr">
        <is>
          <t>23)</t>
        </is>
      </c>
      <c r="K1678" s="0">
        <f>IF(H1677="1)",1,IF(H1677="2)",2,IF(H1677="3)",3,IF(H1677="4)",4,IF(H1677="5)",5,IF(H1677="6)",6,IF(H1677="7)",7,IF(H1677="8)",8,0))))))))</f>
        <v/>
      </c>
      <c r="L1678" s="0">
        <f>IF(H1677="1)",J1677,IF(H1677="2)",J1677,IF(H1677="3)",J1677,IF(H1677="4)",J1677,IF(H1677="5)",J1677,IF(H1677="6)",J1677,IF(H1677="7)",J1677,IF(H1677="8)",J1677,0))))))))</f>
        <v/>
      </c>
    </row>
    <row r="1679">
      <c r="A1679" s="0" t="inlineStr">
        <is>
          <t>New</t>
        </is>
      </c>
      <c r="B1679" s="0" t="inlineStr">
        <is>
          <t>Item</t>
        </is>
      </c>
      <c r="C1679" s="0" t="inlineStr">
        <is>
          <t>Acquired</t>
        </is>
      </c>
      <c r="D1679" s="0" t="inlineStr">
        <is>
          <t>:</t>
        </is>
      </c>
      <c r="E1679" s="0" t="inlineStr">
        <is>
          <t>Mini</t>
        </is>
      </c>
      <c r="F1679" s="0" t="inlineStr">
        <is>
          <t>(5,</t>
        </is>
      </c>
      <c r="G1679" s="0" t="inlineStr">
        <is>
          <t>19)</t>
        </is>
      </c>
      <c r="K1679" s="0">
        <f>IF(H1678="1)",1,IF(H1678="2)",2,IF(H1678="3)",3,IF(H1678="4)",4,IF(H1678="5)",5,IF(H1678="6)",6,IF(H1678="7)",7,IF(H1678="8)",8,0))))))))</f>
        <v/>
      </c>
      <c r="L1679" s="0">
        <f>IF(H1678="1)",J1678,IF(H1678="2)",J1678,IF(H1678="3)",J1678,IF(H1678="4)",J1678,IF(H1678="5)",J1678,IF(H1678="6)",J1678,IF(H1678="7)",J1678,IF(H1678="8)",J1678,0))))))))</f>
        <v/>
      </c>
    </row>
    <row r="1680">
      <c r="A1680" s="0" t="inlineStr">
        <is>
          <t>New</t>
        </is>
      </c>
      <c r="B1680" s="0" t="inlineStr">
        <is>
          <t>Item</t>
        </is>
      </c>
      <c r="C1680" s="0" t="inlineStr">
        <is>
          <t>Acquired</t>
        </is>
      </c>
      <c r="D1680" s="0" t="inlineStr">
        <is>
          <t>:</t>
        </is>
      </c>
      <c r="E1680" s="0" t="inlineStr">
        <is>
          <t>112.50K</t>
        </is>
      </c>
      <c r="F1680" s="0" t="inlineStr">
        <is>
          <t>(5,</t>
        </is>
      </c>
      <c r="G1680" s="0" t="inlineStr">
        <is>
          <t>24)</t>
        </is>
      </c>
      <c r="K1680" s="0">
        <f>IF(H1679="1)",1,IF(H1679="2)",2,IF(H1679="3)",3,IF(H1679="4)",4,IF(H1679="5)",5,IF(H1679="6)",6,IF(H1679="7)",7,IF(H1679="8)",8,0))))))))</f>
        <v/>
      </c>
      <c r="L1680" s="0">
        <f>IF(H1679="1)",J1679,IF(H1679="2)",J1679,IF(H1679="3)",J1679,IF(H1679="4)",J1679,IF(H1679="5)",J1679,IF(H1679="6)",J1679,IF(H1679="7)",J1679,IF(H1679="8)",J1679,0))))))))</f>
        <v/>
      </c>
    </row>
    <row r="1681">
      <c r="A1681" s="0" t="inlineStr">
        <is>
          <t>New</t>
        </is>
      </c>
      <c r="B1681" s="0" t="inlineStr">
        <is>
          <t>Item</t>
        </is>
      </c>
      <c r="C1681" s="0" t="inlineStr">
        <is>
          <t>Acquired</t>
        </is>
      </c>
      <c r="D1681" s="0" t="inlineStr">
        <is>
          <t>:</t>
        </is>
      </c>
      <c r="E1681" s="0" t="inlineStr">
        <is>
          <t>30.00K</t>
        </is>
      </c>
      <c r="F1681" s="0" t="inlineStr">
        <is>
          <t>(1,</t>
        </is>
      </c>
      <c r="G1681" s="0" t="inlineStr">
        <is>
          <t>3)</t>
        </is>
      </c>
      <c r="K1681" s="0">
        <f>IF(H1680="1)",1,IF(H1680="2)",2,IF(H1680="3)",3,IF(H1680="4)",4,IF(H1680="5)",5,IF(H1680="6)",6,IF(H1680="7)",7,IF(H1680="8)",8,0))))))))</f>
        <v/>
      </c>
      <c r="L1681" s="0">
        <f>IF(H1680="1)",J1680,IF(H1680="2)",J1680,IF(H1680="3)",J1680,IF(H1680="4)",J1680,IF(H1680="5)",J1680,IF(H1680="6)",J1680,IF(H1680="7)",J1680,IF(H1680="8)",J1680,0))))))))</f>
        <v/>
      </c>
    </row>
    <row r="1682">
      <c r="A1682" s="0" t="inlineStr">
        <is>
          <t>New</t>
        </is>
      </c>
      <c r="B1682" s="0" t="inlineStr">
        <is>
          <t>Item</t>
        </is>
      </c>
      <c r="C1682" s="0" t="inlineStr">
        <is>
          <t>Acquired</t>
        </is>
      </c>
      <c r="D1682" s="0" t="inlineStr">
        <is>
          <t>:</t>
        </is>
      </c>
      <c r="E1682" s="0" t="inlineStr">
        <is>
          <t>30.00K</t>
        </is>
      </c>
      <c r="F1682" s="0" t="inlineStr">
        <is>
          <t>(1,</t>
        </is>
      </c>
      <c r="G1682" s="0" t="inlineStr">
        <is>
          <t>23)</t>
        </is>
      </c>
      <c r="K1682" s="0">
        <f>IF(H1681="1)",1,IF(H1681="2)",2,IF(H1681="3)",3,IF(H1681="4)",4,IF(H1681="5)",5,IF(H1681="6)",6,IF(H1681="7)",7,IF(H1681="8)",8,0))))))))</f>
        <v/>
      </c>
      <c r="L1682" s="0">
        <f>IF(H1681="1)",J1681,IF(H1681="2)",J1681,IF(H1681="3)",J1681,IF(H1681="4)",J1681,IF(H1681="5)",J1681,IF(H1681="6)",J1681,IF(H1681="7)",J1681,IF(H1681="8)",J1681,0))))))))</f>
        <v/>
      </c>
    </row>
    <row r="1683">
      <c r="A1683" s="0" t="inlineStr">
        <is>
          <t>New</t>
        </is>
      </c>
      <c r="B1683" s="0" t="inlineStr">
        <is>
          <t>Item</t>
        </is>
      </c>
      <c r="C1683" s="0" t="inlineStr">
        <is>
          <t>Acquired</t>
        </is>
      </c>
      <c r="D1683" s="0" t="inlineStr">
        <is>
          <t>:</t>
        </is>
      </c>
      <c r="E1683" s="0" t="inlineStr">
        <is>
          <t>105.00K</t>
        </is>
      </c>
      <c r="F1683" s="0" t="inlineStr">
        <is>
          <t>(3,</t>
        </is>
      </c>
      <c r="G1683" s="0" t="inlineStr">
        <is>
          <t>12)</t>
        </is>
      </c>
      <c r="K1683" s="0">
        <f>IF(H1682="1)",1,IF(H1682="2)",2,IF(H1682="3)",3,IF(H1682="4)",4,IF(H1682="5)",5,IF(H1682="6)",6,IF(H1682="7)",7,IF(H1682="8)",8,0))))))))</f>
        <v/>
      </c>
      <c r="L1683" s="0">
        <f>IF(H1682="1)",J1682,IF(H1682="2)",J1682,IF(H1682="3)",J1682,IF(H1682="4)",J1682,IF(H1682="5)",J1682,IF(H1682="6)",J1682,IF(H1682="7)",J1682,IF(H1682="8)",J1682,0))))))))</f>
        <v/>
      </c>
    </row>
    <row r="1684">
      <c r="A1684" s="0" t="inlineStr">
        <is>
          <t>New</t>
        </is>
      </c>
      <c r="B1684" s="0" t="inlineStr">
        <is>
          <t>Item</t>
        </is>
      </c>
      <c r="C1684" s="0" t="inlineStr">
        <is>
          <t>Acquired</t>
        </is>
      </c>
      <c r="D1684" s="0" t="inlineStr">
        <is>
          <t>:</t>
        </is>
      </c>
      <c r="E1684" s="0" t="inlineStr">
        <is>
          <t>75.00K</t>
        </is>
      </c>
      <c r="F1684" s="0" t="inlineStr">
        <is>
          <t>(3,</t>
        </is>
      </c>
      <c r="G1684" s="0" t="inlineStr">
        <is>
          <t>9)</t>
        </is>
      </c>
      <c r="K1684" s="0">
        <f>IF(H1683="1)",1,IF(H1683="2)",2,IF(H1683="3)",3,IF(H1683="4)",4,IF(H1683="5)",5,IF(H1683="6)",6,IF(H1683="7)",7,IF(H1683="8)",8,0))))))))</f>
        <v/>
      </c>
      <c r="L1684" s="0">
        <f>IF(H1683="1)",J1683,IF(H1683="2)",J1683,IF(H1683="3)",J1683,IF(H1683="4)",J1683,IF(H1683="5)",J1683,IF(H1683="6)",J1683,IF(H1683="7)",J1683,IF(H1683="8)",J1683,0))))))))</f>
        <v/>
      </c>
    </row>
    <row r="1685">
      <c r="A1685" s="0" t="inlineStr">
        <is>
          <t>New</t>
        </is>
      </c>
      <c r="B1685" s="0" t="inlineStr">
        <is>
          <t>Item</t>
        </is>
      </c>
      <c r="C1685" s="0" t="inlineStr">
        <is>
          <t>Acquired</t>
        </is>
      </c>
      <c r="D1685" s="0" t="inlineStr">
        <is>
          <t>:</t>
        </is>
      </c>
      <c r="E1685" s="0" t="inlineStr">
        <is>
          <t>210.00K</t>
        </is>
      </c>
      <c r="F1685" s="0" t="inlineStr">
        <is>
          <t>(7,</t>
        </is>
      </c>
      <c r="G1685" s="0" t="inlineStr">
        <is>
          <t>15)</t>
        </is>
      </c>
      <c r="K1685" s="0">
        <f>IF(H1684="1)",1,IF(H1684="2)",2,IF(H1684="3)",3,IF(H1684="4)",4,IF(H1684="5)",5,IF(H1684="6)",6,IF(H1684="7)",7,IF(H1684="8)",8,0))))))))</f>
        <v/>
      </c>
      <c r="L1685" s="0">
        <f>IF(H1684="1)",J1684,IF(H1684="2)",J1684,IF(H1684="3)",J1684,IF(H1684="4)",J1684,IF(H1684="5)",J1684,IF(H1684="6)",J1684,IF(H1684="7)",J1684,IF(H1684="8)",J1684,0))))))))</f>
        <v/>
      </c>
    </row>
    <row r="1686">
      <c r="A1686" s="0" t="inlineStr">
        <is>
          <t>Line</t>
        </is>
      </c>
      <c r="B1686" s="0" t="inlineStr">
        <is>
          <t>Prize</t>
        </is>
      </c>
      <c r="C1686" s="0" t="inlineStr">
        <is>
          <t>Acquired</t>
        </is>
      </c>
      <c r="D1686" s="0" t="inlineStr">
        <is>
          <t>:</t>
        </is>
      </c>
      <c r="E1686" s="0" t="inlineStr">
        <is>
          <t>1.32M</t>
        </is>
      </c>
      <c r="F1686" s="0" t="inlineStr">
        <is>
          <t>(Stage</t>
        </is>
      </c>
      <c r="G1686" s="0" t="inlineStr">
        <is>
          <t>:</t>
        </is>
      </c>
      <c r="H1686" s="0" t="inlineStr">
        <is>
          <t>7)</t>
        </is>
      </c>
      <c r="I1686" s="0" t="inlineStr">
        <is>
          <t>-</t>
        </is>
      </c>
      <c r="J1686" s="0" t="n">
        <v>1320000</v>
      </c>
      <c r="K1686" s="0">
        <f>IF(H1685="1)",1,IF(H1685="2)",2,IF(H1685="3)",3,IF(H1685="4)",4,IF(H1685="5)",5,IF(H1685="6)",6,IF(H1685="7)",7,IF(H1685="8)",8,0))))))))</f>
        <v/>
      </c>
      <c r="L1686" s="0">
        <f>IF(H1685="1)",J1685,IF(H1685="2)",J1685,IF(H1685="3)",J1685,IF(H1685="4)",J1685,IF(H1685="5)",J1685,IF(H1685="6)",J1685,IF(H1685="7)",J1685,IF(H1685="8)",J1685,0))))))))</f>
        <v/>
      </c>
    </row>
    <row r="1687">
      <c r="A1687" s="0" t="inlineStr">
        <is>
          <t>Clear</t>
        </is>
      </c>
      <c r="B1687" s="0" t="inlineStr">
        <is>
          <t>Gem</t>
        </is>
      </c>
      <c r="C1687" s="0" t="inlineStr">
        <is>
          <t>Acquired</t>
        </is>
      </c>
      <c r="D1687" s="0" t="inlineStr">
        <is>
          <t>:</t>
        </is>
      </c>
      <c r="E1687" s="0" t="n">
        <v>10100</v>
      </c>
      <c r="F1687" s="0" t="inlineStr">
        <is>
          <t>-&gt;</t>
        </is>
      </c>
      <c r="G1687" s="0" t="n">
        <v>10200</v>
      </c>
      <c r="H1687" s="0" t="inlineStr">
        <is>
          <t>(Stage</t>
        </is>
      </c>
      <c r="I1687" s="0" t="inlineStr">
        <is>
          <t>:</t>
        </is>
      </c>
      <c r="J1687" s="0" t="inlineStr">
        <is>
          <t>7)</t>
        </is>
      </c>
      <c r="K1687" s="0">
        <f>IF(H1686="1)",1,IF(H1686="2)",2,IF(H1686="3)",3,IF(H1686="4)",4,IF(H1686="5)",5,IF(H1686="6)",6,IF(H1686="7)",7,IF(H1686="8)",8,0))))))))</f>
        <v/>
      </c>
      <c r="L1687" s="0">
        <f>IF(H1686="1)",J1686,IF(H1686="2)",J1686,IF(H1686="3)",J1686,IF(H1686="4)",J1686,IF(H1686="5)",J1686,IF(H1686="6)",J1686,IF(H1686="7)",J1686,IF(H1686="8)",J1686,0))))))))</f>
        <v/>
      </c>
    </row>
    <row r="1688">
      <c r="A1688" s="0" t="inlineStr">
        <is>
          <t>New</t>
        </is>
      </c>
      <c r="B1688" s="0" t="inlineStr">
        <is>
          <t>Item</t>
        </is>
      </c>
      <c r="C1688" s="0" t="inlineStr">
        <is>
          <t>Acquired</t>
        </is>
      </c>
      <c r="D1688" s="0" t="inlineStr">
        <is>
          <t>:</t>
        </is>
      </c>
      <c r="E1688" s="0" t="inlineStr">
        <is>
          <t>210.00K</t>
        </is>
      </c>
      <c r="F1688" s="0" t="inlineStr">
        <is>
          <t>(7,</t>
        </is>
      </c>
      <c r="G1688" s="0" t="inlineStr">
        <is>
          <t>3)</t>
        </is>
      </c>
      <c r="K1688" s="0">
        <f>IF(H1687="1)",1,IF(H1687="2)",2,IF(H1687="3)",3,IF(H1687="4)",4,IF(H1687="5)",5,IF(H1687="6)",6,IF(H1687="7)",7,IF(H1687="8)",8,0))))))))</f>
        <v/>
      </c>
      <c r="L1688" s="0">
        <f>IF(H1687="1)",J1687,IF(H1687="2)",J1687,IF(H1687="3)",J1687,IF(H1687="4)",J1687,IF(H1687="5)",J1687,IF(H1687="6)",J1687,IF(H1687="7)",J1687,IF(H1687="8)",J1687,0))))))))</f>
        <v/>
      </c>
    </row>
    <row r="1689">
      <c r="A1689" s="0" t="inlineStr">
        <is>
          <t>New</t>
        </is>
      </c>
      <c r="B1689" s="0" t="inlineStr">
        <is>
          <t>Item</t>
        </is>
      </c>
      <c r="C1689" s="0" t="inlineStr">
        <is>
          <t>Acquired</t>
        </is>
      </c>
      <c r="D1689" s="0" t="inlineStr">
        <is>
          <t>:</t>
        </is>
      </c>
      <c r="E1689" s="0" t="inlineStr">
        <is>
          <t>62.50K</t>
        </is>
      </c>
      <c r="F1689" s="0" t="inlineStr">
        <is>
          <t>(2,</t>
        </is>
      </c>
      <c r="G1689" s="0" t="inlineStr">
        <is>
          <t>21)</t>
        </is>
      </c>
      <c r="K1689" s="0">
        <f>IF(H1688="1)",1,IF(H1688="2)",2,IF(H1688="3)",3,IF(H1688="4)",4,IF(H1688="5)",5,IF(H1688="6)",6,IF(H1688="7)",7,IF(H1688="8)",8,0))))))))</f>
        <v/>
      </c>
      <c r="L1689" s="0">
        <f>IF(H1688="1)",J1688,IF(H1688="2)",J1688,IF(H1688="3)",J1688,IF(H1688="4)",J1688,IF(H1688="5)",J1688,IF(H1688="6)",J1688,IF(H1688="7)",J1688,IF(H1688="8)",J1688,0))))))))</f>
        <v/>
      </c>
    </row>
    <row r="1690">
      <c r="A1690" s="0" t="inlineStr">
        <is>
          <t>New</t>
        </is>
      </c>
      <c r="B1690" s="0" t="inlineStr">
        <is>
          <t>Item</t>
        </is>
      </c>
      <c r="C1690" s="0" t="inlineStr">
        <is>
          <t>Acquired</t>
        </is>
      </c>
      <c r="D1690" s="0" t="inlineStr">
        <is>
          <t>:</t>
        </is>
      </c>
      <c r="E1690" s="0" t="inlineStr">
        <is>
          <t>45.00K</t>
        </is>
      </c>
      <c r="F1690" s="0" t="inlineStr">
        <is>
          <t>(3,</t>
        </is>
      </c>
      <c r="G1690" s="0" t="inlineStr">
        <is>
          <t>17)</t>
        </is>
      </c>
      <c r="K1690" s="0">
        <f>IF(H1689="1)",1,IF(H1689="2)",2,IF(H1689="3)",3,IF(H1689="4)",4,IF(H1689="5)",5,IF(H1689="6)",6,IF(H1689="7)",7,IF(H1689="8)",8,0))))))))</f>
        <v/>
      </c>
      <c r="L1690" s="0">
        <f>IF(H1689="1)",J1689,IF(H1689="2)",J1689,IF(H1689="3)",J1689,IF(H1689="4)",J1689,IF(H1689="5)",J1689,IF(H1689="6)",J1689,IF(H1689="7)",J1689,IF(H1689="8)",J1689,0))))))))</f>
        <v/>
      </c>
    </row>
    <row r="1691">
      <c r="A1691" s="0" t="inlineStr">
        <is>
          <t>New</t>
        </is>
      </c>
      <c r="B1691" s="0" t="inlineStr">
        <is>
          <t>Item</t>
        </is>
      </c>
      <c r="C1691" s="0" t="inlineStr">
        <is>
          <t>Acquired</t>
        </is>
      </c>
      <c r="D1691" s="0" t="inlineStr">
        <is>
          <t>:</t>
        </is>
      </c>
      <c r="E1691" s="0" t="inlineStr">
        <is>
          <t>60.00K</t>
        </is>
      </c>
      <c r="F1691" s="0" t="inlineStr">
        <is>
          <t>(4,</t>
        </is>
      </c>
      <c r="G1691" s="0" t="inlineStr">
        <is>
          <t>24)</t>
        </is>
      </c>
      <c r="K1691" s="0">
        <f>IF(H1690="1)",1,IF(H1690="2)",2,IF(H1690="3)",3,IF(H1690="4)",4,IF(H1690="5)",5,IF(H1690="6)",6,IF(H1690="7)",7,IF(H1690="8)",8,0))))))))</f>
        <v/>
      </c>
      <c r="L1691" s="0">
        <f>IF(H1690="1)",J1690,IF(H1690="2)",J1690,IF(H1690="3)",J1690,IF(H1690="4)",J1690,IF(H1690="5)",J1690,IF(H1690="6)",J1690,IF(H1690="7)",J1690,IF(H1690="8)",J1690,0))))))))</f>
        <v/>
      </c>
    </row>
    <row r="1692">
      <c r="A1692" s="0" t="inlineStr">
        <is>
          <t>New</t>
        </is>
      </c>
      <c r="B1692" s="0" t="inlineStr">
        <is>
          <t>Item</t>
        </is>
      </c>
      <c r="C1692" s="0" t="inlineStr">
        <is>
          <t>Acquired</t>
        </is>
      </c>
      <c r="D1692" s="0" t="inlineStr">
        <is>
          <t>:</t>
        </is>
      </c>
      <c r="E1692" s="0" t="inlineStr">
        <is>
          <t>50.00K</t>
        </is>
      </c>
      <c r="F1692" s="0" t="inlineStr">
        <is>
          <t>(1,</t>
        </is>
      </c>
      <c r="G1692" s="0" t="inlineStr">
        <is>
          <t>20)</t>
        </is>
      </c>
      <c r="K1692" s="0">
        <f>IF(H1691="1)",1,IF(H1691="2)",2,IF(H1691="3)",3,IF(H1691="4)",4,IF(H1691="5)",5,IF(H1691="6)",6,IF(H1691="7)",7,IF(H1691="8)",8,0))))))))</f>
        <v/>
      </c>
      <c r="L1692" s="0">
        <f>IF(H1691="1)",J1691,IF(H1691="2)",J1691,IF(H1691="3)",J1691,IF(H1691="4)",J1691,IF(H1691="5)",J1691,IF(H1691="6)",J1691,IF(H1691="7)",J1691,IF(H1691="8)",J1691,0))))))))</f>
        <v/>
      </c>
    </row>
    <row r="1693">
      <c r="A1693" s="0" t="inlineStr">
        <is>
          <t>New</t>
        </is>
      </c>
      <c r="B1693" s="0" t="inlineStr">
        <is>
          <t>Item</t>
        </is>
      </c>
      <c r="C1693" s="0" t="inlineStr">
        <is>
          <t>Acquired</t>
        </is>
      </c>
      <c r="D1693" s="0" t="inlineStr">
        <is>
          <t>:</t>
        </is>
      </c>
      <c r="E1693" s="0" t="inlineStr">
        <is>
          <t>112.50K</t>
        </is>
      </c>
      <c r="F1693" s="0" t="inlineStr">
        <is>
          <t>(5,</t>
        </is>
      </c>
      <c r="G1693" s="0" t="inlineStr">
        <is>
          <t>9)</t>
        </is>
      </c>
      <c r="K1693" s="0">
        <f>IF(H1692="1)",1,IF(H1692="2)",2,IF(H1692="3)",3,IF(H1692="4)",4,IF(H1692="5)",5,IF(H1692="6)",6,IF(H1692="7)",7,IF(H1692="8)",8,0))))))))</f>
        <v/>
      </c>
      <c r="L1693" s="0">
        <f>IF(H1692="1)",J1692,IF(H1692="2)",J1692,IF(H1692="3)",J1692,IF(H1692="4)",J1692,IF(H1692="5)",J1692,IF(H1692="6)",J1692,IF(H1692="7)",J1692,IF(H1692="8)",J1692,0))))))))</f>
        <v/>
      </c>
    </row>
    <row r="1694">
      <c r="A1694" s="0" t="inlineStr">
        <is>
          <t>New</t>
        </is>
      </c>
      <c r="B1694" s="0" t="inlineStr">
        <is>
          <t>Item</t>
        </is>
      </c>
      <c r="C1694" s="0" t="inlineStr">
        <is>
          <t>Acquired</t>
        </is>
      </c>
      <c r="D1694" s="0" t="inlineStr">
        <is>
          <t>:</t>
        </is>
      </c>
      <c r="E1694" s="0" t="inlineStr">
        <is>
          <t>87.50K</t>
        </is>
      </c>
      <c r="F1694" s="0" t="inlineStr">
        <is>
          <t>(2,</t>
        </is>
      </c>
      <c r="G1694" s="0" t="inlineStr">
        <is>
          <t>23)</t>
        </is>
      </c>
      <c r="K1694" s="0">
        <f>IF(H1693="1)",1,IF(H1693="2)",2,IF(H1693="3)",3,IF(H1693="4)",4,IF(H1693="5)",5,IF(H1693="6)",6,IF(H1693="7)",7,IF(H1693="8)",8,0))))))))</f>
        <v/>
      </c>
      <c r="L1694" s="0">
        <f>IF(H1693="1)",J1693,IF(H1693="2)",J1693,IF(H1693="3)",J1693,IF(H1693="4)",J1693,IF(H1693="5)",J1693,IF(H1693="6)",J1693,IF(H1693="7)",J1693,IF(H1693="8)",J1693,0))))))))</f>
        <v/>
      </c>
    </row>
    <row r="1695">
      <c r="A1695" s="0" t="inlineStr">
        <is>
          <t>New</t>
        </is>
      </c>
      <c r="B1695" s="0" t="inlineStr">
        <is>
          <t>Item</t>
        </is>
      </c>
      <c r="C1695" s="0" t="inlineStr">
        <is>
          <t>Acquired</t>
        </is>
      </c>
      <c r="D1695" s="0" t="inlineStr">
        <is>
          <t>:</t>
        </is>
      </c>
      <c r="E1695" s="0" t="inlineStr">
        <is>
          <t>75.00K</t>
        </is>
      </c>
      <c r="F1695" s="0" t="inlineStr">
        <is>
          <t>(3,</t>
        </is>
      </c>
      <c r="G1695" s="0" t="inlineStr">
        <is>
          <t>18)</t>
        </is>
      </c>
      <c r="K1695" s="0">
        <f>IF(H1694="1)",1,IF(H1694="2)",2,IF(H1694="3)",3,IF(H1694="4)",4,IF(H1694="5)",5,IF(H1694="6)",6,IF(H1694="7)",7,IF(H1694="8)",8,0))))))))</f>
        <v/>
      </c>
      <c r="L1695" s="0">
        <f>IF(H1694="1)",J1694,IF(H1694="2)",J1694,IF(H1694="3)",J1694,IF(H1694="4)",J1694,IF(H1694="5)",J1694,IF(H1694="6)",J1694,IF(H1694="7)",J1694,IF(H1694="8)",J1694,0))))))))</f>
        <v/>
      </c>
    </row>
    <row r="1696">
      <c r="A1696" s="0" t="inlineStr">
        <is>
          <t>New</t>
        </is>
      </c>
      <c r="B1696" s="0" t="inlineStr">
        <is>
          <t>Item</t>
        </is>
      </c>
      <c r="C1696" s="0" t="inlineStr">
        <is>
          <t>Acquired</t>
        </is>
      </c>
      <c r="D1696" s="0" t="inlineStr">
        <is>
          <t>:</t>
        </is>
      </c>
      <c r="E1696" s="0" t="inlineStr">
        <is>
          <t>112.50K</t>
        </is>
      </c>
      <c r="F1696" s="0" t="inlineStr">
        <is>
          <t>(5,</t>
        </is>
      </c>
      <c r="G1696" s="0" t="inlineStr">
        <is>
          <t>18)</t>
        </is>
      </c>
      <c r="K1696" s="0">
        <f>IF(H1695="1)",1,IF(H1695="2)",2,IF(H1695="3)",3,IF(H1695="4)",4,IF(H1695="5)",5,IF(H1695="6)",6,IF(H1695="7)",7,IF(H1695="8)",8,0))))))))</f>
        <v/>
      </c>
      <c r="L1696" s="0">
        <f>IF(H1695="1)",J1695,IF(H1695="2)",J1695,IF(H1695="3)",J1695,IF(H1695="4)",J1695,IF(H1695="5)",J1695,IF(H1695="6)",J1695,IF(H1695="7)",J1695,IF(H1695="8)",J1695,0))))))))</f>
        <v/>
      </c>
    </row>
    <row r="1697">
      <c r="A1697" s="0" t="inlineStr">
        <is>
          <t>New</t>
        </is>
      </c>
      <c r="B1697" s="0" t="inlineStr">
        <is>
          <t>Item</t>
        </is>
      </c>
      <c r="C1697" s="0" t="inlineStr">
        <is>
          <t>Acquired</t>
        </is>
      </c>
      <c r="D1697" s="0" t="inlineStr">
        <is>
          <t>:</t>
        </is>
      </c>
      <c r="E1697" s="0" t="inlineStr">
        <is>
          <t>60.00K</t>
        </is>
      </c>
      <c r="F1697" s="0" t="inlineStr">
        <is>
          <t>(4,</t>
        </is>
      </c>
      <c r="G1697" s="0" t="inlineStr">
        <is>
          <t>7)</t>
        </is>
      </c>
      <c r="K1697" s="0">
        <f>IF(H1696="1)",1,IF(H1696="2)",2,IF(H1696="3)",3,IF(H1696="4)",4,IF(H1696="5)",5,IF(H1696="6)",6,IF(H1696="7)",7,IF(H1696="8)",8,0))))))))</f>
        <v/>
      </c>
      <c r="L1697" s="0">
        <f>IF(H1696="1)",J1696,IF(H1696="2)",J1696,IF(H1696="3)",J1696,IF(H1696="4)",J1696,IF(H1696="5)",J1696,IF(H1696="6)",J1696,IF(H1696="7)",J1696,IF(H1696="8)",J1696,0))))))))</f>
        <v/>
      </c>
    </row>
    <row r="1698">
      <c r="A1698" s="0" t="inlineStr">
        <is>
          <t>New</t>
        </is>
      </c>
      <c r="B1698" s="0" t="inlineStr">
        <is>
          <t>Item</t>
        </is>
      </c>
      <c r="C1698" s="0" t="inlineStr">
        <is>
          <t>Acquired</t>
        </is>
      </c>
      <c r="D1698" s="0" t="inlineStr">
        <is>
          <t>:</t>
        </is>
      </c>
      <c r="E1698" s="0" t="inlineStr">
        <is>
          <t>45.00K</t>
        </is>
      </c>
      <c r="F1698" s="0" t="inlineStr">
        <is>
          <t>(3,</t>
        </is>
      </c>
      <c r="G1698" s="0" t="inlineStr">
        <is>
          <t>25)</t>
        </is>
      </c>
      <c r="K1698" s="0">
        <f>IF(H1697="1)",1,IF(H1697="2)",2,IF(H1697="3)",3,IF(H1697="4)",4,IF(H1697="5)",5,IF(H1697="6)",6,IF(H1697="7)",7,IF(H1697="8)",8,0))))))))</f>
        <v/>
      </c>
      <c r="L1698" s="0">
        <f>IF(H1697="1)",J1697,IF(H1697="2)",J1697,IF(H1697="3)",J1697,IF(H1697="4)",J1697,IF(H1697="5)",J1697,IF(H1697="6)",J1697,IF(H1697="7)",J1697,IF(H1697="8)",J1697,0))))))))</f>
        <v/>
      </c>
    </row>
    <row r="1699">
      <c r="A1699" s="0" t="inlineStr">
        <is>
          <t>New</t>
        </is>
      </c>
      <c r="B1699" s="0" t="inlineStr">
        <is>
          <t>Item</t>
        </is>
      </c>
      <c r="C1699" s="0" t="inlineStr">
        <is>
          <t>Acquired</t>
        </is>
      </c>
      <c r="D1699" s="0" t="inlineStr">
        <is>
          <t>:</t>
        </is>
      </c>
      <c r="E1699" s="0" t="inlineStr">
        <is>
          <t>75.00K</t>
        </is>
      </c>
      <c r="F1699" s="0" t="inlineStr">
        <is>
          <t>(3,</t>
        </is>
      </c>
      <c r="G1699" s="0" t="inlineStr">
        <is>
          <t>16)</t>
        </is>
      </c>
      <c r="K1699" s="0">
        <f>IF(H1698="1)",1,IF(H1698="2)",2,IF(H1698="3)",3,IF(H1698="4)",4,IF(H1698="5)",5,IF(H1698="6)",6,IF(H1698="7)",7,IF(H1698="8)",8,0))))))))</f>
        <v/>
      </c>
      <c r="L1699" s="0">
        <f>IF(H1698="1)",J1698,IF(H1698="2)",J1698,IF(H1698="3)",J1698,IF(H1698="4)",J1698,IF(H1698="5)",J1698,IF(H1698="6)",J1698,IF(H1698="7)",J1698,IF(H1698="8)",J1698,0))))))))</f>
        <v/>
      </c>
    </row>
    <row r="1700">
      <c r="A1700" s="0" t="inlineStr">
        <is>
          <t>New</t>
        </is>
      </c>
      <c r="B1700" s="0" t="inlineStr">
        <is>
          <t>Item</t>
        </is>
      </c>
      <c r="C1700" s="0" t="inlineStr">
        <is>
          <t>Acquired</t>
        </is>
      </c>
      <c r="D1700" s="0" t="inlineStr">
        <is>
          <t>:</t>
        </is>
      </c>
      <c r="E1700" s="0" t="inlineStr">
        <is>
          <t>60.00K</t>
        </is>
      </c>
      <c r="F1700" s="0" t="inlineStr">
        <is>
          <t>(4,</t>
        </is>
      </c>
      <c r="G1700" s="0" t="inlineStr">
        <is>
          <t>11)</t>
        </is>
      </c>
      <c r="K1700" s="0">
        <f>IF(H1699="1)",1,IF(H1699="2)",2,IF(H1699="3)",3,IF(H1699="4)",4,IF(H1699="5)",5,IF(H1699="6)",6,IF(H1699="7)",7,IF(H1699="8)",8,0))))))))</f>
        <v/>
      </c>
      <c r="L1700" s="0">
        <f>IF(H1699="1)",J1699,IF(H1699="2)",J1699,IF(H1699="3)",J1699,IF(H1699="4)",J1699,IF(H1699="5)",J1699,IF(H1699="6)",J1699,IF(H1699="7)",J1699,IF(H1699="8)",J1699,0))))))))</f>
        <v/>
      </c>
    </row>
    <row r="1701">
      <c r="A1701" s="0" t="inlineStr">
        <is>
          <t>New</t>
        </is>
      </c>
      <c r="B1701" s="0" t="inlineStr">
        <is>
          <t>Item</t>
        </is>
      </c>
      <c r="C1701" s="0" t="inlineStr">
        <is>
          <t>Acquired</t>
        </is>
      </c>
      <c r="D1701" s="0" t="inlineStr">
        <is>
          <t>:</t>
        </is>
      </c>
      <c r="E1701" s="0" t="inlineStr">
        <is>
          <t>70.00K</t>
        </is>
      </c>
      <c r="F1701" s="0" t="inlineStr">
        <is>
          <t>(1,</t>
        </is>
      </c>
      <c r="G1701" s="0" t="inlineStr">
        <is>
          <t>8)</t>
        </is>
      </c>
      <c r="K1701" s="0">
        <f>IF(H1700="1)",1,IF(H1700="2)",2,IF(H1700="3)",3,IF(H1700="4)",4,IF(H1700="5)",5,IF(H1700="6)",6,IF(H1700="7)",7,IF(H1700="8)",8,0))))))))</f>
        <v/>
      </c>
      <c r="L1701" s="0">
        <f>IF(H1700="1)",J1700,IF(H1700="2)",J1700,IF(H1700="3)",J1700,IF(H1700="4)",J1700,IF(H1700="5)",J1700,IF(H1700="6)",J1700,IF(H1700="7)",J1700,IF(H1700="8)",J1700,0))))))))</f>
        <v/>
      </c>
    </row>
    <row r="1702">
      <c r="A1702" s="0" t="inlineStr">
        <is>
          <t>Line</t>
        </is>
      </c>
      <c r="B1702" s="0" t="inlineStr">
        <is>
          <t>Prize</t>
        </is>
      </c>
      <c r="C1702" s="0" t="inlineStr">
        <is>
          <t>Acquired</t>
        </is>
      </c>
      <c r="D1702" s="0" t="inlineStr">
        <is>
          <t>:</t>
        </is>
      </c>
      <c r="E1702" s="0" t="inlineStr">
        <is>
          <t>360.00K</t>
        </is>
      </c>
      <c r="F1702" s="0" t="inlineStr">
        <is>
          <t>(Stage</t>
        </is>
      </c>
      <c r="G1702" s="0" t="inlineStr">
        <is>
          <t>:</t>
        </is>
      </c>
      <c r="H1702" s="0" t="inlineStr">
        <is>
          <t>1)</t>
        </is>
      </c>
      <c r="I1702" s="0" t="inlineStr">
        <is>
          <t>-</t>
        </is>
      </c>
      <c r="J1702" s="0" t="n">
        <v>360000</v>
      </c>
      <c r="K1702" s="0">
        <f>IF(H1701="1)",1,IF(H1701="2)",2,IF(H1701="3)",3,IF(H1701="4)",4,IF(H1701="5)",5,IF(H1701="6)",6,IF(H1701="7)",7,IF(H1701="8)",8,0))))))))</f>
        <v/>
      </c>
      <c r="L1702" s="0">
        <f>IF(H1701="1)",J1701,IF(H1701="2)",J1701,IF(H1701="3)",J1701,IF(H1701="4)",J1701,IF(H1701="5)",J1701,IF(H1701="6)",J1701,IF(H1701="7)",J1701,IF(H1701="8)",J1701,0))))))))</f>
        <v/>
      </c>
    </row>
    <row r="1703">
      <c r="A1703" s="0" t="inlineStr">
        <is>
          <t>Clear</t>
        </is>
      </c>
      <c r="B1703" s="0" t="inlineStr">
        <is>
          <t>Gem</t>
        </is>
      </c>
      <c r="C1703" s="0" t="inlineStr">
        <is>
          <t>Acquired</t>
        </is>
      </c>
      <c r="D1703" s="0" t="inlineStr">
        <is>
          <t>:</t>
        </is>
      </c>
      <c r="E1703" s="0" t="n">
        <v>10200</v>
      </c>
      <c r="F1703" s="0" t="inlineStr">
        <is>
          <t>-&gt;</t>
        </is>
      </c>
      <c r="G1703" s="0" t="n">
        <v>10300</v>
      </c>
      <c r="H1703" s="0" t="inlineStr">
        <is>
          <t>(Stage</t>
        </is>
      </c>
      <c r="I1703" s="0" t="inlineStr">
        <is>
          <t>:</t>
        </is>
      </c>
      <c r="J1703" s="0" t="inlineStr">
        <is>
          <t>1)</t>
        </is>
      </c>
      <c r="K1703" s="0">
        <f>IF(H1702="1)",1,IF(H1702="2)",2,IF(H1702="3)",3,IF(H1702="4)",4,IF(H1702="5)",5,IF(H1702="6)",6,IF(H1702="7)",7,IF(H1702="8)",8,0))))))))</f>
        <v/>
      </c>
      <c r="L1703" s="0">
        <f>IF(H1702="1)",J1702,IF(H1702="2)",J1702,IF(H1702="3)",J1702,IF(H1702="4)",J1702,IF(H1702="5)",J1702,IF(H1702="6)",J1702,IF(H1702="7)",J1702,IF(H1702="8)",J1702,0))))))))</f>
        <v/>
      </c>
    </row>
    <row r="1704">
      <c r="A1704" s="0" t="inlineStr">
        <is>
          <t>New</t>
        </is>
      </c>
      <c r="B1704" s="0" t="inlineStr">
        <is>
          <t>Item</t>
        </is>
      </c>
      <c r="C1704" s="0" t="inlineStr">
        <is>
          <t>Acquired</t>
        </is>
      </c>
      <c r="D1704" s="0" t="inlineStr">
        <is>
          <t>:</t>
        </is>
      </c>
      <c r="E1704" s="0" t="inlineStr">
        <is>
          <t>67.50K</t>
        </is>
      </c>
      <c r="F1704" s="0" t="inlineStr">
        <is>
          <t>(5,</t>
        </is>
      </c>
      <c r="G1704" s="0" t="inlineStr">
        <is>
          <t>8)</t>
        </is>
      </c>
      <c r="K1704" s="0">
        <f>IF(H1703="1)",1,IF(H1703="2)",2,IF(H1703="3)",3,IF(H1703="4)",4,IF(H1703="5)",5,IF(H1703="6)",6,IF(H1703="7)",7,IF(H1703="8)",8,0))))))))</f>
        <v/>
      </c>
      <c r="L1704" s="0">
        <f>IF(H1703="1)",J1703,IF(H1703="2)",J1703,IF(H1703="3)",J1703,IF(H1703="4)",J1703,IF(H1703="5)",J1703,IF(H1703="6)",J1703,IF(H1703="7)",J1703,IF(H1703="8)",J1703,0))))))))</f>
        <v/>
      </c>
    </row>
    <row r="1705">
      <c r="A1705" s="0" t="inlineStr">
        <is>
          <t>New</t>
        </is>
      </c>
      <c r="B1705" s="0" t="inlineStr">
        <is>
          <t>Item</t>
        </is>
      </c>
      <c r="C1705" s="0" t="inlineStr">
        <is>
          <t>Acquired</t>
        </is>
      </c>
      <c r="D1705" s="0" t="inlineStr">
        <is>
          <t>:</t>
        </is>
      </c>
      <c r="E1705" s="0" t="inlineStr">
        <is>
          <t>90.00K</t>
        </is>
      </c>
      <c r="F1705" s="0" t="inlineStr">
        <is>
          <t>(7,</t>
        </is>
      </c>
      <c r="G1705" s="0" t="inlineStr">
        <is>
          <t>9)</t>
        </is>
      </c>
      <c r="K1705" s="0">
        <f>IF(H1704="1)",1,IF(H1704="2)",2,IF(H1704="3)",3,IF(H1704="4)",4,IF(H1704="5)",5,IF(H1704="6)",6,IF(H1704="7)",7,IF(H1704="8)",8,0))))))))</f>
        <v/>
      </c>
      <c r="L1705" s="0">
        <f>IF(H1704="1)",J1704,IF(H1704="2)",J1704,IF(H1704="3)",J1704,IF(H1704="4)",J1704,IF(H1704="5)",J1704,IF(H1704="6)",J1704,IF(H1704="7)",J1704,IF(H1704="8)",J1704,0))))))))</f>
        <v/>
      </c>
    </row>
    <row r="1706">
      <c r="A1706" s="0" t="inlineStr">
        <is>
          <t>New</t>
        </is>
      </c>
      <c r="B1706" s="0" t="inlineStr">
        <is>
          <t>Item</t>
        </is>
      </c>
      <c r="C1706" s="0" t="inlineStr">
        <is>
          <t>Acquired</t>
        </is>
      </c>
      <c r="D1706" s="0" t="inlineStr">
        <is>
          <t>:</t>
        </is>
      </c>
      <c r="E1706" s="0" t="inlineStr">
        <is>
          <t>210.00K</t>
        </is>
      </c>
      <c r="F1706" s="0" t="inlineStr">
        <is>
          <t>(7,</t>
        </is>
      </c>
      <c r="G1706" s="0" t="inlineStr">
        <is>
          <t>25)</t>
        </is>
      </c>
      <c r="K1706" s="0">
        <f>IF(H1705="1)",1,IF(H1705="2)",2,IF(H1705="3)",3,IF(H1705="4)",4,IF(H1705="5)",5,IF(H1705="6)",6,IF(H1705="7)",7,IF(H1705="8)",8,0))))))))</f>
        <v/>
      </c>
      <c r="L1706" s="0">
        <f>IF(H1705="1)",J1705,IF(H1705="2)",J1705,IF(H1705="3)",J1705,IF(H1705="4)",J1705,IF(H1705="5)",J1705,IF(H1705="6)",J1705,IF(H1705="7)",J1705,IF(H1705="8)",J1705,0))))))))</f>
        <v/>
      </c>
    </row>
    <row r="1707">
      <c r="A1707" s="0" t="inlineStr">
        <is>
          <t>New</t>
        </is>
      </c>
      <c r="B1707" s="0" t="inlineStr">
        <is>
          <t>Item</t>
        </is>
      </c>
      <c r="C1707" s="0" t="inlineStr">
        <is>
          <t>Acquired</t>
        </is>
      </c>
      <c r="D1707" s="0" t="inlineStr">
        <is>
          <t>:</t>
        </is>
      </c>
      <c r="E1707" s="0" t="inlineStr">
        <is>
          <t>75.00K</t>
        </is>
      </c>
      <c r="F1707" s="0" t="inlineStr">
        <is>
          <t>(3,</t>
        </is>
      </c>
      <c r="G1707" s="0" t="inlineStr">
        <is>
          <t>7)</t>
        </is>
      </c>
      <c r="K1707" s="0">
        <f>IF(H1706="1)",1,IF(H1706="2)",2,IF(H1706="3)",3,IF(H1706="4)",4,IF(H1706="5)",5,IF(H1706="6)",6,IF(H1706="7)",7,IF(H1706="8)",8,0))))))))</f>
        <v/>
      </c>
      <c r="L1707" s="0">
        <f>IF(H1706="1)",J1706,IF(H1706="2)",J1706,IF(H1706="3)",J1706,IF(H1706="4)",J1706,IF(H1706="5)",J1706,IF(H1706="6)",J1706,IF(H1706="7)",J1706,IF(H1706="8)",J1706,0))))))))</f>
        <v/>
      </c>
    </row>
    <row r="1708">
      <c r="A1708" s="0" t="inlineStr">
        <is>
          <t>New</t>
        </is>
      </c>
      <c r="B1708" s="0" t="inlineStr">
        <is>
          <t>Item</t>
        </is>
      </c>
      <c r="C1708" s="0" t="inlineStr">
        <is>
          <t>Acquired</t>
        </is>
      </c>
      <c r="D1708" s="0" t="inlineStr">
        <is>
          <t>:</t>
        </is>
      </c>
      <c r="E1708" s="0" t="inlineStr">
        <is>
          <t>70.00K</t>
        </is>
      </c>
      <c r="F1708" s="0" t="inlineStr">
        <is>
          <t>(1,</t>
        </is>
      </c>
      <c r="G1708" s="0" t="inlineStr">
        <is>
          <t>23)</t>
        </is>
      </c>
      <c r="K1708" s="0">
        <f>IF(H1707="1)",1,IF(H1707="2)",2,IF(H1707="3)",3,IF(H1707="4)",4,IF(H1707="5)",5,IF(H1707="6)",6,IF(H1707="7)",7,IF(H1707="8)",8,0))))))))</f>
        <v/>
      </c>
      <c r="L1708" s="0">
        <f>IF(H1707="1)",J1707,IF(H1707="2)",J1707,IF(H1707="3)",J1707,IF(H1707="4)",J1707,IF(H1707="5)",J1707,IF(H1707="6)",J1707,IF(H1707="7)",J1707,IF(H1707="8)",J1707,0))))))))</f>
        <v/>
      </c>
    </row>
    <row r="1709">
      <c r="A1709" s="0" t="inlineStr">
        <is>
          <t>New</t>
        </is>
      </c>
      <c r="B1709" s="0" t="inlineStr">
        <is>
          <t>Item</t>
        </is>
      </c>
      <c r="C1709" s="0" t="inlineStr">
        <is>
          <t>Acquired</t>
        </is>
      </c>
      <c r="D1709" s="0" t="inlineStr">
        <is>
          <t>:</t>
        </is>
      </c>
      <c r="E1709" s="0" t="inlineStr">
        <is>
          <t>90.00K</t>
        </is>
      </c>
      <c r="F1709" s="0" t="inlineStr">
        <is>
          <t>(7,</t>
        </is>
      </c>
      <c r="G1709" s="0" t="inlineStr">
        <is>
          <t>23)</t>
        </is>
      </c>
      <c r="K1709" s="0">
        <f>IF(H1708="1)",1,IF(H1708="2)",2,IF(H1708="3)",3,IF(H1708="4)",4,IF(H1708="5)",5,IF(H1708="6)",6,IF(H1708="7)",7,IF(H1708="8)",8,0))))))))</f>
        <v/>
      </c>
      <c r="L1709" s="0">
        <f>IF(H1708="1)",J1708,IF(H1708="2)",J1708,IF(H1708="3)",J1708,IF(H1708="4)",J1708,IF(H1708="5)",J1708,IF(H1708="6)",J1708,IF(H1708="7)",J1708,IF(H1708="8)",J1708,0))))))))</f>
        <v/>
      </c>
    </row>
    <row r="1710">
      <c r="A1710" s="0" t="inlineStr">
        <is>
          <t>New</t>
        </is>
      </c>
      <c r="B1710" s="0" t="inlineStr">
        <is>
          <t>Item</t>
        </is>
      </c>
      <c r="C1710" s="0" t="inlineStr">
        <is>
          <t>Acquired</t>
        </is>
      </c>
      <c r="D1710" s="0" t="inlineStr">
        <is>
          <t>:</t>
        </is>
      </c>
      <c r="E1710" s="0" t="inlineStr">
        <is>
          <t>75.00K</t>
        </is>
      </c>
      <c r="F1710" s="0" t="inlineStr">
        <is>
          <t>(3,</t>
        </is>
      </c>
      <c r="G1710" s="0" t="inlineStr">
        <is>
          <t>19)</t>
        </is>
      </c>
      <c r="K1710" s="0">
        <f>IF(H1709="1)",1,IF(H1709="2)",2,IF(H1709="3)",3,IF(H1709="4)",4,IF(H1709="5)",5,IF(H1709="6)",6,IF(H1709="7)",7,IF(H1709="8)",8,0))))))))</f>
        <v/>
      </c>
      <c r="L1710" s="0">
        <f>IF(H1709="1)",J1709,IF(H1709="2)",J1709,IF(H1709="3)",J1709,IF(H1709="4)",J1709,IF(H1709="5)",J1709,IF(H1709="6)",J1709,IF(H1709="7)",J1709,IF(H1709="8)",J1709,0))))))))</f>
        <v/>
      </c>
    </row>
    <row r="1711">
      <c r="A1711" s="0" t="inlineStr">
        <is>
          <t>New</t>
        </is>
      </c>
      <c r="B1711" s="0" t="inlineStr">
        <is>
          <t>Item</t>
        </is>
      </c>
      <c r="C1711" s="0" t="inlineStr">
        <is>
          <t>Acquired</t>
        </is>
      </c>
      <c r="D1711" s="0" t="inlineStr">
        <is>
          <t>:</t>
        </is>
      </c>
      <c r="E1711" s="0" t="inlineStr">
        <is>
          <t>30.00K</t>
        </is>
      </c>
      <c r="F1711" s="0" t="inlineStr">
        <is>
          <t>(1,</t>
        </is>
      </c>
      <c r="G1711" s="0" t="inlineStr">
        <is>
          <t>21)</t>
        </is>
      </c>
      <c r="K1711" s="0">
        <f>IF(H1710="1)",1,IF(H1710="2)",2,IF(H1710="3)",3,IF(H1710="4)",4,IF(H1710="5)",5,IF(H1710="6)",6,IF(H1710="7)",7,IF(H1710="8)",8,0))))))))</f>
        <v/>
      </c>
      <c r="L1711" s="0">
        <f>IF(H1710="1)",J1710,IF(H1710="2)",J1710,IF(H1710="3)",J1710,IF(H1710="4)",J1710,IF(H1710="5)",J1710,IF(H1710="6)",J1710,IF(H1710="7)",J1710,IF(H1710="8)",J1710,0))))))))</f>
        <v/>
      </c>
    </row>
    <row r="1712">
      <c r="A1712" s="0" t="inlineStr">
        <is>
          <t>New</t>
        </is>
      </c>
      <c r="B1712" s="0" t="inlineStr">
        <is>
          <t>Item</t>
        </is>
      </c>
      <c r="C1712" s="0" t="inlineStr">
        <is>
          <t>Acquired</t>
        </is>
      </c>
      <c r="D1712" s="0" t="inlineStr">
        <is>
          <t>:</t>
        </is>
      </c>
      <c r="E1712" s="0" t="inlineStr">
        <is>
          <t>112.50K</t>
        </is>
      </c>
      <c r="F1712" s="0" t="inlineStr">
        <is>
          <t>(5,</t>
        </is>
      </c>
      <c r="G1712" s="0" t="inlineStr">
        <is>
          <t>15)</t>
        </is>
      </c>
      <c r="K1712" s="0">
        <f>IF(H1711="1)",1,IF(H1711="2)",2,IF(H1711="3)",3,IF(H1711="4)",4,IF(H1711="5)",5,IF(H1711="6)",6,IF(H1711="7)",7,IF(H1711="8)",8,0))))))))</f>
        <v/>
      </c>
      <c r="L1712" s="0">
        <f>IF(H1711="1)",J1711,IF(H1711="2)",J1711,IF(H1711="3)",J1711,IF(H1711="4)",J1711,IF(H1711="5)",J1711,IF(H1711="6)",J1711,IF(H1711="7)",J1711,IF(H1711="8)",J1711,0))))))))</f>
        <v/>
      </c>
    </row>
    <row r="1713">
      <c r="A1713" s="0" t="inlineStr">
        <is>
          <t>New</t>
        </is>
      </c>
      <c r="B1713" s="0" t="inlineStr">
        <is>
          <t>Item</t>
        </is>
      </c>
      <c r="C1713" s="0" t="inlineStr">
        <is>
          <t>Acquired</t>
        </is>
      </c>
      <c r="D1713" s="0" t="inlineStr">
        <is>
          <t>:</t>
        </is>
      </c>
      <c r="E1713" s="0" t="inlineStr">
        <is>
          <t>105.00K</t>
        </is>
      </c>
      <c r="F1713" s="0" t="inlineStr">
        <is>
          <t>(3,</t>
        </is>
      </c>
      <c r="G1713" s="0" t="inlineStr">
        <is>
          <t>8)</t>
        </is>
      </c>
      <c r="K1713" s="0">
        <f>IF(H1712="1)",1,IF(H1712="2)",2,IF(H1712="3)",3,IF(H1712="4)",4,IF(H1712="5)",5,IF(H1712="6)",6,IF(H1712="7)",7,IF(H1712="8)",8,0))))))))</f>
        <v/>
      </c>
      <c r="L1713" s="0">
        <f>IF(H1712="1)",J1712,IF(H1712="2)",J1712,IF(H1712="3)",J1712,IF(H1712="4)",J1712,IF(H1712="5)",J1712,IF(H1712="6)",J1712,IF(H1712="7)",J1712,IF(H1712="8)",J1712,0))))))))</f>
        <v/>
      </c>
    </row>
    <row r="1714">
      <c r="A1714" s="0" t="inlineStr">
        <is>
          <t>New</t>
        </is>
      </c>
      <c r="B1714" s="0" t="inlineStr">
        <is>
          <t>Item</t>
        </is>
      </c>
      <c r="C1714" s="0" t="inlineStr">
        <is>
          <t>Acquired</t>
        </is>
      </c>
      <c r="D1714" s="0" t="inlineStr">
        <is>
          <t>:</t>
        </is>
      </c>
      <c r="E1714" s="0" t="inlineStr">
        <is>
          <t>150.00K</t>
        </is>
      </c>
      <c r="F1714" s="0" t="inlineStr">
        <is>
          <t>(7,</t>
        </is>
      </c>
      <c r="G1714" s="0" t="inlineStr">
        <is>
          <t>17)</t>
        </is>
      </c>
      <c r="K1714" s="0">
        <f>IF(H1713="1)",1,IF(H1713="2)",2,IF(H1713="3)",3,IF(H1713="4)",4,IF(H1713="5)",5,IF(H1713="6)",6,IF(H1713="7)",7,IF(H1713="8)",8,0))))))))</f>
        <v/>
      </c>
      <c r="L1714" s="0">
        <f>IF(H1713="1)",J1713,IF(H1713="2)",J1713,IF(H1713="3)",J1713,IF(H1713="4)",J1713,IF(H1713="5)",J1713,IF(H1713="6)",J1713,IF(H1713="7)",J1713,IF(H1713="8)",J1713,0))))))))</f>
        <v/>
      </c>
    </row>
    <row r="1715">
      <c r="A1715" s="0" t="inlineStr">
        <is>
          <t>New</t>
        </is>
      </c>
      <c r="B1715" s="0" t="inlineStr">
        <is>
          <t>Item</t>
        </is>
      </c>
      <c r="C1715" s="0" t="inlineStr">
        <is>
          <t>Acquired</t>
        </is>
      </c>
      <c r="D1715" s="0" t="inlineStr">
        <is>
          <t>:</t>
        </is>
      </c>
      <c r="E1715" s="0" t="inlineStr">
        <is>
          <t>90.00K</t>
        </is>
      </c>
      <c r="F1715" s="0" t="inlineStr">
        <is>
          <t>(7,</t>
        </is>
      </c>
      <c r="G1715" s="0" t="inlineStr">
        <is>
          <t>11)</t>
        </is>
      </c>
      <c r="K1715" s="0">
        <f>IF(H1714="1)",1,IF(H1714="2)",2,IF(H1714="3)",3,IF(H1714="4)",4,IF(H1714="5)",5,IF(H1714="6)",6,IF(H1714="7)",7,IF(H1714="8)",8,0))))))))</f>
        <v/>
      </c>
      <c r="L1715" s="0">
        <f>IF(H1714="1)",J1714,IF(H1714="2)",J1714,IF(H1714="3)",J1714,IF(H1714="4)",J1714,IF(H1714="5)",J1714,IF(H1714="6)",J1714,IF(H1714="7)",J1714,IF(H1714="8)",J1714,0))))))))</f>
        <v/>
      </c>
    </row>
    <row r="1716">
      <c r="A1716" s="0" t="inlineStr">
        <is>
          <t>New</t>
        </is>
      </c>
      <c r="B1716" s="0" t="inlineStr">
        <is>
          <t>Item</t>
        </is>
      </c>
      <c r="C1716" s="0" t="inlineStr">
        <is>
          <t>Acquired</t>
        </is>
      </c>
      <c r="D1716" s="0" t="inlineStr">
        <is>
          <t>:</t>
        </is>
      </c>
      <c r="E1716" s="0" t="inlineStr">
        <is>
          <t>60.00K</t>
        </is>
      </c>
      <c r="F1716" s="0" t="inlineStr">
        <is>
          <t>(4,</t>
        </is>
      </c>
      <c r="G1716" s="0" t="inlineStr">
        <is>
          <t>15)</t>
        </is>
      </c>
      <c r="K1716" s="0">
        <f>IF(H1715="1)",1,IF(H1715="2)",2,IF(H1715="3)",3,IF(H1715="4)",4,IF(H1715="5)",5,IF(H1715="6)",6,IF(H1715="7)",7,IF(H1715="8)",8,0))))))))</f>
        <v/>
      </c>
      <c r="L1716" s="0">
        <f>IF(H1715="1)",J1715,IF(H1715="2)",J1715,IF(H1715="3)",J1715,IF(H1715="4)",J1715,IF(H1715="5)",J1715,IF(H1715="6)",J1715,IF(H1715="7)",J1715,IF(H1715="8)",J1715,0))))))))</f>
        <v/>
      </c>
    </row>
    <row r="1717">
      <c r="A1717" s="0" t="inlineStr">
        <is>
          <t>New</t>
        </is>
      </c>
      <c r="B1717" s="0" t="inlineStr">
        <is>
          <t>Item</t>
        </is>
      </c>
      <c r="C1717" s="0" t="inlineStr">
        <is>
          <t>Acquired</t>
        </is>
      </c>
      <c r="D1717" s="0" t="inlineStr">
        <is>
          <t>:</t>
        </is>
      </c>
      <c r="E1717" s="0" t="inlineStr">
        <is>
          <t>Mini</t>
        </is>
      </c>
      <c r="F1717" s="0" t="inlineStr">
        <is>
          <t>(5,</t>
        </is>
      </c>
      <c r="G1717" s="0" t="inlineStr">
        <is>
          <t>4)</t>
        </is>
      </c>
      <c r="K1717" s="0">
        <f>IF(H1716="1)",1,IF(H1716="2)",2,IF(H1716="3)",3,IF(H1716="4)",4,IF(H1716="5)",5,IF(H1716="6)",6,IF(H1716="7)",7,IF(H1716="8)",8,0))))))))</f>
        <v/>
      </c>
      <c r="L1717" s="0">
        <f>IF(H1716="1)",J1716,IF(H1716="2)",J1716,IF(H1716="3)",J1716,IF(H1716="4)",J1716,IF(H1716="5)",J1716,IF(H1716="6)",J1716,IF(H1716="7)",J1716,IF(H1716="8)",J1716,0))))))))</f>
        <v/>
      </c>
    </row>
    <row r="1718">
      <c r="A1718" s="0" t="inlineStr">
        <is>
          <t>New</t>
        </is>
      </c>
      <c r="B1718" s="0" t="inlineStr">
        <is>
          <t>Item</t>
        </is>
      </c>
      <c r="C1718" s="0" t="inlineStr">
        <is>
          <t>Acquired</t>
        </is>
      </c>
      <c r="D1718" s="0" t="inlineStr">
        <is>
          <t>:</t>
        </is>
      </c>
      <c r="E1718" s="0" t="inlineStr">
        <is>
          <t>67.50K</t>
        </is>
      </c>
      <c r="F1718" s="0" t="inlineStr">
        <is>
          <t>(5,</t>
        </is>
      </c>
      <c r="G1718" s="0" t="inlineStr">
        <is>
          <t>14)</t>
        </is>
      </c>
      <c r="K1718" s="0">
        <f>IF(H1717="1)",1,IF(H1717="2)",2,IF(H1717="3)",3,IF(H1717="4)",4,IF(H1717="5)",5,IF(H1717="6)",6,IF(H1717="7)",7,IF(H1717="8)",8,0))))))))</f>
        <v/>
      </c>
      <c r="L1718" s="0">
        <f>IF(H1717="1)",J1717,IF(H1717="2)",J1717,IF(H1717="3)",J1717,IF(H1717="4)",J1717,IF(H1717="5)",J1717,IF(H1717="6)",J1717,IF(H1717="7)",J1717,IF(H1717="8)",J1717,0))))))))</f>
        <v/>
      </c>
    </row>
    <row r="1719">
      <c r="A1719" s="0" t="inlineStr">
        <is>
          <t>Line</t>
        </is>
      </c>
      <c r="B1719" s="0" t="inlineStr">
        <is>
          <t>Prize</t>
        </is>
      </c>
      <c r="C1719" s="0" t="inlineStr">
        <is>
          <t>Acquired</t>
        </is>
      </c>
      <c r="D1719" s="0" t="inlineStr">
        <is>
          <t>:</t>
        </is>
      </c>
      <c r="E1719" s="0" t="inlineStr">
        <is>
          <t>1.19M</t>
        </is>
      </c>
      <c r="F1719" s="0" t="inlineStr">
        <is>
          <t>(Stage</t>
        </is>
      </c>
      <c r="G1719" s="0" t="inlineStr">
        <is>
          <t>:</t>
        </is>
      </c>
      <c r="H1719" s="0" t="inlineStr">
        <is>
          <t>5)</t>
        </is>
      </c>
      <c r="I1719" s="0" t="inlineStr">
        <is>
          <t>-</t>
        </is>
      </c>
      <c r="J1719" s="0" t="n">
        <v>1192500</v>
      </c>
      <c r="K1719" s="0">
        <f>IF(H1718="1)",1,IF(H1718="2)",2,IF(H1718="3)",3,IF(H1718="4)",4,IF(H1718="5)",5,IF(H1718="6)",6,IF(H1718="7)",7,IF(H1718="8)",8,0))))))))</f>
        <v/>
      </c>
      <c r="L1719" s="0">
        <f>IF(H1718="1)",J1718,IF(H1718="2)",J1718,IF(H1718="3)",J1718,IF(H1718="4)",J1718,IF(H1718="5)",J1718,IF(H1718="6)",J1718,IF(H1718="7)",J1718,IF(H1718="8)",J1718,0))))))))</f>
        <v/>
      </c>
    </row>
    <row r="1720">
      <c r="A1720" s="0" t="inlineStr">
        <is>
          <t>Clear</t>
        </is>
      </c>
      <c r="B1720" s="0" t="inlineStr">
        <is>
          <t>Gem</t>
        </is>
      </c>
      <c r="C1720" s="0" t="inlineStr">
        <is>
          <t>Acquired</t>
        </is>
      </c>
      <c r="D1720" s="0" t="inlineStr">
        <is>
          <t>:</t>
        </is>
      </c>
      <c r="E1720" s="0" t="n">
        <v>10300</v>
      </c>
      <c r="F1720" s="0" t="inlineStr">
        <is>
          <t>-&gt;</t>
        </is>
      </c>
      <c r="G1720" s="0" t="n">
        <v>10400</v>
      </c>
      <c r="H1720" s="0" t="inlineStr">
        <is>
          <t>(Stage</t>
        </is>
      </c>
      <c r="I1720" s="0" t="inlineStr">
        <is>
          <t>:</t>
        </is>
      </c>
      <c r="J1720" s="0" t="inlineStr">
        <is>
          <t>5)</t>
        </is>
      </c>
      <c r="K1720" s="0">
        <f>IF(H1719="1)",1,IF(H1719="2)",2,IF(H1719="3)",3,IF(H1719="4)",4,IF(H1719="5)",5,IF(H1719="6)",6,IF(H1719="7)",7,IF(H1719="8)",8,0))))))))</f>
        <v/>
      </c>
      <c r="L1720" s="0">
        <f>IF(H1719="1)",J1719,IF(H1719="2)",J1719,IF(H1719="3)",J1719,IF(H1719="4)",J1719,IF(H1719="5)",J1719,IF(H1719="6)",J1719,IF(H1719="7)",J1719,IF(H1719="8)",J1719,0))))))))</f>
        <v/>
      </c>
    </row>
    <row r="1721">
      <c r="A1721" s="0" t="inlineStr">
        <is>
          <t>New</t>
        </is>
      </c>
      <c r="B1721" s="0" t="inlineStr">
        <is>
          <t>Item</t>
        </is>
      </c>
      <c r="C1721" s="0" t="inlineStr">
        <is>
          <t>Acquired</t>
        </is>
      </c>
      <c r="D1721" s="0" t="inlineStr">
        <is>
          <t>:</t>
        </is>
      </c>
      <c r="E1721" s="0" t="inlineStr">
        <is>
          <t>157.50K</t>
        </is>
      </c>
      <c r="F1721" s="0" t="inlineStr">
        <is>
          <t>(5,</t>
        </is>
      </c>
      <c r="G1721" s="0" t="inlineStr">
        <is>
          <t>9)</t>
        </is>
      </c>
      <c r="K1721" s="0">
        <f>IF(H1720="1)",1,IF(H1720="2)",2,IF(H1720="3)",3,IF(H1720="4)",4,IF(H1720="5)",5,IF(H1720="6)",6,IF(H1720="7)",7,IF(H1720="8)",8,0))))))))</f>
        <v/>
      </c>
      <c r="L1721" s="0">
        <f>IF(H1720="1)",J1720,IF(H1720="2)",J1720,IF(H1720="3)",J1720,IF(H1720="4)",J1720,IF(H1720="5)",J1720,IF(H1720="6)",J1720,IF(H1720="7)",J1720,IF(H1720="8)",J1720,0))))))))</f>
        <v/>
      </c>
    </row>
    <row r="1722">
      <c r="A1722" s="0" t="inlineStr">
        <is>
          <t>New</t>
        </is>
      </c>
      <c r="B1722" s="0" t="inlineStr">
        <is>
          <t>Item</t>
        </is>
      </c>
      <c r="C1722" s="0" t="inlineStr">
        <is>
          <t>Acquired</t>
        </is>
      </c>
      <c r="D1722" s="0" t="inlineStr">
        <is>
          <t>:</t>
        </is>
      </c>
      <c r="E1722" s="0" t="inlineStr">
        <is>
          <t>67.50K</t>
        </is>
      </c>
      <c r="F1722" s="0" t="inlineStr">
        <is>
          <t>(5,</t>
        </is>
      </c>
      <c r="G1722" s="0" t="inlineStr">
        <is>
          <t>22)</t>
        </is>
      </c>
      <c r="K1722" s="0">
        <f>IF(H1721="1)",1,IF(H1721="2)",2,IF(H1721="3)",3,IF(H1721="4)",4,IF(H1721="5)",5,IF(H1721="6)",6,IF(H1721="7)",7,IF(H1721="8)",8,0))))))))</f>
        <v/>
      </c>
      <c r="L1722" s="0">
        <f>IF(H1721="1)",J1721,IF(H1721="2)",J1721,IF(H1721="3)",J1721,IF(H1721="4)",J1721,IF(H1721="5)",J1721,IF(H1721="6)",J1721,IF(H1721="7)",J1721,IF(H1721="8)",J1721,0))))))))</f>
        <v/>
      </c>
    </row>
    <row r="1723">
      <c r="A1723" s="0" t="inlineStr">
        <is>
          <t>New</t>
        </is>
      </c>
      <c r="B1723" s="0" t="inlineStr">
        <is>
          <t>Item</t>
        </is>
      </c>
      <c r="C1723" s="0" t="inlineStr">
        <is>
          <t>Acquired</t>
        </is>
      </c>
      <c r="D1723" s="0" t="inlineStr">
        <is>
          <t>:</t>
        </is>
      </c>
      <c r="E1723" s="0" t="inlineStr">
        <is>
          <t>87.50K</t>
        </is>
      </c>
      <c r="F1723" s="0" t="inlineStr">
        <is>
          <t>(2,</t>
        </is>
      </c>
      <c r="G1723" s="0" t="inlineStr">
        <is>
          <t>9)</t>
        </is>
      </c>
      <c r="K1723" s="0">
        <f>IF(H1722="1)",1,IF(H1722="2)",2,IF(H1722="3)",3,IF(H1722="4)",4,IF(H1722="5)",5,IF(H1722="6)",6,IF(H1722="7)",7,IF(H1722="8)",8,0))))))))</f>
        <v/>
      </c>
      <c r="L1723" s="0">
        <f>IF(H1722="1)",J1722,IF(H1722="2)",J1722,IF(H1722="3)",J1722,IF(H1722="4)",J1722,IF(H1722="5)",J1722,IF(H1722="6)",J1722,IF(H1722="7)",J1722,IF(H1722="8)",J1722,0))))))))</f>
        <v/>
      </c>
    </row>
    <row r="1724">
      <c r="A1724" s="0" t="inlineStr">
        <is>
          <t>New</t>
        </is>
      </c>
      <c r="B1724" s="0" t="inlineStr">
        <is>
          <t>Item</t>
        </is>
      </c>
      <c r="C1724" s="0" t="inlineStr">
        <is>
          <t>Acquired</t>
        </is>
      </c>
      <c r="D1724" s="0" t="inlineStr">
        <is>
          <t>:</t>
        </is>
      </c>
      <c r="E1724" s="0" t="inlineStr">
        <is>
          <t>90.00K</t>
        </is>
      </c>
      <c r="F1724" s="0" t="inlineStr">
        <is>
          <t>(7,</t>
        </is>
      </c>
      <c r="G1724" s="0" t="inlineStr">
        <is>
          <t>20)</t>
        </is>
      </c>
      <c r="K1724" s="0">
        <f>IF(H1723="1)",1,IF(H1723="2)",2,IF(H1723="3)",3,IF(H1723="4)",4,IF(H1723="5)",5,IF(H1723="6)",6,IF(H1723="7)",7,IF(H1723="8)",8,0))))))))</f>
        <v/>
      </c>
      <c r="L1724" s="0">
        <f>IF(H1723="1)",J1723,IF(H1723="2)",J1723,IF(H1723="3)",J1723,IF(H1723="4)",J1723,IF(H1723="5)",J1723,IF(H1723="6)",J1723,IF(H1723="7)",J1723,IF(H1723="8)",J1723,0))))))))</f>
        <v/>
      </c>
    </row>
    <row r="1725">
      <c r="A1725" s="0" t="inlineStr">
        <is>
          <t>New</t>
        </is>
      </c>
      <c r="B1725" s="0" t="inlineStr">
        <is>
          <t>Item</t>
        </is>
      </c>
      <c r="C1725" s="0" t="inlineStr">
        <is>
          <t>Acquired</t>
        </is>
      </c>
      <c r="D1725" s="0" t="inlineStr">
        <is>
          <t>:</t>
        </is>
      </c>
      <c r="E1725" s="0" t="inlineStr">
        <is>
          <t>50.00K</t>
        </is>
      </c>
      <c r="F1725" s="0" t="inlineStr">
        <is>
          <t>(1,</t>
        </is>
      </c>
      <c r="G1725" s="0" t="inlineStr">
        <is>
          <t>5)</t>
        </is>
      </c>
      <c r="K1725" s="0">
        <f>IF(H1724="1)",1,IF(H1724="2)",2,IF(H1724="3)",3,IF(H1724="4)",4,IF(H1724="5)",5,IF(H1724="6)",6,IF(H1724="7)",7,IF(H1724="8)",8,0))))))))</f>
        <v/>
      </c>
      <c r="L1725" s="0">
        <f>IF(H1724="1)",J1724,IF(H1724="2)",J1724,IF(H1724="3)",J1724,IF(H1724="4)",J1724,IF(H1724="5)",J1724,IF(H1724="6)",J1724,IF(H1724="7)",J1724,IF(H1724="8)",J1724,0))))))))</f>
        <v/>
      </c>
    </row>
    <row r="1726">
      <c r="A1726" s="0" t="inlineStr">
        <is>
          <t>New</t>
        </is>
      </c>
      <c r="B1726" s="0" t="inlineStr">
        <is>
          <t>Item</t>
        </is>
      </c>
      <c r="C1726" s="0" t="inlineStr">
        <is>
          <t>Acquired</t>
        </is>
      </c>
      <c r="D1726" s="0" t="inlineStr">
        <is>
          <t>:</t>
        </is>
      </c>
      <c r="E1726" s="0" t="inlineStr">
        <is>
          <t>Minor</t>
        </is>
      </c>
      <c r="F1726" s="0" t="inlineStr">
        <is>
          <t>(7,</t>
        </is>
      </c>
      <c r="G1726" s="0" t="inlineStr">
        <is>
          <t>16)</t>
        </is>
      </c>
      <c r="K1726" s="0">
        <f>IF(H1725="1)",1,IF(H1725="2)",2,IF(H1725="3)",3,IF(H1725="4)",4,IF(H1725="5)",5,IF(H1725="6)",6,IF(H1725="7)",7,IF(H1725="8)",8,0))))))))</f>
        <v/>
      </c>
      <c r="L1726" s="0">
        <f>IF(H1725="1)",J1725,IF(H1725="2)",J1725,IF(H1725="3)",J1725,IF(H1725="4)",J1725,IF(H1725="5)",J1725,IF(H1725="6)",J1725,IF(H1725="7)",J1725,IF(H1725="8)",J1725,0))))))))</f>
        <v/>
      </c>
    </row>
    <row r="1727">
      <c r="A1727" s="0" t="inlineStr">
        <is>
          <t>New</t>
        </is>
      </c>
      <c r="B1727" s="0" t="inlineStr">
        <is>
          <t>Item</t>
        </is>
      </c>
      <c r="C1727" s="0" t="inlineStr">
        <is>
          <t>Acquired</t>
        </is>
      </c>
      <c r="D1727" s="0" t="inlineStr">
        <is>
          <t>:</t>
        </is>
      </c>
      <c r="E1727" s="0" t="inlineStr">
        <is>
          <t>30.00K</t>
        </is>
      </c>
      <c r="F1727" s="0" t="inlineStr">
        <is>
          <t>(1,</t>
        </is>
      </c>
      <c r="G1727" s="0" t="inlineStr">
        <is>
          <t>24)</t>
        </is>
      </c>
      <c r="K1727" s="0">
        <f>IF(H1726="1)",1,IF(H1726="2)",2,IF(H1726="3)",3,IF(H1726="4)",4,IF(H1726="5)",5,IF(H1726="6)",6,IF(H1726="7)",7,IF(H1726="8)",8,0))))))))</f>
        <v/>
      </c>
      <c r="L1727" s="0">
        <f>IF(H1726="1)",J1726,IF(H1726="2)",J1726,IF(H1726="3)",J1726,IF(H1726="4)",J1726,IF(H1726="5)",J1726,IF(H1726="6)",J1726,IF(H1726="7)",J1726,IF(H1726="8)",J1726,0))))))))</f>
        <v/>
      </c>
    </row>
    <row r="1728">
      <c r="A1728" s="0" t="inlineStr">
        <is>
          <t>New</t>
        </is>
      </c>
      <c r="B1728" s="0" t="inlineStr">
        <is>
          <t>Item</t>
        </is>
      </c>
      <c r="C1728" s="0" t="inlineStr">
        <is>
          <t>Acquired</t>
        </is>
      </c>
      <c r="D1728" s="0" t="inlineStr">
        <is>
          <t>:</t>
        </is>
      </c>
      <c r="E1728" s="0" t="inlineStr">
        <is>
          <t>75.00K</t>
        </is>
      </c>
      <c r="F1728" s="0" t="inlineStr">
        <is>
          <t>(3,</t>
        </is>
      </c>
      <c r="G1728" s="0" t="inlineStr">
        <is>
          <t>2)</t>
        </is>
      </c>
      <c r="K1728" s="0">
        <f>IF(H1727="1)",1,IF(H1727="2)",2,IF(H1727="3)",3,IF(H1727="4)",4,IF(H1727="5)",5,IF(H1727="6)",6,IF(H1727="7)",7,IF(H1727="8)",8,0))))))))</f>
        <v/>
      </c>
      <c r="L1728" s="0">
        <f>IF(H1727="1)",J1727,IF(H1727="2)",J1727,IF(H1727="3)",J1727,IF(H1727="4)",J1727,IF(H1727="5)",J1727,IF(H1727="6)",J1727,IF(H1727="7)",J1727,IF(H1727="8)",J1727,0))))))))</f>
        <v/>
      </c>
    </row>
    <row r="1729">
      <c r="A1729" s="0" t="inlineStr">
        <is>
          <t>New</t>
        </is>
      </c>
      <c r="B1729" s="0" t="inlineStr">
        <is>
          <t>Item</t>
        </is>
      </c>
      <c r="C1729" s="0" t="inlineStr">
        <is>
          <t>Acquired</t>
        </is>
      </c>
      <c r="D1729" s="0" t="inlineStr">
        <is>
          <t>:</t>
        </is>
      </c>
      <c r="E1729" s="0" t="inlineStr">
        <is>
          <t>120.00K</t>
        </is>
      </c>
      <c r="F1729" s="0" t="inlineStr">
        <is>
          <t>(8,</t>
        </is>
      </c>
      <c r="G1729" s="0" t="inlineStr">
        <is>
          <t>11)</t>
        </is>
      </c>
      <c r="K1729" s="0">
        <f>IF(H1728="1)",1,IF(H1728="2)",2,IF(H1728="3)",3,IF(H1728="4)",4,IF(H1728="5)",5,IF(H1728="6)",6,IF(H1728="7)",7,IF(H1728="8)",8,0))))))))</f>
        <v/>
      </c>
      <c r="L1729" s="0">
        <f>IF(H1728="1)",J1728,IF(H1728="2)",J1728,IF(H1728="3)",J1728,IF(H1728="4)",J1728,IF(H1728="5)",J1728,IF(H1728="6)",J1728,IF(H1728="7)",J1728,IF(H1728="8)",J1728,0))))))))</f>
        <v/>
      </c>
    </row>
    <row r="1730">
      <c r="A1730" s="0" t="inlineStr">
        <is>
          <t>New</t>
        </is>
      </c>
      <c r="B1730" s="0" t="inlineStr">
        <is>
          <t>Item</t>
        </is>
      </c>
      <c r="C1730" s="0" t="inlineStr">
        <is>
          <t>Acquired</t>
        </is>
      </c>
      <c r="D1730" s="0" t="inlineStr">
        <is>
          <t>:</t>
        </is>
      </c>
      <c r="E1730" s="0" t="inlineStr">
        <is>
          <t>125.00K</t>
        </is>
      </c>
      <c r="F1730" s="0" t="inlineStr">
        <is>
          <t>(6,</t>
        </is>
      </c>
      <c r="G1730" s="0" t="inlineStr">
        <is>
          <t>10)</t>
        </is>
      </c>
      <c r="K1730" s="0">
        <f>IF(H1729="1)",1,IF(H1729="2)",2,IF(H1729="3)",3,IF(H1729="4)",4,IF(H1729="5)",5,IF(H1729="6)",6,IF(H1729="7)",7,IF(H1729="8)",8,0))))))))</f>
        <v/>
      </c>
      <c r="L1730" s="0">
        <f>IF(H1729="1)",J1729,IF(H1729="2)",J1729,IF(H1729="3)",J1729,IF(H1729="4)",J1729,IF(H1729="5)",J1729,IF(H1729="6)",J1729,IF(H1729="7)",J1729,IF(H1729="8)",J1729,0))))))))</f>
        <v/>
      </c>
    </row>
    <row r="1731">
      <c r="A1731" s="0" t="inlineStr">
        <is>
          <t>New</t>
        </is>
      </c>
      <c r="B1731" s="0" t="inlineStr">
        <is>
          <t>Item</t>
        </is>
      </c>
      <c r="C1731" s="0" t="inlineStr">
        <is>
          <t>Acquired</t>
        </is>
      </c>
      <c r="D1731" s="0" t="inlineStr">
        <is>
          <t>:</t>
        </is>
      </c>
      <c r="E1731" s="0" t="inlineStr">
        <is>
          <t>75.00K</t>
        </is>
      </c>
      <c r="F1731" s="0" t="inlineStr">
        <is>
          <t>(6,</t>
        </is>
      </c>
      <c r="G1731" s="0" t="inlineStr">
        <is>
          <t>9)</t>
        </is>
      </c>
      <c r="K1731" s="0">
        <f>IF(H1730="1)",1,IF(H1730="2)",2,IF(H1730="3)",3,IF(H1730="4)",4,IF(H1730="5)",5,IF(H1730="6)",6,IF(H1730="7)",7,IF(H1730="8)",8,0))))))))</f>
        <v/>
      </c>
      <c r="L1731" s="0">
        <f>IF(H1730="1)",J1730,IF(H1730="2)",J1730,IF(H1730="3)",J1730,IF(H1730="4)",J1730,IF(H1730="5)",J1730,IF(H1730="6)",J1730,IF(H1730="7)",J1730,IF(H1730="8)",J1730,0))))))))</f>
        <v/>
      </c>
    </row>
    <row r="1732">
      <c r="A1732" s="0" t="inlineStr">
        <is>
          <t>New</t>
        </is>
      </c>
      <c r="B1732" s="0" t="inlineStr">
        <is>
          <t>Item</t>
        </is>
      </c>
      <c r="C1732" s="0" t="inlineStr">
        <is>
          <t>Acquired</t>
        </is>
      </c>
      <c r="D1732" s="0" t="inlineStr">
        <is>
          <t>:</t>
        </is>
      </c>
      <c r="E1732" s="0" t="inlineStr">
        <is>
          <t>62.50K</t>
        </is>
      </c>
      <c r="F1732" s="0" t="inlineStr">
        <is>
          <t>(2,</t>
        </is>
      </c>
      <c r="G1732" s="0" t="inlineStr">
        <is>
          <t>4)</t>
        </is>
      </c>
      <c r="K1732" s="0">
        <f>IF(H1731="1)",1,IF(H1731="2)",2,IF(H1731="3)",3,IF(H1731="4)",4,IF(H1731="5)",5,IF(H1731="6)",6,IF(H1731="7)",7,IF(H1731="8)",8,0))))))))</f>
        <v/>
      </c>
      <c r="L1732" s="0">
        <f>IF(H1731="1)",J1731,IF(H1731="2)",J1731,IF(H1731="3)",J1731,IF(H1731="4)",J1731,IF(H1731="5)",J1731,IF(H1731="6)",J1731,IF(H1731="7)",J1731,IF(H1731="8)",J1731,0))))))))</f>
        <v/>
      </c>
    </row>
    <row r="1733">
      <c r="A1733" s="0" t="inlineStr">
        <is>
          <t>Line</t>
        </is>
      </c>
      <c r="B1733" s="0" t="inlineStr">
        <is>
          <t>Prize</t>
        </is>
      </c>
      <c r="C1733" s="0" t="inlineStr">
        <is>
          <t>Acquired</t>
        </is>
      </c>
      <c r="D1733" s="0" t="inlineStr">
        <is>
          <t>:</t>
        </is>
      </c>
      <c r="E1733" s="0" t="inlineStr">
        <is>
          <t>687.50K</t>
        </is>
      </c>
      <c r="F1733" s="0" t="inlineStr">
        <is>
          <t>(Stage</t>
        </is>
      </c>
      <c r="G1733" s="0" t="inlineStr">
        <is>
          <t>:</t>
        </is>
      </c>
      <c r="H1733" s="0" t="inlineStr">
        <is>
          <t>2)</t>
        </is>
      </c>
      <c r="I1733" s="0" t="inlineStr">
        <is>
          <t>-</t>
        </is>
      </c>
      <c r="J1733" s="0" t="n">
        <v>687500</v>
      </c>
      <c r="K1733" s="0">
        <f>IF(H1732="1)",1,IF(H1732="2)",2,IF(H1732="3)",3,IF(H1732="4)",4,IF(H1732="5)",5,IF(H1732="6)",6,IF(H1732="7)",7,IF(H1732="8)",8,0))))))))</f>
        <v/>
      </c>
      <c r="L1733" s="0">
        <f>IF(H1732="1)",J1732,IF(H1732="2)",J1732,IF(H1732="3)",J1732,IF(H1732="4)",J1732,IF(H1732="5)",J1732,IF(H1732="6)",J1732,IF(H1732="7)",J1732,IF(H1732="8)",J1732,0))))))))</f>
        <v/>
      </c>
    </row>
    <row r="1734">
      <c r="A1734" s="0" t="inlineStr">
        <is>
          <t>Clear</t>
        </is>
      </c>
      <c r="B1734" s="0" t="inlineStr">
        <is>
          <t>Gem</t>
        </is>
      </c>
      <c r="C1734" s="0" t="inlineStr">
        <is>
          <t>Acquired</t>
        </is>
      </c>
      <c r="D1734" s="0" t="inlineStr">
        <is>
          <t>:</t>
        </is>
      </c>
      <c r="E1734" s="0" t="n">
        <v>10400</v>
      </c>
      <c r="F1734" s="0" t="inlineStr">
        <is>
          <t>-&gt;</t>
        </is>
      </c>
      <c r="G1734" s="0" t="n">
        <v>10500</v>
      </c>
      <c r="H1734" s="0" t="inlineStr">
        <is>
          <t>(Stage</t>
        </is>
      </c>
      <c r="I1734" s="0" t="inlineStr">
        <is>
          <t>:</t>
        </is>
      </c>
      <c r="J1734" s="0" t="inlineStr">
        <is>
          <t>2)</t>
        </is>
      </c>
      <c r="K1734" s="0">
        <f>IF(H1733="1)",1,IF(H1733="2)",2,IF(H1733="3)",3,IF(H1733="4)",4,IF(H1733="5)",5,IF(H1733="6)",6,IF(H1733="7)",7,IF(H1733="8)",8,0))))))))</f>
        <v/>
      </c>
      <c r="L1734" s="0">
        <f>IF(H1733="1)",J1733,IF(H1733="2)",J1733,IF(H1733="3)",J1733,IF(H1733="4)",J1733,IF(H1733="5)",J1733,IF(H1733="6)",J1733,IF(H1733="7)",J1733,IF(H1733="8)",J1733,0))))))))</f>
        <v/>
      </c>
    </row>
    <row r="1735">
      <c r="A1735" s="0" t="inlineStr">
        <is>
          <t>New</t>
        </is>
      </c>
      <c r="B1735" s="0" t="inlineStr">
        <is>
          <t>Item</t>
        </is>
      </c>
      <c r="C1735" s="0" t="inlineStr">
        <is>
          <t>Acquired</t>
        </is>
      </c>
      <c r="D1735" s="0" t="inlineStr">
        <is>
          <t>:</t>
        </is>
      </c>
      <c r="E1735" s="0" t="inlineStr">
        <is>
          <t>112.50K</t>
        </is>
      </c>
      <c r="F1735" s="0" t="inlineStr">
        <is>
          <t>(5,</t>
        </is>
      </c>
      <c r="G1735" s="0" t="inlineStr">
        <is>
          <t>5)</t>
        </is>
      </c>
      <c r="K1735" s="0">
        <f>IF(H1734="1)",1,IF(H1734="2)",2,IF(H1734="3)",3,IF(H1734="4)",4,IF(H1734="5)",5,IF(H1734="6)",6,IF(H1734="7)",7,IF(H1734="8)",8,0))))))))</f>
        <v/>
      </c>
      <c r="L1735" s="0">
        <f>IF(H1734="1)",J1734,IF(H1734="2)",J1734,IF(H1734="3)",J1734,IF(H1734="4)",J1734,IF(H1734="5)",J1734,IF(H1734="6)",J1734,IF(H1734="7)",J1734,IF(H1734="8)",J1734,0))))))))</f>
        <v/>
      </c>
    </row>
    <row r="1736">
      <c r="A1736" s="0" t="inlineStr">
        <is>
          <t>New</t>
        </is>
      </c>
      <c r="B1736" s="0" t="inlineStr">
        <is>
          <t>Item</t>
        </is>
      </c>
      <c r="C1736" s="0" t="inlineStr">
        <is>
          <t>Acquired</t>
        </is>
      </c>
      <c r="D1736" s="0" t="inlineStr">
        <is>
          <t>:</t>
        </is>
      </c>
      <c r="E1736" s="0" t="inlineStr">
        <is>
          <t>90.00K</t>
        </is>
      </c>
      <c r="F1736" s="0" t="inlineStr">
        <is>
          <t>(7,</t>
        </is>
      </c>
      <c r="G1736" s="0" t="inlineStr">
        <is>
          <t>18)</t>
        </is>
      </c>
      <c r="K1736" s="0">
        <f>IF(H1735="1)",1,IF(H1735="2)",2,IF(H1735="3)",3,IF(H1735="4)",4,IF(H1735="5)",5,IF(H1735="6)",6,IF(H1735="7)",7,IF(H1735="8)",8,0))))))))</f>
        <v/>
      </c>
      <c r="L1736" s="0">
        <f>IF(H1735="1)",J1735,IF(H1735="2)",J1735,IF(H1735="3)",J1735,IF(H1735="4)",J1735,IF(H1735="5)",J1735,IF(H1735="6)",J1735,IF(H1735="7)",J1735,IF(H1735="8)",J1735,0))))))))</f>
        <v/>
      </c>
    </row>
    <row r="1737">
      <c r="A1737" s="0" t="inlineStr">
        <is>
          <t>New</t>
        </is>
      </c>
      <c r="B1737" s="0" t="inlineStr">
        <is>
          <t>Item</t>
        </is>
      </c>
      <c r="C1737" s="0" t="inlineStr">
        <is>
          <t>Acquired</t>
        </is>
      </c>
      <c r="D1737" s="0" t="inlineStr">
        <is>
          <t>:</t>
        </is>
      </c>
      <c r="E1737" s="0" t="inlineStr">
        <is>
          <t>150.00K</t>
        </is>
      </c>
      <c r="F1737" s="0" t="inlineStr">
        <is>
          <t>(7,</t>
        </is>
      </c>
      <c r="G1737" s="0" t="inlineStr">
        <is>
          <t>5)</t>
        </is>
      </c>
      <c r="K1737" s="0">
        <f>IF(H1736="1)",1,IF(H1736="2)",2,IF(H1736="3)",3,IF(H1736="4)",4,IF(H1736="5)",5,IF(H1736="6)",6,IF(H1736="7)",7,IF(H1736="8)",8,0))))))))</f>
        <v/>
      </c>
      <c r="L1737" s="0">
        <f>IF(H1736="1)",J1736,IF(H1736="2)",J1736,IF(H1736="3)",J1736,IF(H1736="4)",J1736,IF(H1736="5)",J1736,IF(H1736="6)",J1736,IF(H1736="7)",J1736,IF(H1736="8)",J1736,0))))))))</f>
        <v/>
      </c>
    </row>
    <row r="1738">
      <c r="A1738" s="0" t="inlineStr">
        <is>
          <t>New</t>
        </is>
      </c>
      <c r="B1738" s="0" t="inlineStr">
        <is>
          <t>Item</t>
        </is>
      </c>
      <c r="C1738" s="0" t="inlineStr">
        <is>
          <t>Acquired</t>
        </is>
      </c>
      <c r="D1738" s="0" t="inlineStr">
        <is>
          <t>:</t>
        </is>
      </c>
      <c r="E1738" s="0" t="inlineStr">
        <is>
          <t>90.00K</t>
        </is>
      </c>
      <c r="F1738" s="0" t="inlineStr">
        <is>
          <t>(7,</t>
        </is>
      </c>
      <c r="G1738" s="0" t="inlineStr">
        <is>
          <t>19)</t>
        </is>
      </c>
      <c r="K1738" s="0">
        <f>IF(H1737="1)",1,IF(H1737="2)",2,IF(H1737="3)",3,IF(H1737="4)",4,IF(H1737="5)",5,IF(H1737="6)",6,IF(H1737="7)",7,IF(H1737="8)",8,0))))))))</f>
        <v/>
      </c>
      <c r="L1738" s="0">
        <f>IF(H1737="1)",J1737,IF(H1737="2)",J1737,IF(H1737="3)",J1737,IF(H1737="4)",J1737,IF(H1737="5)",J1737,IF(H1737="6)",J1737,IF(H1737="7)",J1737,IF(H1737="8)",J1737,0))))))))</f>
        <v/>
      </c>
    </row>
    <row r="1739">
      <c r="A1739" s="0" t="inlineStr">
        <is>
          <t>Line</t>
        </is>
      </c>
      <c r="B1739" s="0" t="inlineStr">
        <is>
          <t>Prize</t>
        </is>
      </c>
      <c r="C1739" s="0" t="inlineStr">
        <is>
          <t>Acquired</t>
        </is>
      </c>
      <c r="D1739" s="0" t="inlineStr">
        <is>
          <t>:</t>
        </is>
      </c>
      <c r="E1739" s="0" t="inlineStr">
        <is>
          <t>1.32M</t>
        </is>
      </c>
      <c r="F1739" s="0" t="inlineStr">
        <is>
          <t>(Stage</t>
        </is>
      </c>
      <c r="G1739" s="0" t="inlineStr">
        <is>
          <t>:</t>
        </is>
      </c>
      <c r="H1739" s="0" t="inlineStr">
        <is>
          <t>7)</t>
        </is>
      </c>
      <c r="I1739" s="0" t="inlineStr">
        <is>
          <t>-</t>
        </is>
      </c>
      <c r="J1739" s="0" t="n">
        <v>1320000</v>
      </c>
      <c r="K1739" s="0">
        <f>IF(H1738="1)",1,IF(H1738="2)",2,IF(H1738="3)",3,IF(H1738="4)",4,IF(H1738="5)",5,IF(H1738="6)",6,IF(H1738="7)",7,IF(H1738="8)",8,0))))))))</f>
        <v/>
      </c>
      <c r="L1739" s="0">
        <f>IF(H1738="1)",J1738,IF(H1738="2)",J1738,IF(H1738="3)",J1738,IF(H1738="4)",J1738,IF(H1738="5)",J1738,IF(H1738="6)",J1738,IF(H1738="7)",J1738,IF(H1738="8)",J1738,0))))))))</f>
        <v/>
      </c>
    </row>
    <row r="1740">
      <c r="A1740" s="0" t="inlineStr">
        <is>
          <t>Clear</t>
        </is>
      </c>
      <c r="B1740" s="0" t="inlineStr">
        <is>
          <t>Gem</t>
        </is>
      </c>
      <c r="C1740" s="0" t="inlineStr">
        <is>
          <t>Acquired</t>
        </is>
      </c>
      <c r="D1740" s="0" t="inlineStr">
        <is>
          <t>:</t>
        </is>
      </c>
      <c r="E1740" s="0" t="n">
        <v>10500</v>
      </c>
      <c r="F1740" s="0" t="inlineStr">
        <is>
          <t>-&gt;</t>
        </is>
      </c>
      <c r="G1740" s="0" t="n">
        <v>10600</v>
      </c>
      <c r="H1740" s="0" t="inlineStr">
        <is>
          <t>(Stage</t>
        </is>
      </c>
      <c r="I1740" s="0" t="inlineStr">
        <is>
          <t>:</t>
        </is>
      </c>
      <c r="J1740" s="0" t="inlineStr">
        <is>
          <t>7)</t>
        </is>
      </c>
      <c r="K1740" s="0">
        <f>IF(H1739="1)",1,IF(H1739="2)",2,IF(H1739="3)",3,IF(H1739="4)",4,IF(H1739="5)",5,IF(H1739="6)",6,IF(H1739="7)",7,IF(H1739="8)",8,0))))))))</f>
        <v/>
      </c>
      <c r="L1740" s="0">
        <f>IF(H1739="1)",J1739,IF(H1739="2)",J1739,IF(H1739="3)",J1739,IF(H1739="4)",J1739,IF(H1739="5)",J1739,IF(H1739="6)",J1739,IF(H1739="7)",J1739,IF(H1739="8)",J1739,0))))))))</f>
        <v/>
      </c>
    </row>
    <row r="1741">
      <c r="A1741" s="0" t="inlineStr">
        <is>
          <t>New</t>
        </is>
      </c>
      <c r="B1741" s="0" t="inlineStr">
        <is>
          <t>Item</t>
        </is>
      </c>
      <c r="C1741" s="0" t="inlineStr">
        <is>
          <t>Acquired</t>
        </is>
      </c>
      <c r="D1741" s="0" t="inlineStr">
        <is>
          <t>:</t>
        </is>
      </c>
      <c r="E1741" s="0" t="inlineStr">
        <is>
          <t>45.00K</t>
        </is>
      </c>
      <c r="F1741" s="0" t="inlineStr">
        <is>
          <t>(3,</t>
        </is>
      </c>
      <c r="G1741" s="0" t="inlineStr">
        <is>
          <t>22)</t>
        </is>
      </c>
      <c r="K1741" s="0">
        <f>IF(H1740="1)",1,IF(H1740="2)",2,IF(H1740="3)",3,IF(H1740="4)",4,IF(H1740="5)",5,IF(H1740="6)",6,IF(H1740="7)",7,IF(H1740="8)",8,0))))))))</f>
        <v/>
      </c>
      <c r="L1741" s="0">
        <f>IF(H1740="1)",J1740,IF(H1740="2)",J1740,IF(H1740="3)",J1740,IF(H1740="4)",J1740,IF(H1740="5)",J1740,IF(H1740="6)",J1740,IF(H1740="7)",J1740,IF(H1740="8)",J1740,0))))))))</f>
        <v/>
      </c>
    </row>
    <row r="1742">
      <c r="A1742" s="0" t="inlineStr">
        <is>
          <t>Line</t>
        </is>
      </c>
      <c r="B1742" s="0" t="inlineStr">
        <is>
          <t>Prize</t>
        </is>
      </c>
      <c r="C1742" s="0" t="inlineStr">
        <is>
          <t>Acquired</t>
        </is>
      </c>
      <c r="D1742" s="0" t="inlineStr">
        <is>
          <t>:</t>
        </is>
      </c>
      <c r="E1742" s="0" t="inlineStr">
        <is>
          <t>345.00K</t>
        </is>
      </c>
      <c r="F1742" s="0" t="inlineStr">
        <is>
          <t>(Stage</t>
        </is>
      </c>
      <c r="G1742" s="0" t="inlineStr">
        <is>
          <t>:</t>
        </is>
      </c>
      <c r="H1742" s="0" t="inlineStr">
        <is>
          <t>3)</t>
        </is>
      </c>
      <c r="I1742" s="0" t="inlineStr">
        <is>
          <t>-</t>
        </is>
      </c>
      <c r="J1742" s="0" t="n">
        <v>345000</v>
      </c>
      <c r="K1742" s="0">
        <f>IF(H1741="1)",1,IF(H1741="2)",2,IF(H1741="3)",3,IF(H1741="4)",4,IF(H1741="5)",5,IF(H1741="6)",6,IF(H1741="7)",7,IF(H1741="8)",8,0))))))))</f>
        <v/>
      </c>
      <c r="L1742" s="0">
        <f>IF(H1741="1)",J1741,IF(H1741="2)",J1741,IF(H1741="3)",J1741,IF(H1741="4)",J1741,IF(H1741="5)",J1741,IF(H1741="6)",J1741,IF(H1741="7)",J1741,IF(H1741="8)",J1741,0))))))))</f>
        <v/>
      </c>
    </row>
    <row r="1743">
      <c r="A1743" s="0" t="inlineStr">
        <is>
          <t>Clear</t>
        </is>
      </c>
      <c r="B1743" s="0" t="inlineStr">
        <is>
          <t>Gem</t>
        </is>
      </c>
      <c r="C1743" s="0" t="inlineStr">
        <is>
          <t>Acquired</t>
        </is>
      </c>
      <c r="D1743" s="0" t="inlineStr">
        <is>
          <t>:</t>
        </is>
      </c>
      <c r="E1743" s="0" t="n">
        <v>10600</v>
      </c>
      <c r="F1743" s="0" t="inlineStr">
        <is>
          <t>-&gt;</t>
        </is>
      </c>
      <c r="G1743" s="0" t="n">
        <v>10700</v>
      </c>
      <c r="H1743" s="0" t="inlineStr">
        <is>
          <t>(Stage</t>
        </is>
      </c>
      <c r="I1743" s="0" t="inlineStr">
        <is>
          <t>:</t>
        </is>
      </c>
      <c r="J1743" s="0" t="inlineStr">
        <is>
          <t>3)</t>
        </is>
      </c>
      <c r="K1743" s="0">
        <f>IF(H1742="1)",1,IF(H1742="2)",2,IF(H1742="3)",3,IF(H1742="4)",4,IF(H1742="5)",5,IF(H1742="6)",6,IF(H1742="7)",7,IF(H1742="8)",8,0))))))))</f>
        <v/>
      </c>
      <c r="L1743" s="0">
        <f>IF(H1742="1)",J1742,IF(H1742="2)",J1742,IF(H1742="3)",J1742,IF(H1742="4)",J1742,IF(H1742="5)",J1742,IF(H1742="6)",J1742,IF(H1742="7)",J1742,IF(H1742="8)",J1742,0))))))))</f>
        <v/>
      </c>
    </row>
    <row r="1744">
      <c r="A1744" s="0" t="inlineStr">
        <is>
          <t>New</t>
        </is>
      </c>
      <c r="B1744" s="0" t="inlineStr">
        <is>
          <t>Item</t>
        </is>
      </c>
      <c r="C1744" s="0" t="inlineStr">
        <is>
          <t>Acquired</t>
        </is>
      </c>
      <c r="D1744" s="0" t="inlineStr">
        <is>
          <t>:</t>
        </is>
      </c>
      <c r="E1744" s="0" t="inlineStr">
        <is>
          <t>75.00K</t>
        </is>
      </c>
      <c r="F1744" s="0" t="inlineStr">
        <is>
          <t>(4,</t>
        </is>
      </c>
      <c r="G1744" s="0" t="inlineStr">
        <is>
          <t>20)</t>
        </is>
      </c>
      <c r="K1744" s="0">
        <f>IF(H1743="1)",1,IF(H1743="2)",2,IF(H1743="3)",3,IF(H1743="4)",4,IF(H1743="5)",5,IF(H1743="6)",6,IF(H1743="7)",7,IF(H1743="8)",8,0))))))))</f>
        <v/>
      </c>
      <c r="L1744" s="0">
        <f>IF(H1743="1)",J1743,IF(H1743="2)",J1743,IF(H1743="3)",J1743,IF(H1743="4)",J1743,IF(H1743="5)",J1743,IF(H1743="6)",J1743,IF(H1743="7)",J1743,IF(H1743="8)",J1743,0))))))))</f>
        <v/>
      </c>
    </row>
    <row r="1745">
      <c r="A1745" s="0" t="inlineStr">
        <is>
          <t>New</t>
        </is>
      </c>
      <c r="B1745" s="0" t="inlineStr">
        <is>
          <t>Item</t>
        </is>
      </c>
      <c r="C1745" s="0" t="inlineStr">
        <is>
          <t>Acquired</t>
        </is>
      </c>
      <c r="D1745" s="0" t="inlineStr">
        <is>
          <t>:</t>
        </is>
      </c>
      <c r="E1745" s="0" t="inlineStr">
        <is>
          <t>70.00K</t>
        </is>
      </c>
      <c r="F1745" s="0" t="inlineStr">
        <is>
          <t>(1,</t>
        </is>
      </c>
      <c r="G1745" s="0" t="inlineStr">
        <is>
          <t>9)</t>
        </is>
      </c>
      <c r="K1745" s="0">
        <f>IF(H1744="1)",1,IF(H1744="2)",2,IF(H1744="3)",3,IF(H1744="4)",4,IF(H1744="5)",5,IF(H1744="6)",6,IF(H1744="7)",7,IF(H1744="8)",8,0))))))))</f>
        <v/>
      </c>
      <c r="L1745" s="0">
        <f>IF(H1744="1)",J1744,IF(H1744="2)",J1744,IF(H1744="3)",J1744,IF(H1744="4)",J1744,IF(H1744="5)",J1744,IF(H1744="6)",J1744,IF(H1744="7)",J1744,IF(H1744="8)",J1744,0))))))))</f>
        <v/>
      </c>
    </row>
    <row r="1746">
      <c r="A1746" s="0" t="inlineStr">
        <is>
          <t>New</t>
        </is>
      </c>
      <c r="B1746" s="0" t="inlineStr">
        <is>
          <t>Item</t>
        </is>
      </c>
      <c r="C1746" s="0" t="inlineStr">
        <is>
          <t>Acquired</t>
        </is>
      </c>
      <c r="D1746" s="0" t="inlineStr">
        <is>
          <t>:</t>
        </is>
      </c>
      <c r="E1746" s="0" t="inlineStr">
        <is>
          <t>75.00K</t>
        </is>
      </c>
      <c r="F1746" s="0" t="inlineStr">
        <is>
          <t>(4,</t>
        </is>
      </c>
      <c r="G1746" s="0" t="inlineStr">
        <is>
          <t>19)</t>
        </is>
      </c>
      <c r="K1746" s="0">
        <f>IF(H1745="1)",1,IF(H1745="2)",2,IF(H1745="3)",3,IF(H1745="4)",4,IF(H1745="5)",5,IF(H1745="6)",6,IF(H1745="7)",7,IF(H1745="8)",8,0))))))))</f>
        <v/>
      </c>
      <c r="L1746" s="0">
        <f>IF(H1745="1)",J1745,IF(H1745="2)",J1745,IF(H1745="3)",J1745,IF(H1745="4)",J1745,IF(H1745="5)",J1745,IF(H1745="6)",J1745,IF(H1745="7)",J1745,IF(H1745="8)",J1745,0))))))))</f>
        <v/>
      </c>
    </row>
    <row r="1747">
      <c r="A1747" s="0" t="inlineStr">
        <is>
          <t>New</t>
        </is>
      </c>
      <c r="B1747" s="0" t="inlineStr">
        <is>
          <t>Item</t>
        </is>
      </c>
      <c r="C1747" s="0" t="inlineStr">
        <is>
          <t>Acquired</t>
        </is>
      </c>
      <c r="D1747" s="0" t="inlineStr">
        <is>
          <t>:</t>
        </is>
      </c>
      <c r="E1747" s="0" t="inlineStr">
        <is>
          <t>67.50K</t>
        </is>
      </c>
      <c r="F1747" s="0" t="inlineStr">
        <is>
          <t>(5,</t>
        </is>
      </c>
      <c r="G1747" s="0" t="inlineStr">
        <is>
          <t>14)</t>
        </is>
      </c>
      <c r="K1747" s="0">
        <f>IF(H1746="1)",1,IF(H1746="2)",2,IF(H1746="3)",3,IF(H1746="4)",4,IF(H1746="5)",5,IF(H1746="6)",6,IF(H1746="7)",7,IF(H1746="8)",8,0))))))))</f>
        <v/>
      </c>
      <c r="L1747" s="0">
        <f>IF(H1746="1)",J1746,IF(H1746="2)",J1746,IF(H1746="3)",J1746,IF(H1746="4)",J1746,IF(H1746="5)",J1746,IF(H1746="6)",J1746,IF(H1746="7)",J1746,IF(H1746="8)",J1746,0))))))))</f>
        <v/>
      </c>
    </row>
    <row r="1748">
      <c r="A1748" s="0" t="inlineStr">
        <is>
          <t>New</t>
        </is>
      </c>
      <c r="B1748" s="0" t="inlineStr">
        <is>
          <t>Item</t>
        </is>
      </c>
      <c r="C1748" s="0" t="inlineStr">
        <is>
          <t>Acquired</t>
        </is>
      </c>
      <c r="D1748" s="0" t="inlineStr">
        <is>
          <t>:</t>
        </is>
      </c>
      <c r="E1748" s="0" t="inlineStr">
        <is>
          <t>62.50K</t>
        </is>
      </c>
      <c r="F1748" s="0" t="inlineStr">
        <is>
          <t>(2,</t>
        </is>
      </c>
      <c r="G1748" s="0" t="inlineStr">
        <is>
          <t>22)</t>
        </is>
      </c>
      <c r="K1748" s="0">
        <f>IF(H1747="1)",1,IF(H1747="2)",2,IF(H1747="3)",3,IF(H1747="4)",4,IF(H1747="5)",5,IF(H1747="6)",6,IF(H1747="7)",7,IF(H1747="8)",8,0))))))))</f>
        <v/>
      </c>
      <c r="L1748" s="0">
        <f>IF(H1747="1)",J1747,IF(H1747="2)",J1747,IF(H1747="3)",J1747,IF(H1747="4)",J1747,IF(H1747="5)",J1747,IF(H1747="6)",J1747,IF(H1747="7)",J1747,IF(H1747="8)",J1747,0))))))))</f>
        <v/>
      </c>
    </row>
    <row r="1749">
      <c r="A1749" s="0" t="inlineStr">
        <is>
          <t>New</t>
        </is>
      </c>
      <c r="B1749" s="0" t="inlineStr">
        <is>
          <t>Item</t>
        </is>
      </c>
      <c r="C1749" s="0" t="inlineStr">
        <is>
          <t>Acquired</t>
        </is>
      </c>
      <c r="D1749" s="0" t="inlineStr">
        <is>
          <t>:</t>
        </is>
      </c>
      <c r="E1749" s="0" t="inlineStr">
        <is>
          <t>90.00K</t>
        </is>
      </c>
      <c r="F1749" s="0" t="inlineStr">
        <is>
          <t>(7,</t>
        </is>
      </c>
      <c r="G1749" s="0" t="inlineStr">
        <is>
          <t>25)</t>
        </is>
      </c>
      <c r="K1749" s="0">
        <f>IF(H1748="1)",1,IF(H1748="2)",2,IF(H1748="3)",3,IF(H1748="4)",4,IF(H1748="5)",5,IF(H1748="6)",6,IF(H1748="7)",7,IF(H1748="8)",8,0))))))))</f>
        <v/>
      </c>
      <c r="L1749" s="0">
        <f>IF(H1748="1)",J1748,IF(H1748="2)",J1748,IF(H1748="3)",J1748,IF(H1748="4)",J1748,IF(H1748="5)",J1748,IF(H1748="6)",J1748,IF(H1748="7)",J1748,IF(H1748="8)",J1748,0))))))))</f>
        <v/>
      </c>
    </row>
    <row r="1750">
      <c r="A1750" s="0" t="inlineStr">
        <is>
          <t>New</t>
        </is>
      </c>
      <c r="B1750" s="0" t="inlineStr">
        <is>
          <t>Item</t>
        </is>
      </c>
      <c r="C1750" s="0" t="inlineStr">
        <is>
          <t>Acquired</t>
        </is>
      </c>
      <c r="D1750" s="0" t="inlineStr">
        <is>
          <t>:</t>
        </is>
      </c>
      <c r="E1750" s="0" t="inlineStr">
        <is>
          <t>105.00K</t>
        </is>
      </c>
      <c r="F1750" s="0" t="inlineStr">
        <is>
          <t>(4,</t>
        </is>
      </c>
      <c r="G1750" s="0" t="inlineStr">
        <is>
          <t>8)</t>
        </is>
      </c>
      <c r="K1750" s="0">
        <f>IF(H1749="1)",1,IF(H1749="2)",2,IF(H1749="3)",3,IF(H1749="4)",4,IF(H1749="5)",5,IF(H1749="6)",6,IF(H1749="7)",7,IF(H1749="8)",8,0))))))))</f>
        <v/>
      </c>
      <c r="L1750" s="0">
        <f>IF(H1749="1)",J1749,IF(H1749="2)",J1749,IF(H1749="3)",J1749,IF(H1749="4)",J1749,IF(H1749="5)",J1749,IF(H1749="6)",J1749,IF(H1749="7)",J1749,IF(H1749="8)",J1749,0))))))))</f>
        <v/>
      </c>
    </row>
    <row r="1751">
      <c r="A1751" s="0" t="inlineStr">
        <is>
          <t>New</t>
        </is>
      </c>
      <c r="B1751" s="0" t="inlineStr">
        <is>
          <t>Item</t>
        </is>
      </c>
      <c r="C1751" s="0" t="inlineStr">
        <is>
          <t>Acquired</t>
        </is>
      </c>
      <c r="D1751" s="0" t="inlineStr">
        <is>
          <t>:</t>
        </is>
      </c>
      <c r="E1751" s="0" t="inlineStr">
        <is>
          <t>90.00K</t>
        </is>
      </c>
      <c r="F1751" s="0" t="inlineStr">
        <is>
          <t>(7,</t>
        </is>
      </c>
      <c r="G1751" s="0" t="inlineStr">
        <is>
          <t>11)</t>
        </is>
      </c>
      <c r="K1751" s="0">
        <f>IF(H1750="1)",1,IF(H1750="2)",2,IF(H1750="3)",3,IF(H1750="4)",4,IF(H1750="5)",5,IF(H1750="6)",6,IF(H1750="7)",7,IF(H1750="8)",8,0))))))))</f>
        <v/>
      </c>
      <c r="L1751" s="0">
        <f>IF(H1750="1)",J1750,IF(H1750="2)",J1750,IF(H1750="3)",J1750,IF(H1750="4)",J1750,IF(H1750="5)",J1750,IF(H1750="6)",J1750,IF(H1750="7)",J1750,IF(H1750="8)",J1750,0))))))))</f>
        <v/>
      </c>
    </row>
    <row r="1752">
      <c r="A1752" s="0" t="inlineStr">
        <is>
          <t>New</t>
        </is>
      </c>
      <c r="B1752" s="0" t="inlineStr">
        <is>
          <t>Item</t>
        </is>
      </c>
      <c r="C1752" s="0" t="inlineStr">
        <is>
          <t>Acquired</t>
        </is>
      </c>
      <c r="D1752" s="0" t="inlineStr">
        <is>
          <t>:</t>
        </is>
      </c>
      <c r="E1752" s="0" t="inlineStr">
        <is>
          <t>75.00K</t>
        </is>
      </c>
      <c r="F1752" s="0" t="inlineStr">
        <is>
          <t>(3,</t>
        </is>
      </c>
      <c r="G1752" s="0" t="inlineStr">
        <is>
          <t>5)</t>
        </is>
      </c>
      <c r="K1752" s="0">
        <f>IF(H1751="1)",1,IF(H1751="2)",2,IF(H1751="3)",3,IF(H1751="4)",4,IF(H1751="5)",5,IF(H1751="6)",6,IF(H1751="7)",7,IF(H1751="8)",8,0))))))))</f>
        <v/>
      </c>
      <c r="L1752" s="0">
        <f>IF(H1751="1)",J1751,IF(H1751="2)",J1751,IF(H1751="3)",J1751,IF(H1751="4)",J1751,IF(H1751="5)",J1751,IF(H1751="6)",J1751,IF(H1751="7)",J1751,IF(H1751="8)",J1751,0))))))))</f>
        <v/>
      </c>
    </row>
    <row r="1753">
      <c r="A1753" s="0" t="inlineStr">
        <is>
          <t>New</t>
        </is>
      </c>
      <c r="B1753" s="0" t="inlineStr">
        <is>
          <t>Item</t>
        </is>
      </c>
      <c r="C1753" s="0" t="inlineStr">
        <is>
          <t>Acquired</t>
        </is>
      </c>
      <c r="D1753" s="0" t="inlineStr">
        <is>
          <t>:</t>
        </is>
      </c>
      <c r="E1753" s="0" t="inlineStr">
        <is>
          <t>87.50K</t>
        </is>
      </c>
      <c r="F1753" s="0" t="inlineStr">
        <is>
          <t>(2,</t>
        </is>
      </c>
      <c r="G1753" s="0" t="inlineStr">
        <is>
          <t>7)</t>
        </is>
      </c>
      <c r="K1753" s="0">
        <f>IF(H1752="1)",1,IF(H1752="2)",2,IF(H1752="3)",3,IF(H1752="4)",4,IF(H1752="5)",5,IF(H1752="6)",6,IF(H1752="7)",7,IF(H1752="8)",8,0))))))))</f>
        <v/>
      </c>
      <c r="L1753" s="0">
        <f>IF(H1752="1)",J1752,IF(H1752="2)",J1752,IF(H1752="3)",J1752,IF(H1752="4)",J1752,IF(H1752="5)",J1752,IF(H1752="6)",J1752,IF(H1752="7)",J1752,IF(H1752="8)",J1752,0))))))))</f>
        <v/>
      </c>
    </row>
    <row r="1754">
      <c r="A1754" s="0" t="inlineStr">
        <is>
          <t>New</t>
        </is>
      </c>
      <c r="B1754" s="0" t="inlineStr">
        <is>
          <t>Item</t>
        </is>
      </c>
      <c r="C1754" s="0" t="inlineStr">
        <is>
          <t>Acquired</t>
        </is>
      </c>
      <c r="D1754" s="0" t="inlineStr">
        <is>
          <t>:</t>
        </is>
      </c>
      <c r="E1754" s="0" t="inlineStr">
        <is>
          <t>87.50K</t>
        </is>
      </c>
      <c r="F1754" s="0" t="inlineStr">
        <is>
          <t>(2,</t>
        </is>
      </c>
      <c r="G1754" s="0" t="inlineStr">
        <is>
          <t>23)</t>
        </is>
      </c>
      <c r="K1754" s="0">
        <f>IF(H1753="1)",1,IF(H1753="2)",2,IF(H1753="3)",3,IF(H1753="4)",4,IF(H1753="5)",5,IF(H1753="6)",6,IF(H1753="7)",7,IF(H1753="8)",8,0))))))))</f>
        <v/>
      </c>
      <c r="L1754" s="0">
        <f>IF(H1753="1)",J1753,IF(H1753="2)",J1753,IF(H1753="3)",J1753,IF(H1753="4)",J1753,IF(H1753="5)",J1753,IF(H1753="6)",J1753,IF(H1753="7)",J1753,IF(H1753="8)",J1753,0))))))))</f>
        <v/>
      </c>
    </row>
    <row r="1755">
      <c r="A1755" s="0" t="inlineStr">
        <is>
          <t>New</t>
        </is>
      </c>
      <c r="B1755" s="0" t="inlineStr">
        <is>
          <t>Item</t>
        </is>
      </c>
      <c r="C1755" s="0" t="inlineStr">
        <is>
          <t>Acquired</t>
        </is>
      </c>
      <c r="D1755" s="0" t="inlineStr">
        <is>
          <t>:</t>
        </is>
      </c>
      <c r="E1755" s="0" t="inlineStr">
        <is>
          <t>Major</t>
        </is>
      </c>
      <c r="F1755" s="0" t="inlineStr">
        <is>
          <t>(4,</t>
        </is>
      </c>
      <c r="G1755" s="0" t="inlineStr">
        <is>
          <t>23)</t>
        </is>
      </c>
      <c r="K1755" s="0">
        <f>IF(H1754="1)",1,IF(H1754="2)",2,IF(H1754="3)",3,IF(H1754="4)",4,IF(H1754="5)",5,IF(H1754="6)",6,IF(H1754="7)",7,IF(H1754="8)",8,0))))))))</f>
        <v/>
      </c>
      <c r="L1755" s="0">
        <f>IF(H1754="1)",J1754,IF(H1754="2)",J1754,IF(H1754="3)",J1754,IF(H1754="4)",J1754,IF(H1754="5)",J1754,IF(H1754="6)",J1754,IF(H1754="7)",J1754,IF(H1754="8)",J1754,0))))))))</f>
        <v/>
      </c>
    </row>
    <row r="1756">
      <c r="A1756" s="0" t="inlineStr">
        <is>
          <t>New</t>
        </is>
      </c>
      <c r="B1756" s="0" t="inlineStr">
        <is>
          <t>Item</t>
        </is>
      </c>
      <c r="C1756" s="0" t="inlineStr">
        <is>
          <t>Acquired</t>
        </is>
      </c>
      <c r="D1756" s="0" t="inlineStr">
        <is>
          <t>:</t>
        </is>
      </c>
      <c r="E1756" s="0" t="inlineStr">
        <is>
          <t>Mini</t>
        </is>
      </c>
      <c r="F1756" s="0" t="inlineStr">
        <is>
          <t>(1,</t>
        </is>
      </c>
      <c r="G1756" s="0" t="inlineStr">
        <is>
          <t>11)</t>
        </is>
      </c>
      <c r="K1756" s="0">
        <f>IF(H1755="1)",1,IF(H1755="2)",2,IF(H1755="3)",3,IF(H1755="4)",4,IF(H1755="5)",5,IF(H1755="6)",6,IF(H1755="7)",7,IF(H1755="8)",8,0))))))))</f>
        <v/>
      </c>
      <c r="L1756" s="0">
        <f>IF(H1755="1)",J1755,IF(H1755="2)",J1755,IF(H1755="3)",J1755,IF(H1755="4)",J1755,IF(H1755="5)",J1755,IF(H1755="6)",J1755,IF(H1755="7)",J1755,IF(H1755="8)",J1755,0))))))))</f>
        <v/>
      </c>
    </row>
    <row r="1757">
      <c r="A1757" s="0" t="inlineStr">
        <is>
          <t>New</t>
        </is>
      </c>
      <c r="B1757" s="0" t="inlineStr">
        <is>
          <t>Item</t>
        </is>
      </c>
      <c r="C1757" s="0" t="inlineStr">
        <is>
          <t>Acquired</t>
        </is>
      </c>
      <c r="D1757" s="0" t="inlineStr">
        <is>
          <t>:</t>
        </is>
      </c>
      <c r="E1757" s="0" t="inlineStr">
        <is>
          <t>87.50K</t>
        </is>
      </c>
      <c r="F1757" s="0" t="inlineStr">
        <is>
          <t>(2,</t>
        </is>
      </c>
      <c r="G1757" s="0" t="inlineStr">
        <is>
          <t>3)</t>
        </is>
      </c>
      <c r="K1757" s="0">
        <f>IF(H1756="1)",1,IF(H1756="2)",2,IF(H1756="3)",3,IF(H1756="4)",4,IF(H1756="5)",5,IF(H1756="6)",6,IF(H1756="7)",7,IF(H1756="8)",8,0))))))))</f>
        <v/>
      </c>
      <c r="L1757" s="0">
        <f>IF(H1756="1)",J1756,IF(H1756="2)",J1756,IF(H1756="3)",J1756,IF(H1756="4)",J1756,IF(H1756="5)",J1756,IF(H1756="6)",J1756,IF(H1756="7)",J1756,IF(H1756="8)",J1756,0))))))))</f>
        <v/>
      </c>
    </row>
    <row r="1758">
      <c r="A1758" s="0" t="inlineStr">
        <is>
          <t>New</t>
        </is>
      </c>
      <c r="B1758" s="0" t="inlineStr">
        <is>
          <t>Item</t>
        </is>
      </c>
      <c r="C1758" s="0" t="inlineStr">
        <is>
          <t>Acquired</t>
        </is>
      </c>
      <c r="D1758" s="0" t="inlineStr">
        <is>
          <t>:</t>
        </is>
      </c>
      <c r="E1758" s="0" t="inlineStr">
        <is>
          <t>157.50K</t>
        </is>
      </c>
      <c r="F1758" s="0" t="inlineStr">
        <is>
          <t>(5,</t>
        </is>
      </c>
      <c r="G1758" s="0" t="inlineStr">
        <is>
          <t>10)</t>
        </is>
      </c>
      <c r="K1758" s="0">
        <f>IF(H1757="1)",1,IF(H1757="2)",2,IF(H1757="3)",3,IF(H1757="4)",4,IF(H1757="5)",5,IF(H1757="6)",6,IF(H1757="7)",7,IF(H1757="8)",8,0))))))))</f>
        <v/>
      </c>
      <c r="L1758" s="0">
        <f>IF(H1757="1)",J1757,IF(H1757="2)",J1757,IF(H1757="3)",J1757,IF(H1757="4)",J1757,IF(H1757="5)",J1757,IF(H1757="6)",J1757,IF(H1757="7)",J1757,IF(H1757="8)",J1757,0))))))))</f>
        <v/>
      </c>
    </row>
    <row r="1759">
      <c r="A1759" s="0" t="inlineStr">
        <is>
          <t>New</t>
        </is>
      </c>
      <c r="B1759" s="0" t="inlineStr">
        <is>
          <t>Item</t>
        </is>
      </c>
      <c r="C1759" s="0" t="inlineStr">
        <is>
          <t>Acquired</t>
        </is>
      </c>
      <c r="D1759" s="0" t="inlineStr">
        <is>
          <t>:</t>
        </is>
      </c>
      <c r="E1759" s="0" t="inlineStr">
        <is>
          <t>Mini</t>
        </is>
      </c>
      <c r="F1759" s="0" t="inlineStr">
        <is>
          <t>(7,</t>
        </is>
      </c>
      <c r="G1759" s="0" t="inlineStr">
        <is>
          <t>23)</t>
        </is>
      </c>
      <c r="K1759" s="0">
        <f>IF(H1758="1)",1,IF(H1758="2)",2,IF(H1758="3)",3,IF(H1758="4)",4,IF(H1758="5)",5,IF(H1758="6)",6,IF(H1758="7)",7,IF(H1758="8)",8,0))))))))</f>
        <v/>
      </c>
      <c r="L1759" s="0">
        <f>IF(H1758="1)",J1758,IF(H1758="2)",J1758,IF(H1758="3)",J1758,IF(H1758="4)",J1758,IF(H1758="5)",J1758,IF(H1758="6)",J1758,IF(H1758="7)",J1758,IF(H1758="8)",J1758,0))))))))</f>
        <v/>
      </c>
    </row>
    <row r="1760">
      <c r="A1760" s="0" t="inlineStr">
        <is>
          <t>New</t>
        </is>
      </c>
      <c r="B1760" s="0" t="inlineStr">
        <is>
          <t>Item</t>
        </is>
      </c>
      <c r="C1760" s="0" t="inlineStr">
        <is>
          <t>Acquired</t>
        </is>
      </c>
      <c r="D1760" s="0" t="inlineStr">
        <is>
          <t>:</t>
        </is>
      </c>
      <c r="E1760" s="0" t="inlineStr">
        <is>
          <t>45.00K</t>
        </is>
      </c>
      <c r="F1760" s="0" t="inlineStr">
        <is>
          <t>(3,</t>
        </is>
      </c>
      <c r="G1760" s="0" t="inlineStr">
        <is>
          <t>25)</t>
        </is>
      </c>
      <c r="K1760" s="0">
        <f>IF(H1759="1)",1,IF(H1759="2)",2,IF(H1759="3)",3,IF(H1759="4)",4,IF(H1759="5)",5,IF(H1759="6)",6,IF(H1759="7)",7,IF(H1759="8)",8,0))))))))</f>
        <v/>
      </c>
      <c r="L1760" s="0">
        <f>IF(H1759="1)",J1759,IF(H1759="2)",J1759,IF(H1759="3)",J1759,IF(H1759="4)",J1759,IF(H1759="5)",J1759,IF(H1759="6)",J1759,IF(H1759="7)",J1759,IF(H1759="8)",J1759,0))))))))</f>
        <v/>
      </c>
    </row>
    <row r="1761">
      <c r="A1761" s="0" t="inlineStr">
        <is>
          <t>New</t>
        </is>
      </c>
      <c r="B1761" s="0" t="inlineStr">
        <is>
          <t>Item</t>
        </is>
      </c>
      <c r="C1761" s="0" t="inlineStr">
        <is>
          <t>Acquired</t>
        </is>
      </c>
      <c r="D1761" s="0" t="inlineStr">
        <is>
          <t>:</t>
        </is>
      </c>
      <c r="E1761" s="0" t="inlineStr">
        <is>
          <t>210.00K</t>
        </is>
      </c>
      <c r="F1761" s="0" t="inlineStr">
        <is>
          <t>(7,</t>
        </is>
      </c>
      <c r="G1761" s="0" t="inlineStr">
        <is>
          <t>12)</t>
        </is>
      </c>
      <c r="K1761" s="0">
        <f>IF(H1760="1)",1,IF(H1760="2)",2,IF(H1760="3)",3,IF(H1760="4)",4,IF(H1760="5)",5,IF(H1760="6)",6,IF(H1760="7)",7,IF(H1760="8)",8,0))))))))</f>
        <v/>
      </c>
      <c r="L1761" s="0">
        <f>IF(H1760="1)",J1760,IF(H1760="2)",J1760,IF(H1760="3)",J1760,IF(H1760="4)",J1760,IF(H1760="5)",J1760,IF(H1760="6)",J1760,IF(H1760="7)",J1760,IF(H1760="8)",J1760,0))))))))</f>
        <v/>
      </c>
    </row>
    <row r="1762">
      <c r="A1762" s="0" t="inlineStr">
        <is>
          <t>New</t>
        </is>
      </c>
      <c r="B1762" s="0" t="inlineStr">
        <is>
          <t>Item</t>
        </is>
      </c>
      <c r="C1762" s="0" t="inlineStr">
        <is>
          <t>Acquired</t>
        </is>
      </c>
      <c r="D1762" s="0" t="inlineStr">
        <is>
          <t>:</t>
        </is>
      </c>
      <c r="E1762" s="0" t="inlineStr">
        <is>
          <t>112.50K</t>
        </is>
      </c>
      <c r="F1762" s="0" t="inlineStr">
        <is>
          <t>(5,</t>
        </is>
      </c>
      <c r="G1762" s="0" t="inlineStr">
        <is>
          <t>19)</t>
        </is>
      </c>
      <c r="K1762" s="0">
        <f>IF(H1761="1)",1,IF(H1761="2)",2,IF(H1761="3)",3,IF(H1761="4)",4,IF(H1761="5)",5,IF(H1761="6)",6,IF(H1761="7)",7,IF(H1761="8)",8,0))))))))</f>
        <v/>
      </c>
      <c r="L1762" s="0">
        <f>IF(H1761="1)",J1761,IF(H1761="2)",J1761,IF(H1761="3)",J1761,IF(H1761="4)",J1761,IF(H1761="5)",J1761,IF(H1761="6)",J1761,IF(H1761="7)",J1761,IF(H1761="8)",J1761,0))))))))</f>
        <v/>
      </c>
    </row>
    <row r="1763">
      <c r="A1763" s="0" t="inlineStr">
        <is>
          <t>New</t>
        </is>
      </c>
      <c r="B1763" s="0" t="inlineStr">
        <is>
          <t>Item</t>
        </is>
      </c>
      <c r="C1763" s="0" t="inlineStr">
        <is>
          <t>Acquired</t>
        </is>
      </c>
      <c r="D1763" s="0" t="inlineStr">
        <is>
          <t>:</t>
        </is>
      </c>
      <c r="E1763" s="0" t="inlineStr">
        <is>
          <t>112.50K</t>
        </is>
      </c>
      <c r="F1763" s="0" t="inlineStr">
        <is>
          <t>(5,</t>
        </is>
      </c>
      <c r="G1763" s="0" t="inlineStr">
        <is>
          <t>12)</t>
        </is>
      </c>
      <c r="K1763" s="0">
        <f>IF(H1762="1)",1,IF(H1762="2)",2,IF(H1762="3)",3,IF(H1762="4)",4,IF(H1762="5)",5,IF(H1762="6)",6,IF(H1762="7)",7,IF(H1762="8)",8,0))))))))</f>
        <v/>
      </c>
      <c r="L1763" s="0">
        <f>IF(H1762="1)",J1762,IF(H1762="2)",J1762,IF(H1762="3)",J1762,IF(H1762="4)",J1762,IF(H1762="5)",J1762,IF(H1762="6)",J1762,IF(H1762="7)",J1762,IF(H1762="8)",J1762,0))))))))</f>
        <v/>
      </c>
    </row>
    <row r="1764">
      <c r="A1764" s="0" t="inlineStr">
        <is>
          <t>New</t>
        </is>
      </c>
      <c r="B1764" s="0" t="inlineStr">
        <is>
          <t>Item</t>
        </is>
      </c>
      <c r="C1764" s="0" t="inlineStr">
        <is>
          <t>Acquired</t>
        </is>
      </c>
      <c r="D1764" s="0" t="inlineStr">
        <is>
          <t>:</t>
        </is>
      </c>
      <c r="E1764" s="0" t="inlineStr">
        <is>
          <t>37.50K</t>
        </is>
      </c>
      <c r="F1764" s="0" t="inlineStr">
        <is>
          <t>(2,</t>
        </is>
      </c>
      <c r="G1764" s="0" t="inlineStr">
        <is>
          <t>6)</t>
        </is>
      </c>
      <c r="K1764" s="0">
        <f>IF(H1763="1)",1,IF(H1763="2)",2,IF(H1763="3)",3,IF(H1763="4)",4,IF(H1763="5)",5,IF(H1763="6)",6,IF(H1763="7)",7,IF(H1763="8)",8,0))))))))</f>
        <v/>
      </c>
      <c r="L1764" s="0">
        <f>IF(H1763="1)",J1763,IF(H1763="2)",J1763,IF(H1763="3)",J1763,IF(H1763="4)",J1763,IF(H1763="5)",J1763,IF(H1763="6)",J1763,IF(H1763="7)",J1763,IF(H1763="8)",J1763,0))))))))</f>
        <v/>
      </c>
    </row>
    <row r="1765">
      <c r="A1765" s="0" t="inlineStr">
        <is>
          <t>New</t>
        </is>
      </c>
      <c r="B1765" s="0" t="inlineStr">
        <is>
          <t>Item</t>
        </is>
      </c>
      <c r="C1765" s="0" t="inlineStr">
        <is>
          <t>Acquired</t>
        </is>
      </c>
      <c r="D1765" s="0" t="inlineStr">
        <is>
          <t>:</t>
        </is>
      </c>
      <c r="E1765" s="0" t="inlineStr">
        <is>
          <t>30.00K</t>
        </is>
      </c>
      <c r="F1765" s="0" t="inlineStr">
        <is>
          <t>(1,</t>
        </is>
      </c>
      <c r="G1765" s="0" t="inlineStr">
        <is>
          <t>4)</t>
        </is>
      </c>
      <c r="K1765" s="0">
        <f>IF(H1764="1)",1,IF(H1764="2)",2,IF(H1764="3)",3,IF(H1764="4)",4,IF(H1764="5)",5,IF(H1764="6)",6,IF(H1764="7)",7,IF(H1764="8)",8,0))))))))</f>
        <v/>
      </c>
      <c r="L1765" s="0">
        <f>IF(H1764="1)",J1764,IF(H1764="2)",J1764,IF(H1764="3)",J1764,IF(H1764="4)",J1764,IF(H1764="5)",J1764,IF(H1764="6)",J1764,IF(H1764="7)",J1764,IF(H1764="8)",J1764,0))))))))</f>
        <v/>
      </c>
    </row>
    <row r="1766">
      <c r="A1766" s="0" t="inlineStr">
        <is>
          <t>New</t>
        </is>
      </c>
      <c r="B1766" s="0" t="inlineStr">
        <is>
          <t>Item</t>
        </is>
      </c>
      <c r="C1766" s="0" t="inlineStr">
        <is>
          <t>Acquired</t>
        </is>
      </c>
      <c r="D1766" s="0" t="inlineStr">
        <is>
          <t>:</t>
        </is>
      </c>
      <c r="E1766" s="0" t="inlineStr">
        <is>
          <t>Mini</t>
        </is>
      </c>
      <c r="F1766" s="0" t="inlineStr">
        <is>
          <t>(2,</t>
        </is>
      </c>
      <c r="G1766" s="0" t="inlineStr">
        <is>
          <t>11)</t>
        </is>
      </c>
      <c r="K1766" s="0">
        <f>IF(H1765="1)",1,IF(H1765="2)",2,IF(H1765="3)",3,IF(H1765="4)",4,IF(H1765="5)",5,IF(H1765="6)",6,IF(H1765="7)",7,IF(H1765="8)",8,0))))))))</f>
        <v/>
      </c>
      <c r="L1766" s="0">
        <f>IF(H1765="1)",J1765,IF(H1765="2)",J1765,IF(H1765="3)",J1765,IF(H1765="4)",J1765,IF(H1765="5)",J1765,IF(H1765="6)",J1765,IF(H1765="7)",J1765,IF(H1765="8)",J1765,0))))))))</f>
        <v/>
      </c>
    </row>
    <row r="1767">
      <c r="A1767" s="0" t="inlineStr">
        <is>
          <t>New</t>
        </is>
      </c>
      <c r="B1767" s="0" t="inlineStr">
        <is>
          <t>Item</t>
        </is>
      </c>
      <c r="C1767" s="0" t="inlineStr">
        <is>
          <t>Acquired</t>
        </is>
      </c>
      <c r="D1767" s="0" t="inlineStr">
        <is>
          <t>:</t>
        </is>
      </c>
      <c r="E1767" s="0" t="inlineStr">
        <is>
          <t>210.00K</t>
        </is>
      </c>
      <c r="F1767" s="0" t="inlineStr">
        <is>
          <t>(7,</t>
        </is>
      </c>
      <c r="G1767" s="0" t="inlineStr">
        <is>
          <t>9)</t>
        </is>
      </c>
      <c r="K1767" s="0">
        <f>IF(H1766="1)",1,IF(H1766="2)",2,IF(H1766="3)",3,IF(H1766="4)",4,IF(H1766="5)",5,IF(H1766="6)",6,IF(H1766="7)",7,IF(H1766="8)",8,0))))))))</f>
        <v/>
      </c>
      <c r="L1767" s="0">
        <f>IF(H1766="1)",J1766,IF(H1766="2)",J1766,IF(H1766="3)",J1766,IF(H1766="4)",J1766,IF(H1766="5)",J1766,IF(H1766="6)",J1766,IF(H1766="7)",J1766,IF(H1766="8)",J1766,0))))))))</f>
        <v/>
      </c>
    </row>
    <row r="1768">
      <c r="A1768" s="0" t="inlineStr">
        <is>
          <t>New</t>
        </is>
      </c>
      <c r="B1768" s="0" t="inlineStr">
        <is>
          <t>Item</t>
        </is>
      </c>
      <c r="C1768" s="0" t="inlineStr">
        <is>
          <t>Acquired</t>
        </is>
      </c>
      <c r="D1768" s="0" t="inlineStr">
        <is>
          <t>:</t>
        </is>
      </c>
      <c r="E1768" s="0" t="inlineStr">
        <is>
          <t>87.50K</t>
        </is>
      </c>
      <c r="F1768" s="0" t="inlineStr">
        <is>
          <t>(2,</t>
        </is>
      </c>
      <c r="G1768" s="0" t="inlineStr">
        <is>
          <t>24)</t>
        </is>
      </c>
      <c r="K1768" s="0">
        <f>IF(H1767="1)",1,IF(H1767="2)",2,IF(H1767="3)",3,IF(H1767="4)",4,IF(H1767="5)",5,IF(H1767="6)",6,IF(H1767="7)",7,IF(H1767="8)",8,0))))))))</f>
        <v/>
      </c>
      <c r="L1768" s="0">
        <f>IF(H1767="1)",J1767,IF(H1767="2)",J1767,IF(H1767="3)",J1767,IF(H1767="4)",J1767,IF(H1767="5)",J1767,IF(H1767="6)",J1767,IF(H1767="7)",J1767,IF(H1767="8)",J1767,0))))))))</f>
        <v/>
      </c>
    </row>
    <row r="1769">
      <c r="A1769" s="0" t="inlineStr">
        <is>
          <t>New</t>
        </is>
      </c>
      <c r="B1769" s="0" t="inlineStr">
        <is>
          <t>Item</t>
        </is>
      </c>
      <c r="C1769" s="0" t="inlineStr">
        <is>
          <t>Acquired</t>
        </is>
      </c>
      <c r="D1769" s="0" t="inlineStr">
        <is>
          <t>:</t>
        </is>
      </c>
      <c r="E1769" s="0" t="inlineStr">
        <is>
          <t>200.00K</t>
        </is>
      </c>
      <c r="F1769" s="0" t="inlineStr">
        <is>
          <t>(8,</t>
        </is>
      </c>
      <c r="G1769" s="0" t="inlineStr">
        <is>
          <t>3)</t>
        </is>
      </c>
      <c r="K1769" s="0">
        <f>IF(H1768="1)",1,IF(H1768="2)",2,IF(H1768="3)",3,IF(H1768="4)",4,IF(H1768="5)",5,IF(H1768="6)",6,IF(H1768="7)",7,IF(H1768="8)",8,0))))))))</f>
        <v/>
      </c>
      <c r="L1769" s="0">
        <f>IF(H1768="1)",J1768,IF(H1768="2)",J1768,IF(H1768="3)",J1768,IF(H1768="4)",J1768,IF(H1768="5)",J1768,IF(H1768="6)",J1768,IF(H1768="7)",J1768,IF(H1768="8)",J1768,0))))))))</f>
        <v/>
      </c>
    </row>
    <row r="1770">
      <c r="A1770" s="0" t="inlineStr">
        <is>
          <t>New</t>
        </is>
      </c>
      <c r="B1770" s="0" t="inlineStr">
        <is>
          <t>Item</t>
        </is>
      </c>
      <c r="C1770" s="0" t="inlineStr">
        <is>
          <t>Acquired</t>
        </is>
      </c>
      <c r="D1770" s="0" t="inlineStr">
        <is>
          <t>:</t>
        </is>
      </c>
      <c r="E1770" s="0" t="inlineStr">
        <is>
          <t>60.00K</t>
        </is>
      </c>
      <c r="F1770" s="0" t="inlineStr">
        <is>
          <t>(4,</t>
        </is>
      </c>
      <c r="G1770" s="0" t="inlineStr">
        <is>
          <t>9)</t>
        </is>
      </c>
      <c r="K1770" s="0">
        <f>IF(H1769="1)",1,IF(H1769="2)",2,IF(H1769="3)",3,IF(H1769="4)",4,IF(H1769="5)",5,IF(H1769="6)",6,IF(H1769="7)",7,IF(H1769="8)",8,0))))))))</f>
        <v/>
      </c>
      <c r="L1770" s="0">
        <f>IF(H1769="1)",J1769,IF(H1769="2)",J1769,IF(H1769="3)",J1769,IF(H1769="4)",J1769,IF(H1769="5)",J1769,IF(H1769="6)",J1769,IF(H1769="7)",J1769,IF(H1769="8)",J1769,0))))))))</f>
        <v/>
      </c>
    </row>
    <row r="1771">
      <c r="A1771" s="0" t="inlineStr">
        <is>
          <t>Line</t>
        </is>
      </c>
      <c r="B1771" s="0" t="inlineStr">
        <is>
          <t>Prize</t>
        </is>
      </c>
      <c r="C1771" s="0" t="inlineStr">
        <is>
          <t>Acquired</t>
        </is>
      </c>
      <c r="D1771" s="0" t="inlineStr">
        <is>
          <t>:</t>
        </is>
      </c>
      <c r="E1771" s="0" t="inlineStr">
        <is>
          <t>315.00K</t>
        </is>
      </c>
      <c r="F1771" s="0" t="inlineStr">
        <is>
          <t>(Stage</t>
        </is>
      </c>
      <c r="G1771" s="0" t="inlineStr">
        <is>
          <t>:</t>
        </is>
      </c>
      <c r="H1771" s="0" t="inlineStr">
        <is>
          <t>4)</t>
        </is>
      </c>
      <c r="I1771" s="0" t="inlineStr">
        <is>
          <t>-</t>
        </is>
      </c>
      <c r="J1771" s="0" t="n">
        <v>315000</v>
      </c>
      <c r="K1771" s="0">
        <f>IF(H1770="1)",1,IF(H1770="2)",2,IF(H1770="3)",3,IF(H1770="4)",4,IF(H1770="5)",5,IF(H1770="6)",6,IF(H1770="7)",7,IF(H1770="8)",8,0))))))))</f>
        <v/>
      </c>
      <c r="L1771" s="0">
        <f>IF(H1770="1)",J1770,IF(H1770="2)",J1770,IF(H1770="3)",J1770,IF(H1770="4)",J1770,IF(H1770="5)",J1770,IF(H1770="6)",J1770,IF(H1770="7)",J1770,IF(H1770="8)",J1770,0))))))))</f>
        <v/>
      </c>
    </row>
    <row r="1772">
      <c r="A1772" s="0" t="inlineStr">
        <is>
          <t>Clear</t>
        </is>
      </c>
      <c r="B1772" s="0" t="inlineStr">
        <is>
          <t>Gem</t>
        </is>
      </c>
      <c r="C1772" s="0" t="inlineStr">
        <is>
          <t>Acquired</t>
        </is>
      </c>
      <c r="D1772" s="0" t="inlineStr">
        <is>
          <t>:</t>
        </is>
      </c>
      <c r="E1772" s="0" t="n">
        <v>10700</v>
      </c>
      <c r="F1772" s="0" t="inlineStr">
        <is>
          <t>-&gt;</t>
        </is>
      </c>
      <c r="G1772" s="0" t="n">
        <v>10800</v>
      </c>
      <c r="H1772" s="0" t="inlineStr">
        <is>
          <t>(Stage</t>
        </is>
      </c>
      <c r="I1772" s="0" t="inlineStr">
        <is>
          <t>:</t>
        </is>
      </c>
      <c r="J1772" s="0" t="inlineStr">
        <is>
          <t>4)</t>
        </is>
      </c>
      <c r="K1772" s="0">
        <f>IF(H1771="1)",1,IF(H1771="2)",2,IF(H1771="3)",3,IF(H1771="4)",4,IF(H1771="5)",5,IF(H1771="6)",6,IF(H1771="7)",7,IF(H1771="8)",8,0))))))))</f>
        <v/>
      </c>
      <c r="L1772" s="0">
        <f>IF(H1771="1)",J1771,IF(H1771="2)",J1771,IF(H1771="3)",J1771,IF(H1771="4)",J1771,IF(H1771="5)",J1771,IF(H1771="6)",J1771,IF(H1771="7)",J1771,IF(H1771="8)",J1771,0))))))))</f>
        <v/>
      </c>
    </row>
    <row r="1773">
      <c r="A1773" s="0" t="inlineStr">
        <is>
          <t>New</t>
        </is>
      </c>
      <c r="B1773" s="0" t="inlineStr">
        <is>
          <t>Item</t>
        </is>
      </c>
      <c r="C1773" s="0" t="inlineStr">
        <is>
          <t>Acquired</t>
        </is>
      </c>
      <c r="D1773" s="0" t="inlineStr">
        <is>
          <t>:</t>
        </is>
      </c>
      <c r="E1773" s="0" t="inlineStr">
        <is>
          <t>67.50K</t>
        </is>
      </c>
      <c r="F1773" s="0" t="inlineStr">
        <is>
          <t>(5,</t>
        </is>
      </c>
      <c r="G1773" s="0" t="inlineStr">
        <is>
          <t>18)</t>
        </is>
      </c>
      <c r="K1773" s="0">
        <f>IF(H1772="1)",1,IF(H1772="2)",2,IF(H1772="3)",3,IF(H1772="4)",4,IF(H1772="5)",5,IF(H1772="6)",6,IF(H1772="7)",7,IF(H1772="8)",8,0))))))))</f>
        <v/>
      </c>
      <c r="L1773" s="0">
        <f>IF(H1772="1)",J1772,IF(H1772="2)",J1772,IF(H1772="3)",J1772,IF(H1772="4)",J1772,IF(H1772="5)",J1772,IF(H1772="6)",J1772,IF(H1772="7)",J1772,IF(H1772="8)",J1772,0))))))))</f>
        <v/>
      </c>
    </row>
    <row r="1774">
      <c r="A1774" s="0" t="inlineStr">
        <is>
          <t>New</t>
        </is>
      </c>
      <c r="B1774" s="0" t="inlineStr">
        <is>
          <t>Item</t>
        </is>
      </c>
      <c r="C1774" s="0" t="inlineStr">
        <is>
          <t>Acquired</t>
        </is>
      </c>
      <c r="D1774" s="0" t="inlineStr">
        <is>
          <t>:</t>
        </is>
      </c>
      <c r="E1774" s="0" t="inlineStr">
        <is>
          <t>62.50K</t>
        </is>
      </c>
      <c r="F1774" s="0" t="inlineStr">
        <is>
          <t>(2,</t>
        </is>
      </c>
      <c r="G1774" s="0" t="inlineStr">
        <is>
          <t>14)</t>
        </is>
      </c>
      <c r="K1774" s="0">
        <f>IF(H1773="1)",1,IF(H1773="2)",2,IF(H1773="3)",3,IF(H1773="4)",4,IF(H1773="5)",5,IF(H1773="6)",6,IF(H1773="7)",7,IF(H1773="8)",8,0))))))))</f>
        <v/>
      </c>
      <c r="L1774" s="0">
        <f>IF(H1773="1)",J1773,IF(H1773="2)",J1773,IF(H1773="3)",J1773,IF(H1773="4)",J1773,IF(H1773="5)",J1773,IF(H1773="6)",J1773,IF(H1773="7)",J1773,IF(H1773="8)",J1773,0))))))))</f>
        <v/>
      </c>
    </row>
    <row r="1775">
      <c r="A1775" s="0" t="inlineStr">
        <is>
          <t>New</t>
        </is>
      </c>
      <c r="B1775" s="0" t="inlineStr">
        <is>
          <t>Item</t>
        </is>
      </c>
      <c r="C1775" s="0" t="inlineStr">
        <is>
          <t>Acquired</t>
        </is>
      </c>
      <c r="D1775" s="0" t="inlineStr">
        <is>
          <t>:</t>
        </is>
      </c>
      <c r="E1775" s="0" t="inlineStr">
        <is>
          <t>67.50K</t>
        </is>
      </c>
      <c r="F1775" s="0" t="inlineStr">
        <is>
          <t>(5,</t>
        </is>
      </c>
      <c r="G1775" s="0" t="inlineStr">
        <is>
          <t>8)</t>
        </is>
      </c>
      <c r="K1775" s="0">
        <f>IF(H1774="1)",1,IF(H1774="2)",2,IF(H1774="3)",3,IF(H1774="4)",4,IF(H1774="5)",5,IF(H1774="6)",6,IF(H1774="7)",7,IF(H1774="8)",8,0))))))))</f>
        <v/>
      </c>
      <c r="L1775" s="0">
        <f>IF(H1774="1)",J1774,IF(H1774="2)",J1774,IF(H1774="3)",J1774,IF(H1774="4)",J1774,IF(H1774="5)",J1774,IF(H1774="6)",J1774,IF(H1774="7)",J1774,IF(H1774="8)",J1774,0))))))))</f>
        <v/>
      </c>
    </row>
    <row r="1776">
      <c r="A1776" s="0" t="inlineStr">
        <is>
          <t>New</t>
        </is>
      </c>
      <c r="B1776" s="0" t="inlineStr">
        <is>
          <t>Item</t>
        </is>
      </c>
      <c r="C1776" s="0" t="inlineStr">
        <is>
          <t>Acquired</t>
        </is>
      </c>
      <c r="D1776" s="0" t="inlineStr">
        <is>
          <t>:</t>
        </is>
      </c>
      <c r="E1776" s="0" t="inlineStr">
        <is>
          <t>105.00K</t>
        </is>
      </c>
      <c r="F1776" s="0" t="inlineStr">
        <is>
          <t>(3,</t>
        </is>
      </c>
      <c r="G1776" s="0" t="inlineStr">
        <is>
          <t>1)</t>
        </is>
      </c>
      <c r="K1776" s="0">
        <f>IF(H1775="1)",1,IF(H1775="2)",2,IF(H1775="3)",3,IF(H1775="4)",4,IF(H1775="5)",5,IF(H1775="6)",6,IF(H1775="7)",7,IF(H1775="8)",8,0))))))))</f>
        <v/>
      </c>
      <c r="L1776" s="0">
        <f>IF(H1775="1)",J1775,IF(H1775="2)",J1775,IF(H1775="3)",J1775,IF(H1775="4)",J1775,IF(H1775="5)",J1775,IF(H1775="6)",J1775,IF(H1775="7)",J1775,IF(H1775="8)",J1775,0))))))))</f>
        <v/>
      </c>
    </row>
    <row r="1777">
      <c r="A1777" s="0" t="inlineStr">
        <is>
          <t>New</t>
        </is>
      </c>
      <c r="B1777" s="0" t="inlineStr">
        <is>
          <t>Item</t>
        </is>
      </c>
      <c r="C1777" s="0" t="inlineStr">
        <is>
          <t>Acquired</t>
        </is>
      </c>
      <c r="D1777" s="0" t="inlineStr">
        <is>
          <t>:</t>
        </is>
      </c>
      <c r="E1777" s="0" t="inlineStr">
        <is>
          <t>200.00K</t>
        </is>
      </c>
      <c r="F1777" s="0" t="inlineStr">
        <is>
          <t>(8,</t>
        </is>
      </c>
      <c r="G1777" s="0" t="inlineStr">
        <is>
          <t>20)</t>
        </is>
      </c>
      <c r="K1777" s="0">
        <f>IF(H1776="1)",1,IF(H1776="2)",2,IF(H1776="3)",3,IF(H1776="4)",4,IF(H1776="5)",5,IF(H1776="6)",6,IF(H1776="7)",7,IF(H1776="8)",8,0))))))))</f>
        <v/>
      </c>
      <c r="L1777" s="0">
        <f>IF(H1776="1)",J1776,IF(H1776="2)",J1776,IF(H1776="3)",J1776,IF(H1776="4)",J1776,IF(H1776="5)",J1776,IF(H1776="6)",J1776,IF(H1776="7)",J1776,IF(H1776="8)",J1776,0))))))))</f>
        <v/>
      </c>
    </row>
    <row r="1778">
      <c r="A1778" s="0" t="inlineStr">
        <is>
          <t>New</t>
        </is>
      </c>
      <c r="B1778" s="0" t="inlineStr">
        <is>
          <t>Item</t>
        </is>
      </c>
      <c r="C1778" s="0" t="inlineStr">
        <is>
          <t>Acquired</t>
        </is>
      </c>
      <c r="D1778" s="0" t="inlineStr">
        <is>
          <t>:</t>
        </is>
      </c>
      <c r="E1778" s="0" t="inlineStr">
        <is>
          <t>60.00K</t>
        </is>
      </c>
      <c r="F1778" s="0" t="inlineStr">
        <is>
          <t>(4,</t>
        </is>
      </c>
      <c r="G1778" s="0" t="inlineStr">
        <is>
          <t>15)</t>
        </is>
      </c>
      <c r="K1778" s="0">
        <f>IF(H1777="1)",1,IF(H1777="2)",2,IF(H1777="3)",3,IF(H1777="4)",4,IF(H1777="5)",5,IF(H1777="6)",6,IF(H1777="7)",7,IF(H1777="8)",8,0))))))))</f>
        <v/>
      </c>
      <c r="L1778" s="0">
        <f>IF(H1777="1)",J1777,IF(H1777="2)",J1777,IF(H1777="3)",J1777,IF(H1777="4)",J1777,IF(H1777="5)",J1777,IF(H1777="6)",J1777,IF(H1777="7)",J1777,IF(H1777="8)",J1777,0))))))))</f>
        <v/>
      </c>
    </row>
    <row r="1779">
      <c r="A1779" s="0" t="inlineStr">
        <is>
          <t>New</t>
        </is>
      </c>
      <c r="B1779" s="0" t="inlineStr">
        <is>
          <t>Item</t>
        </is>
      </c>
      <c r="C1779" s="0" t="inlineStr">
        <is>
          <t>Acquired</t>
        </is>
      </c>
      <c r="D1779" s="0" t="inlineStr">
        <is>
          <t>:</t>
        </is>
      </c>
      <c r="E1779" s="0" t="inlineStr">
        <is>
          <t>210.00K</t>
        </is>
      </c>
      <c r="F1779" s="0" t="inlineStr">
        <is>
          <t>(7,</t>
        </is>
      </c>
      <c r="G1779" s="0" t="inlineStr">
        <is>
          <t>3)</t>
        </is>
      </c>
      <c r="K1779" s="0">
        <f>IF(H1778="1)",1,IF(H1778="2)",2,IF(H1778="3)",3,IF(H1778="4)",4,IF(H1778="5)",5,IF(H1778="6)",6,IF(H1778="7)",7,IF(H1778="8)",8,0))))))))</f>
        <v/>
      </c>
      <c r="L1779" s="0">
        <f>IF(H1778="1)",J1778,IF(H1778="2)",J1778,IF(H1778="3)",J1778,IF(H1778="4)",J1778,IF(H1778="5)",J1778,IF(H1778="6)",J1778,IF(H1778="7)",J1778,IF(H1778="8)",J1778,0))))))))</f>
        <v/>
      </c>
    </row>
    <row r="1780">
      <c r="A1780" s="0" t="inlineStr">
        <is>
          <t>New</t>
        </is>
      </c>
      <c r="B1780" s="0" t="inlineStr">
        <is>
          <t>Item</t>
        </is>
      </c>
      <c r="C1780" s="0" t="inlineStr">
        <is>
          <t>Acquired</t>
        </is>
      </c>
      <c r="D1780" s="0" t="inlineStr">
        <is>
          <t>:</t>
        </is>
      </c>
      <c r="E1780" s="0" t="inlineStr">
        <is>
          <t>45.00K</t>
        </is>
      </c>
      <c r="F1780" s="0" t="inlineStr">
        <is>
          <t>(3,</t>
        </is>
      </c>
      <c r="G1780" s="0" t="inlineStr">
        <is>
          <t>23)</t>
        </is>
      </c>
      <c r="K1780" s="0">
        <f>IF(H1779="1)",1,IF(H1779="2)",2,IF(H1779="3)",3,IF(H1779="4)",4,IF(H1779="5)",5,IF(H1779="6)",6,IF(H1779="7)",7,IF(H1779="8)",8,0))))))))</f>
        <v/>
      </c>
      <c r="L1780" s="0">
        <f>IF(H1779="1)",J1779,IF(H1779="2)",J1779,IF(H1779="3)",J1779,IF(H1779="4)",J1779,IF(H1779="5)",J1779,IF(H1779="6)",J1779,IF(H1779="7)",J1779,IF(H1779="8)",J1779,0))))))))</f>
        <v/>
      </c>
    </row>
    <row r="1781">
      <c r="A1781" s="0" t="inlineStr">
        <is>
          <t>New</t>
        </is>
      </c>
      <c r="B1781" s="0" t="inlineStr">
        <is>
          <t>Item</t>
        </is>
      </c>
      <c r="C1781" s="0" t="inlineStr">
        <is>
          <t>Acquired</t>
        </is>
      </c>
      <c r="D1781" s="0" t="inlineStr">
        <is>
          <t>:</t>
        </is>
      </c>
      <c r="E1781" s="0" t="inlineStr">
        <is>
          <t>90.00K</t>
        </is>
      </c>
      <c r="F1781" s="0" t="inlineStr">
        <is>
          <t>(7,</t>
        </is>
      </c>
      <c r="G1781" s="0" t="inlineStr">
        <is>
          <t>7)</t>
        </is>
      </c>
      <c r="K1781" s="0">
        <f>IF(H1780="1)",1,IF(H1780="2)",2,IF(H1780="3)",3,IF(H1780="4)",4,IF(H1780="5)",5,IF(H1780="6)",6,IF(H1780="7)",7,IF(H1780="8)",8,0))))))))</f>
        <v/>
      </c>
      <c r="L1781" s="0">
        <f>IF(H1780="1)",J1780,IF(H1780="2)",J1780,IF(H1780="3)",J1780,IF(H1780="4)",J1780,IF(H1780="5)",J1780,IF(H1780="6)",J1780,IF(H1780="7)",J1780,IF(H1780="8)",J1780,0))))))))</f>
        <v/>
      </c>
    </row>
    <row r="1782">
      <c r="A1782" s="0" t="inlineStr">
        <is>
          <t>New</t>
        </is>
      </c>
      <c r="B1782" s="0" t="inlineStr">
        <is>
          <t>Item</t>
        </is>
      </c>
      <c r="C1782" s="0" t="inlineStr">
        <is>
          <t>Acquired</t>
        </is>
      </c>
      <c r="D1782" s="0" t="inlineStr">
        <is>
          <t>:</t>
        </is>
      </c>
      <c r="E1782" s="0" t="inlineStr">
        <is>
          <t>Minor</t>
        </is>
      </c>
      <c r="F1782" s="0" t="inlineStr">
        <is>
          <t>(7,</t>
        </is>
      </c>
      <c r="G1782" s="0" t="inlineStr">
        <is>
          <t>6)</t>
        </is>
      </c>
      <c r="K1782" s="0">
        <f>IF(H1781="1)",1,IF(H1781="2)",2,IF(H1781="3)",3,IF(H1781="4)",4,IF(H1781="5)",5,IF(H1781="6)",6,IF(H1781="7)",7,IF(H1781="8)",8,0))))))))</f>
        <v/>
      </c>
      <c r="L1782" s="0">
        <f>IF(H1781="1)",J1781,IF(H1781="2)",J1781,IF(H1781="3)",J1781,IF(H1781="4)",J1781,IF(H1781="5)",J1781,IF(H1781="6)",J1781,IF(H1781="7)",J1781,IF(H1781="8)",J1781,0))))))))</f>
        <v/>
      </c>
    </row>
    <row r="1783">
      <c r="A1783" s="0" t="inlineStr">
        <is>
          <t>New</t>
        </is>
      </c>
      <c r="B1783" s="0" t="inlineStr">
        <is>
          <t>Item</t>
        </is>
      </c>
      <c r="C1783" s="0" t="inlineStr">
        <is>
          <t>Acquired</t>
        </is>
      </c>
      <c r="D1783" s="0" t="inlineStr">
        <is>
          <t>:</t>
        </is>
      </c>
      <c r="E1783" s="0" t="inlineStr">
        <is>
          <t>50.00K</t>
        </is>
      </c>
      <c r="F1783" s="0" t="inlineStr">
        <is>
          <t>(1,</t>
        </is>
      </c>
      <c r="G1783" s="0" t="inlineStr">
        <is>
          <t>12)</t>
        </is>
      </c>
      <c r="K1783" s="0">
        <f>IF(H1782="1)",1,IF(H1782="2)",2,IF(H1782="3)",3,IF(H1782="4)",4,IF(H1782="5)",5,IF(H1782="6)",6,IF(H1782="7)",7,IF(H1782="8)",8,0))))))))</f>
        <v/>
      </c>
      <c r="L1783" s="0">
        <f>IF(H1782="1)",J1782,IF(H1782="2)",J1782,IF(H1782="3)",J1782,IF(H1782="4)",J1782,IF(H1782="5)",J1782,IF(H1782="6)",J1782,IF(H1782="7)",J1782,IF(H1782="8)",J1782,0))))))))</f>
        <v/>
      </c>
    </row>
    <row r="1784">
      <c r="A1784" s="0" t="inlineStr">
        <is>
          <t>New</t>
        </is>
      </c>
      <c r="B1784" s="0" t="inlineStr">
        <is>
          <t>Item</t>
        </is>
      </c>
      <c r="C1784" s="0" t="inlineStr">
        <is>
          <t>Acquired</t>
        </is>
      </c>
      <c r="D1784" s="0" t="inlineStr">
        <is>
          <t>:</t>
        </is>
      </c>
      <c r="E1784" s="0" t="inlineStr">
        <is>
          <t>60.00K</t>
        </is>
      </c>
      <c r="F1784" s="0" t="inlineStr">
        <is>
          <t>(4,</t>
        </is>
      </c>
      <c r="G1784" s="0" t="inlineStr">
        <is>
          <t>24)</t>
        </is>
      </c>
      <c r="K1784" s="0">
        <f>IF(H1783="1)",1,IF(H1783="2)",2,IF(H1783="3)",3,IF(H1783="4)",4,IF(H1783="5)",5,IF(H1783="6)",6,IF(H1783="7)",7,IF(H1783="8)",8,0))))))))</f>
        <v/>
      </c>
      <c r="L1784" s="0">
        <f>IF(H1783="1)",J1783,IF(H1783="2)",J1783,IF(H1783="3)",J1783,IF(H1783="4)",J1783,IF(H1783="5)",J1783,IF(H1783="6)",J1783,IF(H1783="7)",J1783,IF(H1783="8)",J1783,0))))))))</f>
        <v/>
      </c>
    </row>
    <row r="1785">
      <c r="A1785" s="0" t="inlineStr">
        <is>
          <t>New</t>
        </is>
      </c>
      <c r="B1785" s="0" t="inlineStr">
        <is>
          <t>Item</t>
        </is>
      </c>
      <c r="C1785" s="0" t="inlineStr">
        <is>
          <t>Acquired</t>
        </is>
      </c>
      <c r="D1785" s="0" t="inlineStr">
        <is>
          <t>:</t>
        </is>
      </c>
      <c r="E1785" s="0" t="inlineStr">
        <is>
          <t>157.50K</t>
        </is>
      </c>
      <c r="F1785" s="0" t="inlineStr">
        <is>
          <t>(5,</t>
        </is>
      </c>
      <c r="G1785" s="0" t="inlineStr">
        <is>
          <t>25)</t>
        </is>
      </c>
      <c r="K1785" s="0">
        <f>IF(H1784="1)",1,IF(H1784="2)",2,IF(H1784="3)",3,IF(H1784="4)",4,IF(H1784="5)",5,IF(H1784="6)",6,IF(H1784="7)",7,IF(H1784="8)",8,0))))))))</f>
        <v/>
      </c>
      <c r="L1785" s="0">
        <f>IF(H1784="1)",J1784,IF(H1784="2)",J1784,IF(H1784="3)",J1784,IF(H1784="4)",J1784,IF(H1784="5)",J1784,IF(H1784="6)",J1784,IF(H1784="7)",J1784,IF(H1784="8)",J1784,0))))))))</f>
        <v/>
      </c>
    </row>
    <row r="1786">
      <c r="A1786" s="0" t="inlineStr">
        <is>
          <t>New</t>
        </is>
      </c>
      <c r="B1786" s="0" t="inlineStr">
        <is>
          <t>Item</t>
        </is>
      </c>
      <c r="C1786" s="0" t="inlineStr">
        <is>
          <t>Acquired</t>
        </is>
      </c>
      <c r="D1786" s="0" t="inlineStr">
        <is>
          <t>:</t>
        </is>
      </c>
      <c r="E1786" s="0" t="inlineStr">
        <is>
          <t>157.50K</t>
        </is>
      </c>
      <c r="F1786" s="0" t="inlineStr">
        <is>
          <t>(5,</t>
        </is>
      </c>
      <c r="G1786" s="0" t="inlineStr">
        <is>
          <t>23)</t>
        </is>
      </c>
      <c r="K1786" s="0">
        <f>IF(H1785="1)",1,IF(H1785="2)",2,IF(H1785="3)",3,IF(H1785="4)",4,IF(H1785="5)",5,IF(H1785="6)",6,IF(H1785="7)",7,IF(H1785="8)",8,0))))))))</f>
        <v/>
      </c>
      <c r="L1786" s="0">
        <f>IF(H1785="1)",J1785,IF(H1785="2)",J1785,IF(H1785="3)",J1785,IF(H1785="4)",J1785,IF(H1785="5)",J1785,IF(H1785="6)",J1785,IF(H1785="7)",J1785,IF(H1785="8)",J1785,0))))))))</f>
        <v/>
      </c>
    </row>
    <row r="1787">
      <c r="A1787" s="0" t="inlineStr">
        <is>
          <t>New</t>
        </is>
      </c>
      <c r="B1787" s="0" t="inlineStr">
        <is>
          <t>Item</t>
        </is>
      </c>
      <c r="C1787" s="0" t="inlineStr">
        <is>
          <t>Acquired</t>
        </is>
      </c>
      <c r="D1787" s="0" t="inlineStr">
        <is>
          <t>:</t>
        </is>
      </c>
      <c r="E1787" s="0" t="inlineStr">
        <is>
          <t>150.00K</t>
        </is>
      </c>
      <c r="F1787" s="0" t="inlineStr">
        <is>
          <t>(7,</t>
        </is>
      </c>
      <c r="G1787" s="0" t="inlineStr">
        <is>
          <t>24)</t>
        </is>
      </c>
      <c r="K1787" s="0">
        <f>IF(H1786="1)",1,IF(H1786="2)",2,IF(H1786="3)",3,IF(H1786="4)",4,IF(H1786="5)",5,IF(H1786="6)",6,IF(H1786="7)",7,IF(H1786="8)",8,0))))))))</f>
        <v/>
      </c>
      <c r="L1787" s="0">
        <f>IF(H1786="1)",J1786,IF(H1786="2)",J1786,IF(H1786="3)",J1786,IF(H1786="4)",J1786,IF(H1786="5)",J1786,IF(H1786="6)",J1786,IF(H1786="7)",J1786,IF(H1786="8)",J1786,0))))))))</f>
        <v/>
      </c>
    </row>
    <row r="1788">
      <c r="A1788" s="0" t="inlineStr">
        <is>
          <t>New</t>
        </is>
      </c>
      <c r="B1788" s="0" t="inlineStr">
        <is>
          <t>Item</t>
        </is>
      </c>
      <c r="C1788" s="0" t="inlineStr">
        <is>
          <t>Acquired</t>
        </is>
      </c>
      <c r="D1788" s="0" t="inlineStr">
        <is>
          <t>:</t>
        </is>
      </c>
      <c r="E1788" s="0" t="inlineStr">
        <is>
          <t>75.00K</t>
        </is>
      </c>
      <c r="F1788" s="0" t="inlineStr">
        <is>
          <t>(4,</t>
        </is>
      </c>
      <c r="G1788" s="0" t="inlineStr">
        <is>
          <t>2)</t>
        </is>
      </c>
      <c r="K1788" s="0">
        <f>IF(H1787="1)",1,IF(H1787="2)",2,IF(H1787="3)",3,IF(H1787="4)",4,IF(H1787="5)",5,IF(H1787="6)",6,IF(H1787="7)",7,IF(H1787="8)",8,0))))))))</f>
        <v/>
      </c>
      <c r="L1788" s="0">
        <f>IF(H1787="1)",J1787,IF(H1787="2)",J1787,IF(H1787="3)",J1787,IF(H1787="4)",J1787,IF(H1787="5)",J1787,IF(H1787="6)",J1787,IF(H1787="7)",J1787,IF(H1787="8)",J1787,0))))))))</f>
        <v/>
      </c>
    </row>
    <row r="1789">
      <c r="A1789" s="0" t="inlineStr">
        <is>
          <t>Item</t>
        </is>
      </c>
      <c r="B1789" s="0" t="inlineStr">
        <is>
          <t>ReSelect</t>
        </is>
      </c>
      <c r="C1789" s="0" t="inlineStr">
        <is>
          <t>Failed</t>
        </is>
      </c>
      <c r="D1789" s="0" t="inlineStr">
        <is>
          <t>:</t>
        </is>
      </c>
      <c r="E1789" s="0" t="inlineStr">
        <is>
          <t>Attempt</t>
        </is>
      </c>
      <c r="F1789" s="0" t="inlineStr">
        <is>
          <t>Count</t>
        </is>
      </c>
      <c r="G1789" s="0" t="inlineStr">
        <is>
          <t>-</t>
        </is>
      </c>
      <c r="H1789" s="0" t="n">
        <v>3</v>
      </c>
      <c r="K1789" s="0">
        <f>IF(H1788="1)",1,IF(H1788="2)",2,IF(H1788="3)",3,IF(H1788="4)",4,IF(H1788="5)",5,IF(H1788="6)",6,IF(H1788="7)",7,IF(H1788="8)",8,0))))))))</f>
        <v/>
      </c>
      <c r="L1789" s="0">
        <f>IF(H1788="1)",J1788,IF(H1788="2)",J1788,IF(H1788="3)",J1788,IF(H1788="4)",J1788,IF(H1788="5)",J1788,IF(H1788="6)",J1788,IF(H1788="7)",J1788,IF(H1788="8)",J1788,0))))))))</f>
        <v/>
      </c>
    </row>
    <row r="1790">
      <c r="A1790" s="0" t="inlineStr">
        <is>
          <t>New</t>
        </is>
      </c>
      <c r="B1790" s="0" t="inlineStr">
        <is>
          <t>Item</t>
        </is>
      </c>
      <c r="C1790" s="0" t="inlineStr">
        <is>
          <t>Acquired</t>
        </is>
      </c>
      <c r="D1790" s="0" t="inlineStr">
        <is>
          <t>:</t>
        </is>
      </c>
      <c r="E1790" s="0" t="inlineStr">
        <is>
          <t>112.50K</t>
        </is>
      </c>
      <c r="F1790" s="0" t="inlineStr">
        <is>
          <t>(5,</t>
        </is>
      </c>
      <c r="G1790" s="0" t="inlineStr">
        <is>
          <t>17)</t>
        </is>
      </c>
      <c r="K1790" s="0">
        <f>IF(H1789="1)",1,IF(H1789="2)",2,IF(H1789="3)",3,IF(H1789="4)",4,IF(H1789="5)",5,IF(H1789="6)",6,IF(H1789="7)",7,IF(H1789="8)",8,0))))))))</f>
        <v/>
      </c>
      <c r="L1790" s="0">
        <f>IF(H1789="1)",J1789,IF(H1789="2)",J1789,IF(H1789="3)",J1789,IF(H1789="4)",J1789,IF(H1789="5)",J1789,IF(H1789="6)",J1789,IF(H1789="7)",J1789,IF(H1789="8)",J1789,0))))))))</f>
        <v/>
      </c>
    </row>
    <row r="1791">
      <c r="A1791" s="0" t="inlineStr">
        <is>
          <t>New</t>
        </is>
      </c>
      <c r="B1791" s="0" t="inlineStr">
        <is>
          <t>Item</t>
        </is>
      </c>
      <c r="C1791" s="0" t="inlineStr">
        <is>
          <t>Acquired</t>
        </is>
      </c>
      <c r="D1791" s="0" t="inlineStr">
        <is>
          <t>:</t>
        </is>
      </c>
      <c r="E1791" s="0" t="inlineStr">
        <is>
          <t>60.00K</t>
        </is>
      </c>
      <c r="F1791" s="0" t="inlineStr">
        <is>
          <t>(4,</t>
        </is>
      </c>
      <c r="G1791" s="0" t="inlineStr">
        <is>
          <t>8)</t>
        </is>
      </c>
      <c r="K1791" s="0">
        <f>IF(H1790="1)",1,IF(H1790="2)",2,IF(H1790="3)",3,IF(H1790="4)",4,IF(H1790="5)",5,IF(H1790="6)",6,IF(H1790="7)",7,IF(H1790="8)",8,0))))))))</f>
        <v/>
      </c>
      <c r="L1791" s="0">
        <f>IF(H1790="1)",J1790,IF(H1790="2)",J1790,IF(H1790="3)",J1790,IF(H1790="4)",J1790,IF(H1790="5)",J1790,IF(H1790="6)",J1790,IF(H1790="7)",J1790,IF(H1790="8)",J1790,0))))))))</f>
        <v/>
      </c>
    </row>
    <row r="1792">
      <c r="A1792" s="0" t="inlineStr">
        <is>
          <t>New</t>
        </is>
      </c>
      <c r="B1792" s="0" t="inlineStr">
        <is>
          <t>Item</t>
        </is>
      </c>
      <c r="C1792" s="0" t="inlineStr">
        <is>
          <t>Acquired</t>
        </is>
      </c>
      <c r="D1792" s="0" t="inlineStr">
        <is>
          <t>:</t>
        </is>
      </c>
      <c r="E1792" s="0" t="inlineStr">
        <is>
          <t>62.50K</t>
        </is>
      </c>
      <c r="F1792" s="0" t="inlineStr">
        <is>
          <t>(2,</t>
        </is>
      </c>
      <c r="G1792" s="0" t="inlineStr">
        <is>
          <t>8)</t>
        </is>
      </c>
      <c r="K1792" s="0">
        <f>IF(H1791="1)",1,IF(H1791="2)",2,IF(H1791="3)",3,IF(H1791="4)",4,IF(H1791="5)",5,IF(H1791="6)",6,IF(H1791="7)",7,IF(H1791="8)",8,0))))))))</f>
        <v/>
      </c>
      <c r="L1792" s="0">
        <f>IF(H1791="1)",J1791,IF(H1791="2)",J1791,IF(H1791="3)",J1791,IF(H1791="4)",J1791,IF(H1791="5)",J1791,IF(H1791="6)",J1791,IF(H1791="7)",J1791,IF(H1791="8)",J1791,0))))))))</f>
        <v/>
      </c>
    </row>
    <row r="1793">
      <c r="A1793" s="0" t="inlineStr">
        <is>
          <t>New</t>
        </is>
      </c>
      <c r="B1793" s="0" t="inlineStr">
        <is>
          <t>Item</t>
        </is>
      </c>
      <c r="C1793" s="0" t="inlineStr">
        <is>
          <t>Acquired</t>
        </is>
      </c>
      <c r="D1793" s="0" t="inlineStr">
        <is>
          <t>:</t>
        </is>
      </c>
      <c r="E1793" s="0" t="inlineStr">
        <is>
          <t>90.00K</t>
        </is>
      </c>
      <c r="F1793" s="0" t="inlineStr">
        <is>
          <t>(7,</t>
        </is>
      </c>
      <c r="G1793" s="0" t="inlineStr">
        <is>
          <t>21)</t>
        </is>
      </c>
      <c r="K1793" s="0">
        <f>IF(H1792="1)",1,IF(H1792="2)",2,IF(H1792="3)",3,IF(H1792="4)",4,IF(H1792="5)",5,IF(H1792="6)",6,IF(H1792="7)",7,IF(H1792="8)",8,0))))))))</f>
        <v/>
      </c>
      <c r="L1793" s="0">
        <f>IF(H1792="1)",J1792,IF(H1792="2)",J1792,IF(H1792="3)",J1792,IF(H1792="4)",J1792,IF(H1792="5)",J1792,IF(H1792="6)",J1792,IF(H1792="7)",J1792,IF(H1792="8)",J1792,0))))))))</f>
        <v/>
      </c>
    </row>
    <row r="1794">
      <c r="A1794" s="0" t="inlineStr">
        <is>
          <t>New</t>
        </is>
      </c>
      <c r="B1794" s="0" t="inlineStr">
        <is>
          <t>Item</t>
        </is>
      </c>
      <c r="C1794" s="0" t="inlineStr">
        <is>
          <t>Acquired</t>
        </is>
      </c>
      <c r="D1794" s="0" t="inlineStr">
        <is>
          <t>:</t>
        </is>
      </c>
      <c r="E1794" s="0" t="inlineStr">
        <is>
          <t>50.00K</t>
        </is>
      </c>
      <c r="F1794" s="0" t="inlineStr">
        <is>
          <t>(1,</t>
        </is>
      </c>
      <c r="G1794" s="0" t="inlineStr">
        <is>
          <t>14)</t>
        </is>
      </c>
      <c r="K1794" s="0">
        <f>IF(H1793="1)",1,IF(H1793="2)",2,IF(H1793="3)",3,IF(H1793="4)",4,IF(H1793="5)",5,IF(H1793="6)",6,IF(H1793="7)",7,IF(H1793="8)",8,0))))))))</f>
        <v/>
      </c>
      <c r="L1794" s="0">
        <f>IF(H1793="1)",J1793,IF(H1793="2)",J1793,IF(H1793="3)",J1793,IF(H1793="4)",J1793,IF(H1793="5)",J1793,IF(H1793="6)",J1793,IF(H1793="7)",J1793,IF(H1793="8)",J1793,0))))))))</f>
        <v/>
      </c>
    </row>
    <row r="1795">
      <c r="A1795" s="0" t="inlineStr">
        <is>
          <t>Item</t>
        </is>
      </c>
      <c r="B1795" s="0" t="inlineStr">
        <is>
          <t>ReSelect</t>
        </is>
      </c>
      <c r="C1795" s="0" t="inlineStr">
        <is>
          <t>Failed</t>
        </is>
      </c>
      <c r="D1795" s="0" t="inlineStr">
        <is>
          <t>:</t>
        </is>
      </c>
      <c r="E1795" s="0" t="inlineStr">
        <is>
          <t>Attempt</t>
        </is>
      </c>
      <c r="F1795" s="0" t="inlineStr">
        <is>
          <t>Count</t>
        </is>
      </c>
      <c r="G1795" s="0" t="inlineStr">
        <is>
          <t>-</t>
        </is>
      </c>
      <c r="H1795" s="0" t="n">
        <v>3</v>
      </c>
      <c r="K1795" s="0">
        <f>IF(H1794="1)",1,IF(H1794="2)",2,IF(H1794="3)",3,IF(H1794="4)",4,IF(H1794="5)",5,IF(H1794="6)",6,IF(H1794="7)",7,IF(H1794="8)",8,0))))))))</f>
        <v/>
      </c>
      <c r="L1795" s="0">
        <f>IF(H1794="1)",J1794,IF(H1794="2)",J1794,IF(H1794="3)",J1794,IF(H1794="4)",J1794,IF(H1794="5)",J1794,IF(H1794="6)",J1794,IF(H1794="7)",J1794,IF(H1794="8)",J1794,0))))))))</f>
        <v/>
      </c>
    </row>
    <row r="1796">
      <c r="A1796" s="0" t="inlineStr">
        <is>
          <t>New</t>
        </is>
      </c>
      <c r="B1796" s="0" t="inlineStr">
        <is>
          <t>Item</t>
        </is>
      </c>
      <c r="C1796" s="0" t="inlineStr">
        <is>
          <t>Acquired</t>
        </is>
      </c>
      <c r="D1796" s="0" t="inlineStr">
        <is>
          <t>:</t>
        </is>
      </c>
      <c r="E1796" s="0" t="inlineStr">
        <is>
          <t>75.00K</t>
        </is>
      </c>
      <c r="F1796" s="0" t="inlineStr">
        <is>
          <t>(3,</t>
        </is>
      </c>
      <c r="G1796" s="0" t="inlineStr">
        <is>
          <t>19)</t>
        </is>
      </c>
      <c r="K1796" s="0">
        <f>IF(H1795="1)",1,IF(H1795="2)",2,IF(H1795="3)",3,IF(H1795="4)",4,IF(H1795="5)",5,IF(H1795="6)",6,IF(H1795="7)",7,IF(H1795="8)",8,0))))))))</f>
        <v/>
      </c>
      <c r="L1796" s="0">
        <f>IF(H1795="1)",J1795,IF(H1795="2)",J1795,IF(H1795="3)",J1795,IF(H1795="4)",J1795,IF(H1795="5)",J1795,IF(H1795="6)",J1795,IF(H1795="7)",J1795,IF(H1795="8)",J1795,0))))))))</f>
        <v/>
      </c>
    </row>
    <row r="1797">
      <c r="A1797" s="0" t="inlineStr">
        <is>
          <t>New</t>
        </is>
      </c>
      <c r="B1797" s="0" t="inlineStr">
        <is>
          <t>Item</t>
        </is>
      </c>
      <c r="C1797" s="0" t="inlineStr">
        <is>
          <t>Acquired</t>
        </is>
      </c>
      <c r="D1797" s="0" t="inlineStr">
        <is>
          <t>:</t>
        </is>
      </c>
      <c r="E1797" s="0" t="inlineStr">
        <is>
          <t>45.00K</t>
        </is>
      </c>
      <c r="F1797" s="0" t="inlineStr">
        <is>
          <t>(3,</t>
        </is>
      </c>
      <c r="G1797" s="0" t="inlineStr">
        <is>
          <t>17)</t>
        </is>
      </c>
      <c r="K1797" s="0">
        <f>IF(H1796="1)",1,IF(H1796="2)",2,IF(H1796="3)",3,IF(H1796="4)",4,IF(H1796="5)",5,IF(H1796="6)",6,IF(H1796="7)",7,IF(H1796="8)",8,0))))))))</f>
        <v/>
      </c>
      <c r="L1797" s="0">
        <f>IF(H1796="1)",J1796,IF(H1796="2)",J1796,IF(H1796="3)",J1796,IF(H1796="4)",J1796,IF(H1796="5)",J1796,IF(H1796="6)",J1796,IF(H1796="7)",J1796,IF(H1796="8)",J1796,0))))))))</f>
        <v/>
      </c>
    </row>
    <row r="1798">
      <c r="A1798" s="0" t="inlineStr">
        <is>
          <t>New</t>
        </is>
      </c>
      <c r="B1798" s="0" t="inlineStr">
        <is>
          <t>Item</t>
        </is>
      </c>
      <c r="C1798" s="0" t="inlineStr">
        <is>
          <t>Acquired</t>
        </is>
      </c>
      <c r="D1798" s="0" t="inlineStr">
        <is>
          <t>:</t>
        </is>
      </c>
      <c r="E1798" s="0" t="inlineStr">
        <is>
          <t>67.50K</t>
        </is>
      </c>
      <c r="F1798" s="0" t="inlineStr">
        <is>
          <t>(5,</t>
        </is>
      </c>
      <c r="G1798" s="0" t="inlineStr">
        <is>
          <t>3)</t>
        </is>
      </c>
      <c r="K1798" s="0">
        <f>IF(H1797="1)",1,IF(H1797="2)",2,IF(H1797="3)",3,IF(H1797="4)",4,IF(H1797="5)",5,IF(H1797="6)",6,IF(H1797="7)",7,IF(H1797="8)",8,0))))))))</f>
        <v/>
      </c>
      <c r="L1798" s="0">
        <f>IF(H1797="1)",J1797,IF(H1797="2)",J1797,IF(H1797="3)",J1797,IF(H1797="4)",J1797,IF(H1797="5)",J1797,IF(H1797="6)",J1797,IF(H1797="7)",J1797,IF(H1797="8)",J1797,0))))))))</f>
        <v/>
      </c>
    </row>
    <row r="1799">
      <c r="A1799" s="0" t="inlineStr">
        <is>
          <t>Line</t>
        </is>
      </c>
      <c r="B1799" s="0" t="inlineStr">
        <is>
          <t>Prize</t>
        </is>
      </c>
      <c r="C1799" s="0" t="inlineStr">
        <is>
          <t>Acquired</t>
        </is>
      </c>
      <c r="D1799" s="0" t="inlineStr">
        <is>
          <t>:</t>
        </is>
      </c>
      <c r="E1799" s="0" t="inlineStr">
        <is>
          <t>1.36M</t>
        </is>
      </c>
      <c r="F1799" s="0" t="inlineStr">
        <is>
          <t>(Stage</t>
        </is>
      </c>
      <c r="G1799" s="0" t="inlineStr">
        <is>
          <t>:</t>
        </is>
      </c>
      <c r="H1799" s="0" t="inlineStr">
        <is>
          <t>5)</t>
        </is>
      </c>
      <c r="I1799" s="0" t="inlineStr">
        <is>
          <t>-</t>
        </is>
      </c>
      <c r="J1799" s="0" t="n">
        <v>1360000</v>
      </c>
      <c r="K1799" s="0">
        <f>IF(H1798="1)",1,IF(H1798="2)",2,IF(H1798="3)",3,IF(H1798="4)",4,IF(H1798="5)",5,IF(H1798="6)",6,IF(H1798="7)",7,IF(H1798="8)",8,0))))))))</f>
        <v/>
      </c>
      <c r="L1799" s="0">
        <f>IF(H1798="1)",J1798,IF(H1798="2)",J1798,IF(H1798="3)",J1798,IF(H1798="4)",J1798,IF(H1798="5)",J1798,IF(H1798="6)",J1798,IF(H1798="7)",J1798,IF(H1798="8)",J1798,0))))))))</f>
        <v/>
      </c>
    </row>
    <row r="1800">
      <c r="A1800" s="0" t="inlineStr">
        <is>
          <t>Clear</t>
        </is>
      </c>
      <c r="B1800" s="0" t="inlineStr">
        <is>
          <t>Gem</t>
        </is>
      </c>
      <c r="C1800" s="0" t="inlineStr">
        <is>
          <t>Acquired</t>
        </is>
      </c>
      <c r="D1800" s="0" t="inlineStr">
        <is>
          <t>:</t>
        </is>
      </c>
      <c r="E1800" s="0" t="n">
        <v>10800</v>
      </c>
      <c r="F1800" s="0" t="inlineStr">
        <is>
          <t>-&gt;</t>
        </is>
      </c>
      <c r="G1800" s="0" t="n">
        <v>10900</v>
      </c>
      <c r="H1800" s="0" t="inlineStr">
        <is>
          <t>(Stage</t>
        </is>
      </c>
      <c r="I1800" s="0" t="inlineStr">
        <is>
          <t>:</t>
        </is>
      </c>
      <c r="J1800" s="0" t="inlineStr">
        <is>
          <t>5)</t>
        </is>
      </c>
      <c r="K1800" s="0">
        <f>IF(H1799="1)",1,IF(H1799="2)",2,IF(H1799="3)",3,IF(H1799="4)",4,IF(H1799="5)",5,IF(H1799="6)",6,IF(H1799="7)",7,IF(H1799="8)",8,0))))))))</f>
        <v/>
      </c>
      <c r="L1800" s="0">
        <f>IF(H1799="1)",J1799,IF(H1799="2)",J1799,IF(H1799="3)",J1799,IF(H1799="4)",J1799,IF(H1799="5)",J1799,IF(H1799="6)",J1799,IF(H1799="7)",J1799,IF(H1799="8)",J1799,0))))))))</f>
        <v/>
      </c>
    </row>
    <row r="1801">
      <c r="A1801" s="0" t="inlineStr">
        <is>
          <t>New</t>
        </is>
      </c>
      <c r="B1801" s="0" t="inlineStr">
        <is>
          <t>Item</t>
        </is>
      </c>
      <c r="C1801" s="0" t="inlineStr">
        <is>
          <t>Acquired</t>
        </is>
      </c>
      <c r="D1801" s="0" t="inlineStr">
        <is>
          <t>:</t>
        </is>
      </c>
      <c r="E1801" s="0" t="inlineStr">
        <is>
          <t>Mini</t>
        </is>
      </c>
      <c r="F1801" s="0" t="inlineStr">
        <is>
          <t>(3,</t>
        </is>
      </c>
      <c r="G1801" s="0" t="inlineStr">
        <is>
          <t>15)</t>
        </is>
      </c>
      <c r="K1801" s="0">
        <f>IF(H1800="1)",1,IF(H1800="2)",2,IF(H1800="3)",3,IF(H1800="4)",4,IF(H1800="5)",5,IF(H1800="6)",6,IF(H1800="7)",7,IF(H1800="8)",8,0))))))))</f>
        <v/>
      </c>
      <c r="L1801" s="0">
        <f>IF(H1800="1)",J1800,IF(H1800="2)",J1800,IF(H1800="3)",J1800,IF(H1800="4)",J1800,IF(H1800="5)",J1800,IF(H1800="6)",J1800,IF(H1800="7)",J1800,IF(H1800="8)",J1800,0))))))))</f>
        <v/>
      </c>
    </row>
    <row r="1802">
      <c r="A1802" s="0" t="inlineStr">
        <is>
          <t>New</t>
        </is>
      </c>
      <c r="B1802" s="0" t="inlineStr">
        <is>
          <t>Item</t>
        </is>
      </c>
      <c r="C1802" s="0" t="inlineStr">
        <is>
          <t>Acquired</t>
        </is>
      </c>
      <c r="D1802" s="0" t="inlineStr">
        <is>
          <t>:</t>
        </is>
      </c>
      <c r="E1802" s="0" t="inlineStr">
        <is>
          <t>Minor</t>
        </is>
      </c>
      <c r="F1802" s="0" t="inlineStr">
        <is>
          <t>(5,</t>
        </is>
      </c>
      <c r="G1802" s="0" t="inlineStr">
        <is>
          <t>3)</t>
        </is>
      </c>
      <c r="K1802" s="0">
        <f>IF(H1801="1)",1,IF(H1801="2)",2,IF(H1801="3)",3,IF(H1801="4)",4,IF(H1801="5)",5,IF(H1801="6)",6,IF(H1801="7)",7,IF(H1801="8)",8,0))))))))</f>
        <v/>
      </c>
      <c r="L1802" s="0">
        <f>IF(H1801="1)",J1801,IF(H1801="2)",J1801,IF(H1801="3)",J1801,IF(H1801="4)",J1801,IF(H1801="5)",J1801,IF(H1801="6)",J1801,IF(H1801="7)",J1801,IF(H1801="8)",J1801,0))))))))</f>
        <v/>
      </c>
    </row>
    <row r="1803">
      <c r="A1803" s="0" t="inlineStr">
        <is>
          <t>New</t>
        </is>
      </c>
      <c r="B1803" s="0" t="inlineStr">
        <is>
          <t>Item</t>
        </is>
      </c>
      <c r="C1803" s="0" t="inlineStr">
        <is>
          <t>Acquired</t>
        </is>
      </c>
      <c r="D1803" s="0" t="inlineStr">
        <is>
          <t>:</t>
        </is>
      </c>
      <c r="E1803" s="0" t="inlineStr">
        <is>
          <t>105.00K</t>
        </is>
      </c>
      <c r="F1803" s="0" t="inlineStr">
        <is>
          <t>(3,</t>
        </is>
      </c>
      <c r="G1803" s="0" t="inlineStr">
        <is>
          <t>18)</t>
        </is>
      </c>
      <c r="K1803" s="0">
        <f>IF(H1802="1)",1,IF(H1802="2)",2,IF(H1802="3)",3,IF(H1802="4)",4,IF(H1802="5)",5,IF(H1802="6)",6,IF(H1802="7)",7,IF(H1802="8)",8,0))))))))</f>
        <v/>
      </c>
      <c r="L1803" s="0">
        <f>IF(H1802="1)",J1802,IF(H1802="2)",J1802,IF(H1802="3)",J1802,IF(H1802="4)",J1802,IF(H1802="5)",J1802,IF(H1802="6)",J1802,IF(H1802="7)",J1802,IF(H1802="8)",J1802,0))))))))</f>
        <v/>
      </c>
    </row>
    <row r="1804">
      <c r="A1804" s="0" t="inlineStr">
        <is>
          <t>New</t>
        </is>
      </c>
      <c r="B1804" s="0" t="inlineStr">
        <is>
          <t>Item</t>
        </is>
      </c>
      <c r="C1804" s="0" t="inlineStr">
        <is>
          <t>Acquired</t>
        </is>
      </c>
      <c r="D1804" s="0" t="inlineStr">
        <is>
          <t>:</t>
        </is>
      </c>
      <c r="E1804" s="0" t="inlineStr">
        <is>
          <t>50.00K</t>
        </is>
      </c>
      <c r="F1804" s="0" t="inlineStr">
        <is>
          <t>(1,</t>
        </is>
      </c>
      <c r="G1804" s="0" t="inlineStr">
        <is>
          <t>7)</t>
        </is>
      </c>
      <c r="K1804" s="0">
        <f>IF(H1803="1)",1,IF(H1803="2)",2,IF(H1803="3)",3,IF(H1803="4)",4,IF(H1803="5)",5,IF(H1803="6)",6,IF(H1803="7)",7,IF(H1803="8)",8,0))))))))</f>
        <v/>
      </c>
      <c r="L1804" s="0">
        <f>IF(H1803="1)",J1803,IF(H1803="2)",J1803,IF(H1803="3)",J1803,IF(H1803="4)",J1803,IF(H1803="5)",J1803,IF(H1803="6)",J1803,IF(H1803="7)",J1803,IF(H1803="8)",J1803,0))))))))</f>
        <v/>
      </c>
    </row>
    <row r="1805">
      <c r="A1805" s="0" t="inlineStr">
        <is>
          <t>Item</t>
        </is>
      </c>
      <c r="B1805" s="0" t="inlineStr">
        <is>
          <t>ReSelect</t>
        </is>
      </c>
      <c r="C1805" s="0" t="inlineStr">
        <is>
          <t>Failed</t>
        </is>
      </c>
      <c r="D1805" s="0" t="inlineStr">
        <is>
          <t>:</t>
        </is>
      </c>
      <c r="E1805" s="0" t="inlineStr">
        <is>
          <t>Attempt</t>
        </is>
      </c>
      <c r="F1805" s="0" t="inlineStr">
        <is>
          <t>Count</t>
        </is>
      </c>
      <c r="G1805" s="0" t="inlineStr">
        <is>
          <t>-</t>
        </is>
      </c>
      <c r="H1805" s="0" t="n">
        <v>3</v>
      </c>
      <c r="K1805" s="0">
        <f>IF(H1804="1)",1,IF(H1804="2)",2,IF(H1804="3)",3,IF(H1804="4)",4,IF(H1804="5)",5,IF(H1804="6)",6,IF(H1804="7)",7,IF(H1804="8)",8,0))))))))</f>
        <v/>
      </c>
      <c r="L1805" s="0">
        <f>IF(H1804="1)",J1804,IF(H1804="2)",J1804,IF(H1804="3)",J1804,IF(H1804="4)",J1804,IF(H1804="5)",J1804,IF(H1804="6)",J1804,IF(H1804="7)",J1804,IF(H1804="8)",J1804,0))))))))</f>
        <v/>
      </c>
    </row>
    <row r="1806">
      <c r="A1806" s="0" t="inlineStr">
        <is>
          <t>New</t>
        </is>
      </c>
      <c r="B1806" s="0" t="inlineStr">
        <is>
          <t>Item</t>
        </is>
      </c>
      <c r="C1806" s="0" t="inlineStr">
        <is>
          <t>Acquired</t>
        </is>
      </c>
      <c r="D1806" s="0" t="inlineStr">
        <is>
          <t>:</t>
        </is>
      </c>
      <c r="E1806" s="0" t="inlineStr">
        <is>
          <t>67.50K</t>
        </is>
      </c>
      <c r="F1806" s="0" t="inlineStr">
        <is>
          <t>(5,</t>
        </is>
      </c>
      <c r="G1806" s="0" t="inlineStr">
        <is>
          <t>5)</t>
        </is>
      </c>
      <c r="K1806" s="0">
        <f>IF(H1805="1)",1,IF(H1805="2)",2,IF(H1805="3)",3,IF(H1805="4)",4,IF(H1805="5)",5,IF(H1805="6)",6,IF(H1805="7)",7,IF(H1805="8)",8,0))))))))</f>
        <v/>
      </c>
      <c r="L1806" s="0">
        <f>IF(H1805="1)",J1805,IF(H1805="2)",J1805,IF(H1805="3)",J1805,IF(H1805="4)",J1805,IF(H1805="5)",J1805,IF(H1805="6)",J1805,IF(H1805="7)",J1805,IF(H1805="8)",J1805,0))))))))</f>
        <v/>
      </c>
    </row>
    <row r="1807">
      <c r="A1807" s="0" t="inlineStr">
        <is>
          <t>New</t>
        </is>
      </c>
      <c r="B1807" s="0" t="inlineStr">
        <is>
          <t>Item</t>
        </is>
      </c>
      <c r="C1807" s="0" t="inlineStr">
        <is>
          <t>Acquired</t>
        </is>
      </c>
      <c r="D1807" s="0" t="inlineStr">
        <is>
          <t>:</t>
        </is>
      </c>
      <c r="E1807" s="0" t="inlineStr">
        <is>
          <t>30.00K</t>
        </is>
      </c>
      <c r="F1807" s="0" t="inlineStr">
        <is>
          <t>(1,</t>
        </is>
      </c>
      <c r="G1807" s="0" t="inlineStr">
        <is>
          <t>10)</t>
        </is>
      </c>
      <c r="K1807" s="0">
        <f>IF(H1806="1)",1,IF(H1806="2)",2,IF(H1806="3)",3,IF(H1806="4)",4,IF(H1806="5)",5,IF(H1806="6)",6,IF(H1806="7)",7,IF(H1806="8)",8,0))))))))</f>
        <v/>
      </c>
      <c r="L1807" s="0">
        <f>IF(H1806="1)",J1806,IF(H1806="2)",J1806,IF(H1806="3)",J1806,IF(H1806="4)",J1806,IF(H1806="5)",J1806,IF(H1806="6)",J1806,IF(H1806="7)",J1806,IF(H1806="8)",J1806,0))))))))</f>
        <v/>
      </c>
    </row>
    <row r="1808">
      <c r="A1808" s="0" t="inlineStr">
        <is>
          <t>New</t>
        </is>
      </c>
      <c r="B1808" s="0" t="inlineStr">
        <is>
          <t>Item</t>
        </is>
      </c>
      <c r="C1808" s="0" t="inlineStr">
        <is>
          <t>Acquired</t>
        </is>
      </c>
      <c r="D1808" s="0" t="inlineStr">
        <is>
          <t>:</t>
        </is>
      </c>
      <c r="E1808" s="0" t="inlineStr">
        <is>
          <t>280.00K</t>
        </is>
      </c>
      <c r="F1808" s="0" t="inlineStr">
        <is>
          <t>(8,</t>
        </is>
      </c>
      <c r="G1808" s="0" t="inlineStr">
        <is>
          <t>10)</t>
        </is>
      </c>
      <c r="K1808" s="0">
        <f>IF(H1807="1)",1,IF(H1807="2)",2,IF(H1807="3)",3,IF(H1807="4)",4,IF(H1807="5)",5,IF(H1807="6)",6,IF(H1807="7)",7,IF(H1807="8)",8,0))))))))</f>
        <v/>
      </c>
      <c r="L1808" s="0">
        <f>IF(H1807="1)",J1807,IF(H1807="2)",J1807,IF(H1807="3)",J1807,IF(H1807="4)",J1807,IF(H1807="5)",J1807,IF(H1807="6)",J1807,IF(H1807="7)",J1807,IF(H1807="8)",J1807,0))))))))</f>
        <v/>
      </c>
    </row>
    <row r="1809">
      <c r="A1809" s="0" t="inlineStr">
        <is>
          <t>Line</t>
        </is>
      </c>
      <c r="B1809" s="0" t="inlineStr">
        <is>
          <t>Prize</t>
        </is>
      </c>
      <c r="C1809" s="0" t="inlineStr">
        <is>
          <t>Acquired</t>
        </is>
      </c>
      <c r="D1809" s="0" t="inlineStr">
        <is>
          <t>:</t>
        </is>
      </c>
      <c r="E1809" s="0" t="inlineStr">
        <is>
          <t>1.00M</t>
        </is>
      </c>
      <c r="F1809" s="0" t="inlineStr">
        <is>
          <t>(Stage</t>
        </is>
      </c>
      <c r="G1809" s="0" t="inlineStr">
        <is>
          <t>:</t>
        </is>
      </c>
      <c r="H1809" s="0" t="inlineStr">
        <is>
          <t>8)</t>
        </is>
      </c>
      <c r="I1809" s="0" t="inlineStr">
        <is>
          <t>-</t>
        </is>
      </c>
      <c r="J1809" s="0" t="n">
        <v>1000000</v>
      </c>
      <c r="K1809" s="0">
        <f>IF(H1808="1)",1,IF(H1808="2)",2,IF(H1808="3)",3,IF(H1808="4)",4,IF(H1808="5)",5,IF(H1808="6)",6,IF(H1808="7)",7,IF(H1808="8)",8,0))))))))</f>
        <v/>
      </c>
      <c r="L1809" s="0">
        <f>IF(H1808="1)",J1808,IF(H1808="2)",J1808,IF(H1808="3)",J1808,IF(H1808="4)",J1808,IF(H1808="5)",J1808,IF(H1808="6)",J1808,IF(H1808="7)",J1808,IF(H1808="8)",J1808,0))))))))</f>
        <v/>
      </c>
    </row>
    <row r="1810">
      <c r="A1810" s="0" t="inlineStr">
        <is>
          <t>Clear</t>
        </is>
      </c>
      <c r="B1810" s="0" t="inlineStr">
        <is>
          <t>Gem</t>
        </is>
      </c>
      <c r="C1810" s="0" t="inlineStr">
        <is>
          <t>Acquired</t>
        </is>
      </c>
      <c r="D1810" s="0" t="inlineStr">
        <is>
          <t>:</t>
        </is>
      </c>
      <c r="E1810" s="0" t="n">
        <v>10900</v>
      </c>
      <c r="F1810" s="0" t="inlineStr">
        <is>
          <t>-&gt;</t>
        </is>
      </c>
      <c r="G1810" s="0" t="n">
        <v>11000</v>
      </c>
      <c r="H1810" s="0" t="inlineStr">
        <is>
          <t>(Stage</t>
        </is>
      </c>
      <c r="I1810" s="0" t="inlineStr">
        <is>
          <t>:</t>
        </is>
      </c>
      <c r="J1810" s="0" t="inlineStr">
        <is>
          <t>8)</t>
        </is>
      </c>
      <c r="K1810" s="0">
        <f>IF(H1809="1)",1,IF(H1809="2)",2,IF(H1809="3)",3,IF(H1809="4)",4,IF(H1809="5)",5,IF(H1809="6)",6,IF(H1809="7)",7,IF(H1809="8)",8,0))))))))</f>
        <v/>
      </c>
      <c r="L1810" s="0">
        <f>IF(H1809="1)",J1809,IF(H1809="2)",J1809,IF(H1809="3)",J1809,IF(H1809="4)",J1809,IF(H1809="5)",J1809,IF(H1809="6)",J1809,IF(H1809="7)",J1809,IF(H1809="8)",J1809,0))))))))</f>
        <v/>
      </c>
    </row>
    <row r="1811">
      <c r="A1811" s="0" t="inlineStr">
        <is>
          <t>New</t>
        </is>
      </c>
      <c r="B1811" s="0" t="inlineStr">
        <is>
          <t>Item</t>
        </is>
      </c>
      <c r="C1811" s="0" t="inlineStr">
        <is>
          <t>Acquired</t>
        </is>
      </c>
      <c r="D1811" s="0" t="inlineStr">
        <is>
          <t>:</t>
        </is>
      </c>
      <c r="E1811" s="0" t="inlineStr">
        <is>
          <t>87.50K</t>
        </is>
      </c>
      <c r="F1811" s="0" t="inlineStr">
        <is>
          <t>(2,</t>
        </is>
      </c>
      <c r="G1811" s="0" t="inlineStr">
        <is>
          <t>12)</t>
        </is>
      </c>
      <c r="K1811" s="0">
        <f>IF(H1810="1)",1,IF(H1810="2)",2,IF(H1810="3)",3,IF(H1810="4)",4,IF(H1810="5)",5,IF(H1810="6)",6,IF(H1810="7)",7,IF(H1810="8)",8,0))))))))</f>
        <v/>
      </c>
      <c r="L1811" s="0">
        <f>IF(H1810="1)",J1810,IF(H1810="2)",J1810,IF(H1810="3)",J1810,IF(H1810="4)",J1810,IF(H1810="5)",J1810,IF(H1810="6)",J1810,IF(H1810="7)",J1810,IF(H1810="8)",J1810,0))))))))</f>
        <v/>
      </c>
    </row>
    <row r="1812">
      <c r="A1812" s="0" t="inlineStr">
        <is>
          <t>New</t>
        </is>
      </c>
      <c r="B1812" s="0" t="inlineStr">
        <is>
          <t>Item</t>
        </is>
      </c>
      <c r="C1812" s="0" t="inlineStr">
        <is>
          <t>Acquired</t>
        </is>
      </c>
      <c r="D1812" s="0" t="inlineStr">
        <is>
          <t>:</t>
        </is>
      </c>
      <c r="E1812" s="0" t="inlineStr">
        <is>
          <t>210.00K</t>
        </is>
      </c>
      <c r="F1812" s="0" t="inlineStr">
        <is>
          <t>(7,</t>
        </is>
      </c>
      <c r="G1812" s="0" t="inlineStr">
        <is>
          <t>17)</t>
        </is>
      </c>
      <c r="K1812" s="0">
        <f>IF(H1811="1)",1,IF(H1811="2)",2,IF(H1811="3)",3,IF(H1811="4)",4,IF(H1811="5)",5,IF(H1811="6)",6,IF(H1811="7)",7,IF(H1811="8)",8,0))))))))</f>
        <v/>
      </c>
      <c r="L1812" s="0">
        <f>IF(H1811="1)",J1811,IF(H1811="2)",J1811,IF(H1811="3)",J1811,IF(H1811="4)",J1811,IF(H1811="5)",J1811,IF(H1811="6)",J1811,IF(H1811="7)",J1811,IF(H1811="8)",J1811,0))))))))</f>
        <v/>
      </c>
    </row>
    <row r="1813">
      <c r="A1813" s="0" t="inlineStr">
        <is>
          <t>New</t>
        </is>
      </c>
      <c r="B1813" s="0" t="inlineStr">
        <is>
          <t>Item</t>
        </is>
      </c>
      <c r="C1813" s="0" t="inlineStr">
        <is>
          <t>Acquired</t>
        </is>
      </c>
      <c r="D1813" s="0" t="inlineStr">
        <is>
          <t>:</t>
        </is>
      </c>
      <c r="E1813" s="0" t="inlineStr">
        <is>
          <t>37.50K</t>
        </is>
      </c>
      <c r="F1813" s="0" t="inlineStr">
        <is>
          <t>(2,</t>
        </is>
      </c>
      <c r="G1813" s="0" t="inlineStr">
        <is>
          <t>17)</t>
        </is>
      </c>
      <c r="K1813" s="0">
        <f>IF(H1812="1)",1,IF(H1812="2)",2,IF(H1812="3)",3,IF(H1812="4)",4,IF(H1812="5)",5,IF(H1812="6)",6,IF(H1812="7)",7,IF(H1812="8)",8,0))))))))</f>
        <v/>
      </c>
      <c r="L1813" s="0">
        <f>IF(H1812="1)",J1812,IF(H1812="2)",J1812,IF(H1812="3)",J1812,IF(H1812="4)",J1812,IF(H1812="5)",J1812,IF(H1812="6)",J1812,IF(H1812="7)",J1812,IF(H1812="8)",J1812,0))))))))</f>
        <v/>
      </c>
    </row>
    <row r="1814">
      <c r="A1814" s="0" t="inlineStr">
        <is>
          <t>New</t>
        </is>
      </c>
      <c r="B1814" s="0" t="inlineStr">
        <is>
          <t>Item</t>
        </is>
      </c>
      <c r="C1814" s="0" t="inlineStr">
        <is>
          <t>Acquired</t>
        </is>
      </c>
      <c r="D1814" s="0" t="inlineStr">
        <is>
          <t>:</t>
        </is>
      </c>
      <c r="E1814" s="0" t="inlineStr">
        <is>
          <t>120.00K</t>
        </is>
      </c>
      <c r="F1814" s="0" t="inlineStr">
        <is>
          <t>(8,</t>
        </is>
      </c>
      <c r="G1814" s="0" t="inlineStr">
        <is>
          <t>19)</t>
        </is>
      </c>
      <c r="K1814" s="0">
        <f>IF(H1813="1)",1,IF(H1813="2)",2,IF(H1813="3)",3,IF(H1813="4)",4,IF(H1813="5)",5,IF(H1813="6)",6,IF(H1813="7)",7,IF(H1813="8)",8,0))))))))</f>
        <v/>
      </c>
      <c r="L1814" s="0">
        <f>IF(H1813="1)",J1813,IF(H1813="2)",J1813,IF(H1813="3)",J1813,IF(H1813="4)",J1813,IF(H1813="5)",J1813,IF(H1813="6)",J1813,IF(H1813="7)",J1813,IF(H1813="8)",J1813,0))))))))</f>
        <v/>
      </c>
    </row>
    <row r="1815">
      <c r="A1815" s="0" t="inlineStr">
        <is>
          <t>New</t>
        </is>
      </c>
      <c r="B1815" s="0" t="inlineStr">
        <is>
          <t>Item</t>
        </is>
      </c>
      <c r="C1815" s="0" t="inlineStr">
        <is>
          <t>Acquired</t>
        </is>
      </c>
      <c r="D1815" s="0" t="inlineStr">
        <is>
          <t>:</t>
        </is>
      </c>
      <c r="E1815" s="0" t="inlineStr">
        <is>
          <t>120.00K</t>
        </is>
      </c>
      <c r="F1815" s="0" t="inlineStr">
        <is>
          <t>(8,</t>
        </is>
      </c>
      <c r="G1815" s="0" t="inlineStr">
        <is>
          <t>1)</t>
        </is>
      </c>
      <c r="K1815" s="0">
        <f>IF(H1814="1)",1,IF(H1814="2)",2,IF(H1814="3)",3,IF(H1814="4)",4,IF(H1814="5)",5,IF(H1814="6)",6,IF(H1814="7)",7,IF(H1814="8)",8,0))))))))</f>
        <v/>
      </c>
      <c r="L1815" s="0">
        <f>IF(H1814="1)",J1814,IF(H1814="2)",J1814,IF(H1814="3)",J1814,IF(H1814="4)",J1814,IF(H1814="5)",J1814,IF(H1814="6)",J1814,IF(H1814="7)",J1814,IF(H1814="8)",J1814,0))))))))</f>
        <v/>
      </c>
    </row>
    <row r="1816">
      <c r="A1816" s="0" t="inlineStr">
        <is>
          <t>New</t>
        </is>
      </c>
      <c r="B1816" s="0" t="inlineStr">
        <is>
          <t>Item</t>
        </is>
      </c>
      <c r="C1816" s="0" t="inlineStr">
        <is>
          <t>Acquired</t>
        </is>
      </c>
      <c r="D1816" s="0" t="inlineStr">
        <is>
          <t>:</t>
        </is>
      </c>
      <c r="E1816" s="0" t="inlineStr">
        <is>
          <t>105.00K</t>
        </is>
      </c>
      <c r="F1816" s="0" t="inlineStr">
        <is>
          <t>(4,</t>
        </is>
      </c>
      <c r="G1816" s="0" t="inlineStr">
        <is>
          <t>10)</t>
        </is>
      </c>
      <c r="K1816" s="0">
        <f>IF(H1815="1)",1,IF(H1815="2)",2,IF(H1815="3)",3,IF(H1815="4)",4,IF(H1815="5)",5,IF(H1815="6)",6,IF(H1815="7)",7,IF(H1815="8)",8,0))))))))</f>
        <v/>
      </c>
      <c r="L1816" s="0">
        <f>IF(H1815="1)",J1815,IF(H1815="2)",J1815,IF(H1815="3)",J1815,IF(H1815="4)",J1815,IF(H1815="5)",J1815,IF(H1815="6)",J1815,IF(H1815="7)",J1815,IF(H1815="8)",J1815,0))))))))</f>
        <v/>
      </c>
    </row>
    <row r="1817">
      <c r="A1817" s="0" t="inlineStr">
        <is>
          <t>New</t>
        </is>
      </c>
      <c r="B1817" s="0" t="inlineStr">
        <is>
          <t>Item</t>
        </is>
      </c>
      <c r="C1817" s="0" t="inlineStr">
        <is>
          <t>Acquired</t>
        </is>
      </c>
      <c r="D1817" s="0" t="inlineStr">
        <is>
          <t>:</t>
        </is>
      </c>
      <c r="E1817" s="0" t="inlineStr">
        <is>
          <t>67.50K</t>
        </is>
      </c>
      <c r="F1817" s="0" t="inlineStr">
        <is>
          <t>(5,</t>
        </is>
      </c>
      <c r="G1817" s="0" t="inlineStr">
        <is>
          <t>7)</t>
        </is>
      </c>
      <c r="K1817" s="0">
        <f>IF(H1816="1)",1,IF(H1816="2)",2,IF(H1816="3)",3,IF(H1816="4)",4,IF(H1816="5)",5,IF(H1816="6)",6,IF(H1816="7)",7,IF(H1816="8)",8,0))))))))</f>
        <v/>
      </c>
      <c r="L1817" s="0">
        <f>IF(H1816="1)",J1816,IF(H1816="2)",J1816,IF(H1816="3)",J1816,IF(H1816="4)",J1816,IF(H1816="5)",J1816,IF(H1816="6)",J1816,IF(H1816="7)",J1816,IF(H1816="8)",J1816,0))))))))</f>
        <v/>
      </c>
    </row>
    <row r="1818">
      <c r="A1818" s="0" t="inlineStr">
        <is>
          <t>New</t>
        </is>
      </c>
      <c r="B1818" s="0" t="inlineStr">
        <is>
          <t>Item</t>
        </is>
      </c>
      <c r="C1818" s="0" t="inlineStr">
        <is>
          <t>Acquired</t>
        </is>
      </c>
      <c r="D1818" s="0" t="inlineStr">
        <is>
          <t>:</t>
        </is>
      </c>
      <c r="E1818" s="0" t="inlineStr">
        <is>
          <t>62.50K</t>
        </is>
      </c>
      <c r="F1818" s="0" t="inlineStr">
        <is>
          <t>(2,</t>
        </is>
      </c>
      <c r="G1818" s="0" t="inlineStr">
        <is>
          <t>25)</t>
        </is>
      </c>
      <c r="K1818" s="0">
        <f>IF(H1817="1)",1,IF(H1817="2)",2,IF(H1817="3)",3,IF(H1817="4)",4,IF(H1817="5)",5,IF(H1817="6)",6,IF(H1817="7)",7,IF(H1817="8)",8,0))))))))</f>
        <v/>
      </c>
      <c r="L1818" s="0">
        <f>IF(H1817="1)",J1817,IF(H1817="2)",J1817,IF(H1817="3)",J1817,IF(H1817="4)",J1817,IF(H1817="5)",J1817,IF(H1817="6)",J1817,IF(H1817="7)",J1817,IF(H1817="8)",J1817,0))))))))</f>
        <v/>
      </c>
    </row>
    <row r="1819">
      <c r="A1819" s="0" t="inlineStr">
        <is>
          <t>Item</t>
        </is>
      </c>
      <c r="B1819" s="0" t="inlineStr">
        <is>
          <t>ReSelect</t>
        </is>
      </c>
      <c r="C1819" s="0" t="inlineStr">
        <is>
          <t>Failed</t>
        </is>
      </c>
      <c r="D1819" s="0" t="inlineStr">
        <is>
          <t>:</t>
        </is>
      </c>
      <c r="E1819" s="0" t="inlineStr">
        <is>
          <t>Attempt</t>
        </is>
      </c>
      <c r="F1819" s="0" t="inlineStr">
        <is>
          <t>Count</t>
        </is>
      </c>
      <c r="G1819" s="0" t="inlineStr">
        <is>
          <t>-</t>
        </is>
      </c>
      <c r="H1819" s="0" t="n">
        <v>3</v>
      </c>
      <c r="K1819" s="0">
        <f>IF(H1818="1)",1,IF(H1818="2)",2,IF(H1818="3)",3,IF(H1818="4)",4,IF(H1818="5)",5,IF(H1818="6)",6,IF(H1818="7)",7,IF(H1818="8)",8,0))))))))</f>
        <v/>
      </c>
      <c r="L1819" s="0">
        <f>IF(H1818="1)",J1818,IF(H1818="2)",J1818,IF(H1818="3)",J1818,IF(H1818="4)",J1818,IF(H1818="5)",J1818,IF(H1818="6)",J1818,IF(H1818="7)",J1818,IF(H1818="8)",J1818,0))))))))</f>
        <v/>
      </c>
    </row>
    <row r="1820">
      <c r="A1820" s="0" t="inlineStr">
        <is>
          <t>New</t>
        </is>
      </c>
      <c r="B1820" s="0" t="inlineStr">
        <is>
          <t>Item</t>
        </is>
      </c>
      <c r="C1820" s="0" t="inlineStr">
        <is>
          <t>Acquired</t>
        </is>
      </c>
      <c r="D1820" s="0" t="inlineStr">
        <is>
          <t>:</t>
        </is>
      </c>
      <c r="E1820" s="0" t="inlineStr">
        <is>
          <t>67.50K</t>
        </is>
      </c>
      <c r="F1820" s="0" t="inlineStr">
        <is>
          <t>(5,</t>
        </is>
      </c>
      <c r="G1820" s="0" t="inlineStr">
        <is>
          <t>8)</t>
        </is>
      </c>
      <c r="K1820" s="0">
        <f>IF(H1819="1)",1,IF(H1819="2)",2,IF(H1819="3)",3,IF(H1819="4)",4,IF(H1819="5)",5,IF(H1819="6)",6,IF(H1819="7)",7,IF(H1819="8)",8,0))))))))</f>
        <v/>
      </c>
      <c r="L1820" s="0">
        <f>IF(H1819="1)",J1819,IF(H1819="2)",J1819,IF(H1819="3)",J1819,IF(H1819="4)",J1819,IF(H1819="5)",J1819,IF(H1819="6)",J1819,IF(H1819="7)",J1819,IF(H1819="8)",J1819,0))))))))</f>
        <v/>
      </c>
    </row>
    <row r="1821">
      <c r="A1821" s="0" t="inlineStr">
        <is>
          <t>New</t>
        </is>
      </c>
      <c r="B1821" s="0" t="inlineStr">
        <is>
          <t>Item</t>
        </is>
      </c>
      <c r="C1821" s="0" t="inlineStr">
        <is>
          <t>Acquired</t>
        </is>
      </c>
      <c r="D1821" s="0" t="inlineStr">
        <is>
          <t>:</t>
        </is>
      </c>
      <c r="E1821" s="0" t="inlineStr">
        <is>
          <t>Mini</t>
        </is>
      </c>
      <c r="F1821" s="0" t="inlineStr">
        <is>
          <t>(5,</t>
        </is>
      </c>
      <c r="G1821" s="0" t="inlineStr">
        <is>
          <t>25)</t>
        </is>
      </c>
      <c r="K1821" s="0">
        <f>IF(H1820="1)",1,IF(H1820="2)",2,IF(H1820="3)",3,IF(H1820="4)",4,IF(H1820="5)",5,IF(H1820="6)",6,IF(H1820="7)",7,IF(H1820="8)",8,0))))))))</f>
        <v/>
      </c>
      <c r="L1821" s="0">
        <f>IF(H1820="1)",J1820,IF(H1820="2)",J1820,IF(H1820="3)",J1820,IF(H1820="4)",J1820,IF(H1820="5)",J1820,IF(H1820="6)",J1820,IF(H1820="7)",J1820,IF(H1820="8)",J1820,0))))))))</f>
        <v/>
      </c>
    </row>
    <row r="1822">
      <c r="A1822" s="0" t="inlineStr">
        <is>
          <t>Item</t>
        </is>
      </c>
      <c r="B1822" s="0" t="inlineStr">
        <is>
          <t>ReSelect</t>
        </is>
      </c>
      <c r="C1822" s="0" t="inlineStr">
        <is>
          <t>Failed</t>
        </is>
      </c>
      <c r="D1822" s="0" t="inlineStr">
        <is>
          <t>:</t>
        </is>
      </c>
      <c r="E1822" s="0" t="inlineStr">
        <is>
          <t>Attempt</t>
        </is>
      </c>
      <c r="F1822" s="0" t="inlineStr">
        <is>
          <t>Count</t>
        </is>
      </c>
      <c r="G1822" s="0" t="inlineStr">
        <is>
          <t>-</t>
        </is>
      </c>
      <c r="H1822" s="0" t="n">
        <v>3</v>
      </c>
      <c r="K1822" s="0">
        <f>IF(H1821="1)",1,IF(H1821="2)",2,IF(H1821="3)",3,IF(H1821="4)",4,IF(H1821="5)",5,IF(H1821="6)",6,IF(H1821="7)",7,IF(H1821="8)",8,0))))))))</f>
        <v/>
      </c>
      <c r="L1822" s="0">
        <f>IF(H1821="1)",J1821,IF(H1821="2)",J1821,IF(H1821="3)",J1821,IF(H1821="4)",J1821,IF(H1821="5)",J1821,IF(H1821="6)",J1821,IF(H1821="7)",J1821,IF(H1821="8)",J1821,0))))))))</f>
        <v/>
      </c>
    </row>
    <row r="1823">
      <c r="A1823" s="0" t="inlineStr">
        <is>
          <t>New</t>
        </is>
      </c>
      <c r="B1823" s="0" t="inlineStr">
        <is>
          <t>Item</t>
        </is>
      </c>
      <c r="C1823" s="0" t="inlineStr">
        <is>
          <t>Acquired</t>
        </is>
      </c>
      <c r="D1823" s="0" t="inlineStr">
        <is>
          <t>:</t>
        </is>
      </c>
      <c r="E1823" s="0" t="inlineStr">
        <is>
          <t>67.50K</t>
        </is>
      </c>
      <c r="F1823" s="0" t="inlineStr">
        <is>
          <t>(5,</t>
        </is>
      </c>
      <c r="G1823" s="0" t="inlineStr">
        <is>
          <t>9)</t>
        </is>
      </c>
      <c r="K1823" s="0">
        <f>IF(H1822="1)",1,IF(H1822="2)",2,IF(H1822="3)",3,IF(H1822="4)",4,IF(H1822="5)",5,IF(H1822="6)",6,IF(H1822="7)",7,IF(H1822="8)",8,0))))))))</f>
        <v/>
      </c>
      <c r="L1823" s="0">
        <f>IF(H1822="1)",J1822,IF(H1822="2)",J1822,IF(H1822="3)",J1822,IF(H1822="4)",J1822,IF(H1822="5)",J1822,IF(H1822="6)",J1822,IF(H1822="7)",J1822,IF(H1822="8)",J1822,0))))))))</f>
        <v/>
      </c>
    </row>
    <row r="1824">
      <c r="A1824" s="0" t="inlineStr">
        <is>
          <t>New</t>
        </is>
      </c>
      <c r="B1824" s="0" t="inlineStr">
        <is>
          <t>Item</t>
        </is>
      </c>
      <c r="C1824" s="0" t="inlineStr">
        <is>
          <t>Acquired</t>
        </is>
      </c>
      <c r="D1824" s="0" t="inlineStr">
        <is>
          <t>:</t>
        </is>
      </c>
      <c r="E1824" s="0" t="inlineStr">
        <is>
          <t>90.00K</t>
        </is>
      </c>
      <c r="F1824" s="0" t="inlineStr">
        <is>
          <t>(7,</t>
        </is>
      </c>
      <c r="G1824" s="0" t="inlineStr">
        <is>
          <t>19)</t>
        </is>
      </c>
      <c r="K1824" s="0">
        <f>IF(H1823="1)",1,IF(H1823="2)",2,IF(H1823="3)",3,IF(H1823="4)",4,IF(H1823="5)",5,IF(H1823="6)",6,IF(H1823="7)",7,IF(H1823="8)",8,0))))))))</f>
        <v/>
      </c>
      <c r="L1824" s="0">
        <f>IF(H1823="1)",J1823,IF(H1823="2)",J1823,IF(H1823="3)",J1823,IF(H1823="4)",J1823,IF(H1823="5)",J1823,IF(H1823="6)",J1823,IF(H1823="7)",J1823,IF(H1823="8)",J1823,0))))))))</f>
        <v/>
      </c>
    </row>
    <row r="1825">
      <c r="A1825" s="0" t="inlineStr">
        <is>
          <t>New</t>
        </is>
      </c>
      <c r="B1825" s="0" t="inlineStr">
        <is>
          <t>Item</t>
        </is>
      </c>
      <c r="C1825" s="0" t="inlineStr">
        <is>
          <t>Acquired</t>
        </is>
      </c>
      <c r="D1825" s="0" t="inlineStr">
        <is>
          <t>:</t>
        </is>
      </c>
      <c r="E1825" s="0" t="inlineStr">
        <is>
          <t>Major</t>
        </is>
      </c>
      <c r="F1825" s="0" t="inlineStr">
        <is>
          <t>(3,</t>
        </is>
      </c>
      <c r="G1825" s="0" t="inlineStr">
        <is>
          <t>20)</t>
        </is>
      </c>
      <c r="K1825" s="0">
        <f>IF(H1824="1)",1,IF(H1824="2)",2,IF(H1824="3)",3,IF(H1824="4)",4,IF(H1824="5)",5,IF(H1824="6)",6,IF(H1824="7)",7,IF(H1824="8)",8,0))))))))</f>
        <v/>
      </c>
      <c r="L1825" s="0">
        <f>IF(H1824="1)",J1824,IF(H1824="2)",J1824,IF(H1824="3)",J1824,IF(H1824="4)",J1824,IF(H1824="5)",J1824,IF(H1824="6)",J1824,IF(H1824="7)",J1824,IF(H1824="8)",J1824,0))))))))</f>
        <v/>
      </c>
    </row>
    <row r="1826">
      <c r="A1826" s="0" t="inlineStr">
        <is>
          <t>New</t>
        </is>
      </c>
      <c r="B1826" s="0" t="inlineStr">
        <is>
          <t>Item</t>
        </is>
      </c>
      <c r="C1826" s="0" t="inlineStr">
        <is>
          <t>Acquired</t>
        </is>
      </c>
      <c r="D1826" s="0" t="inlineStr">
        <is>
          <t>:</t>
        </is>
      </c>
      <c r="E1826" s="0" t="inlineStr">
        <is>
          <t>200.00K</t>
        </is>
      </c>
      <c r="F1826" s="0" t="inlineStr">
        <is>
          <t>(8,</t>
        </is>
      </c>
      <c r="G1826" s="0" t="inlineStr">
        <is>
          <t>25)</t>
        </is>
      </c>
      <c r="K1826" s="0">
        <f>IF(H1825="1)",1,IF(H1825="2)",2,IF(H1825="3)",3,IF(H1825="4)",4,IF(H1825="5)",5,IF(H1825="6)",6,IF(H1825="7)",7,IF(H1825="8)",8,0))))))))</f>
        <v/>
      </c>
      <c r="L1826" s="0">
        <f>IF(H1825="1)",J1825,IF(H1825="2)",J1825,IF(H1825="3)",J1825,IF(H1825="4)",J1825,IF(H1825="5)",J1825,IF(H1825="6)",J1825,IF(H1825="7)",J1825,IF(H1825="8)",J1825,0))))))))</f>
        <v/>
      </c>
    </row>
    <row r="1827">
      <c r="A1827" s="0" t="inlineStr">
        <is>
          <t>New</t>
        </is>
      </c>
      <c r="B1827" s="0" t="inlineStr">
        <is>
          <t>Item</t>
        </is>
      </c>
      <c r="C1827" s="0" t="inlineStr">
        <is>
          <t>Acquired</t>
        </is>
      </c>
      <c r="D1827" s="0" t="inlineStr">
        <is>
          <t>:</t>
        </is>
      </c>
      <c r="E1827" s="0" t="inlineStr">
        <is>
          <t>67.50K</t>
        </is>
      </c>
      <c r="F1827" s="0" t="inlineStr">
        <is>
          <t>(5,</t>
        </is>
      </c>
      <c r="G1827" s="0" t="inlineStr">
        <is>
          <t>2)</t>
        </is>
      </c>
      <c r="K1827" s="0">
        <f>IF(H1826="1)",1,IF(H1826="2)",2,IF(H1826="3)",3,IF(H1826="4)",4,IF(H1826="5)",5,IF(H1826="6)",6,IF(H1826="7)",7,IF(H1826="8)",8,0))))))))</f>
        <v/>
      </c>
      <c r="L1827" s="0">
        <f>IF(H1826="1)",J1826,IF(H1826="2)",J1826,IF(H1826="3)",J1826,IF(H1826="4)",J1826,IF(H1826="5)",J1826,IF(H1826="6)",J1826,IF(H1826="7)",J1826,IF(H1826="8)",J1826,0))))))))</f>
        <v/>
      </c>
    </row>
    <row r="1828">
      <c r="A1828" s="0" t="inlineStr">
        <is>
          <t>New</t>
        </is>
      </c>
      <c r="B1828" s="0" t="inlineStr">
        <is>
          <t>Item</t>
        </is>
      </c>
      <c r="C1828" s="0" t="inlineStr">
        <is>
          <t>Acquired</t>
        </is>
      </c>
      <c r="D1828" s="0" t="inlineStr">
        <is>
          <t>:</t>
        </is>
      </c>
      <c r="E1828" s="0" t="inlineStr">
        <is>
          <t>120.00K</t>
        </is>
      </c>
      <c r="F1828" s="0" t="inlineStr">
        <is>
          <t>(8,</t>
        </is>
      </c>
      <c r="G1828" s="0" t="inlineStr">
        <is>
          <t>21)</t>
        </is>
      </c>
      <c r="K1828" s="0">
        <f>IF(H1827="1)",1,IF(H1827="2)",2,IF(H1827="3)",3,IF(H1827="4)",4,IF(H1827="5)",5,IF(H1827="6)",6,IF(H1827="7)",7,IF(H1827="8)",8,0))))))))</f>
        <v/>
      </c>
      <c r="L1828" s="0">
        <f>IF(H1827="1)",J1827,IF(H1827="2)",J1827,IF(H1827="3)",J1827,IF(H1827="4)",J1827,IF(H1827="5)",J1827,IF(H1827="6)",J1827,IF(H1827="7)",J1827,IF(H1827="8)",J1827,0))))))))</f>
        <v/>
      </c>
    </row>
    <row r="1829">
      <c r="A1829" s="0" t="inlineStr">
        <is>
          <t>New</t>
        </is>
      </c>
      <c r="B1829" s="0" t="inlineStr">
        <is>
          <t>Item</t>
        </is>
      </c>
      <c r="C1829" s="0" t="inlineStr">
        <is>
          <t>Acquired</t>
        </is>
      </c>
      <c r="D1829" s="0" t="inlineStr">
        <is>
          <t>:</t>
        </is>
      </c>
      <c r="E1829" s="0" t="inlineStr">
        <is>
          <t>45.00K</t>
        </is>
      </c>
      <c r="F1829" s="0" t="inlineStr">
        <is>
          <t>(3,</t>
        </is>
      </c>
      <c r="G1829" s="0" t="inlineStr">
        <is>
          <t>7)</t>
        </is>
      </c>
      <c r="K1829" s="0">
        <f>IF(H1828="1)",1,IF(H1828="2)",2,IF(H1828="3)",3,IF(H1828="4)",4,IF(H1828="5)",5,IF(H1828="6)",6,IF(H1828="7)",7,IF(H1828="8)",8,0))))))))</f>
        <v/>
      </c>
      <c r="L1829" s="0">
        <f>IF(H1828="1)",J1828,IF(H1828="2)",J1828,IF(H1828="3)",J1828,IF(H1828="4)",J1828,IF(H1828="5)",J1828,IF(H1828="6)",J1828,IF(H1828="7)",J1828,IF(H1828="8)",J1828,0))))))))</f>
        <v/>
      </c>
    </row>
    <row r="1830">
      <c r="A1830" s="0" t="inlineStr">
        <is>
          <t>Line</t>
        </is>
      </c>
      <c r="B1830" s="0" t="inlineStr">
        <is>
          <t>Prize</t>
        </is>
      </c>
      <c r="C1830" s="0" t="inlineStr">
        <is>
          <t>Acquired</t>
        </is>
      </c>
      <c r="D1830" s="0" t="inlineStr">
        <is>
          <t>:</t>
        </is>
      </c>
      <c r="E1830" s="0" t="inlineStr">
        <is>
          <t>870.00K</t>
        </is>
      </c>
      <c r="F1830" s="0" t="inlineStr">
        <is>
          <t>(Stage</t>
        </is>
      </c>
      <c r="G1830" s="0" t="inlineStr">
        <is>
          <t>:</t>
        </is>
      </c>
      <c r="H1830" s="0" t="inlineStr">
        <is>
          <t>3)</t>
        </is>
      </c>
      <c r="I1830" s="0" t="inlineStr">
        <is>
          <t>-</t>
        </is>
      </c>
      <c r="J1830" s="0" t="n">
        <v>870000</v>
      </c>
      <c r="K1830" s="0">
        <f>IF(H1829="1)",1,IF(H1829="2)",2,IF(H1829="3)",3,IF(H1829="4)",4,IF(H1829="5)",5,IF(H1829="6)",6,IF(H1829="7)",7,IF(H1829="8)",8,0))))))))</f>
        <v/>
      </c>
      <c r="L1830" s="0">
        <f>IF(H1829="1)",J1829,IF(H1829="2)",J1829,IF(H1829="3)",J1829,IF(H1829="4)",J1829,IF(H1829="5)",J1829,IF(H1829="6)",J1829,IF(H1829="7)",J1829,IF(H1829="8)",J1829,0))))))))</f>
        <v/>
      </c>
    </row>
    <row r="1831">
      <c r="A1831" s="0" t="inlineStr">
        <is>
          <t>Clear</t>
        </is>
      </c>
      <c r="B1831" s="0" t="inlineStr">
        <is>
          <t>Gem</t>
        </is>
      </c>
      <c r="C1831" s="0" t="inlineStr">
        <is>
          <t>Acquired</t>
        </is>
      </c>
      <c r="D1831" s="0" t="inlineStr">
        <is>
          <t>:</t>
        </is>
      </c>
      <c r="E1831" s="0" t="n">
        <v>11000</v>
      </c>
      <c r="F1831" s="0" t="inlineStr">
        <is>
          <t>-&gt;</t>
        </is>
      </c>
      <c r="G1831" s="0" t="n">
        <v>11100</v>
      </c>
      <c r="H1831" s="0" t="inlineStr">
        <is>
          <t>(Stage</t>
        </is>
      </c>
      <c r="I1831" s="0" t="inlineStr">
        <is>
          <t>:</t>
        </is>
      </c>
      <c r="J1831" s="0" t="inlineStr">
        <is>
          <t>3)</t>
        </is>
      </c>
      <c r="K1831" s="0">
        <f>IF(H1830="1)",1,IF(H1830="2)",2,IF(H1830="3)",3,IF(H1830="4)",4,IF(H1830="5)",5,IF(H1830="6)",6,IF(H1830="7)",7,IF(H1830="8)",8,0))))))))</f>
        <v/>
      </c>
      <c r="L1831" s="0">
        <f>IF(H1830="1)",J1830,IF(H1830="2)",J1830,IF(H1830="3)",J1830,IF(H1830="4)",J1830,IF(H1830="5)",J1830,IF(H1830="6)",J1830,IF(H1830="7)",J1830,IF(H1830="8)",J1830,0))))))))</f>
        <v/>
      </c>
    </row>
    <row r="1832">
      <c r="A1832" s="0" t="inlineStr">
        <is>
          <t>New</t>
        </is>
      </c>
      <c r="B1832" s="0" t="inlineStr">
        <is>
          <t>Item</t>
        </is>
      </c>
      <c r="C1832" s="0" t="inlineStr">
        <is>
          <t>Acquired</t>
        </is>
      </c>
      <c r="D1832" s="0" t="inlineStr">
        <is>
          <t>:</t>
        </is>
      </c>
      <c r="E1832" s="0" t="inlineStr">
        <is>
          <t>280.00K</t>
        </is>
      </c>
      <c r="F1832" s="0" t="inlineStr">
        <is>
          <t>(8,</t>
        </is>
      </c>
      <c r="G1832" s="0" t="inlineStr">
        <is>
          <t>3)</t>
        </is>
      </c>
      <c r="K1832" s="0">
        <f>IF(H1831="1)",1,IF(H1831="2)",2,IF(H1831="3)",3,IF(H1831="4)",4,IF(H1831="5)",5,IF(H1831="6)",6,IF(H1831="7)",7,IF(H1831="8)",8,0))))))))</f>
        <v/>
      </c>
      <c r="L1832" s="0">
        <f>IF(H1831="1)",J1831,IF(H1831="2)",J1831,IF(H1831="3)",J1831,IF(H1831="4)",J1831,IF(H1831="5)",J1831,IF(H1831="6)",J1831,IF(H1831="7)",J1831,IF(H1831="8)",J1831,0))))))))</f>
        <v/>
      </c>
    </row>
    <row r="1833">
      <c r="A1833" s="0" t="inlineStr">
        <is>
          <t>New</t>
        </is>
      </c>
      <c r="B1833" s="0" t="inlineStr">
        <is>
          <t>Item</t>
        </is>
      </c>
      <c r="C1833" s="0" t="inlineStr">
        <is>
          <t>Acquired</t>
        </is>
      </c>
      <c r="D1833" s="0" t="inlineStr">
        <is>
          <t>:</t>
        </is>
      </c>
      <c r="E1833" s="0" t="inlineStr">
        <is>
          <t>75.00K</t>
        </is>
      </c>
      <c r="F1833" s="0" t="inlineStr">
        <is>
          <t>(3,</t>
        </is>
      </c>
      <c r="G1833" s="0" t="inlineStr">
        <is>
          <t>2)</t>
        </is>
      </c>
      <c r="K1833" s="0">
        <f>IF(H1832="1)",1,IF(H1832="2)",2,IF(H1832="3)",3,IF(H1832="4)",4,IF(H1832="5)",5,IF(H1832="6)",6,IF(H1832="7)",7,IF(H1832="8)",8,0))))))))</f>
        <v/>
      </c>
      <c r="L1833" s="0">
        <f>IF(H1832="1)",J1832,IF(H1832="2)",J1832,IF(H1832="3)",J1832,IF(H1832="4)",J1832,IF(H1832="5)",J1832,IF(H1832="6)",J1832,IF(H1832="7)",J1832,IF(H1832="8)",J1832,0))))))))</f>
        <v/>
      </c>
    </row>
    <row r="1834">
      <c r="A1834" s="0" t="inlineStr">
        <is>
          <t>New</t>
        </is>
      </c>
      <c r="B1834" s="0" t="inlineStr">
        <is>
          <t>Item</t>
        </is>
      </c>
      <c r="C1834" s="0" t="inlineStr">
        <is>
          <t>Acquired</t>
        </is>
      </c>
      <c r="D1834" s="0" t="inlineStr">
        <is>
          <t>:</t>
        </is>
      </c>
      <c r="E1834" s="0" t="inlineStr">
        <is>
          <t>37.50K</t>
        </is>
      </c>
      <c r="F1834" s="0" t="inlineStr">
        <is>
          <t>(2,</t>
        </is>
      </c>
      <c r="G1834" s="0" t="inlineStr">
        <is>
          <t>19)</t>
        </is>
      </c>
      <c r="K1834" s="0">
        <f>IF(H1833="1)",1,IF(H1833="2)",2,IF(H1833="3)",3,IF(H1833="4)",4,IF(H1833="5)",5,IF(H1833="6)",6,IF(H1833="7)",7,IF(H1833="8)",8,0))))))))</f>
        <v/>
      </c>
      <c r="L1834" s="0">
        <f>IF(H1833="1)",J1833,IF(H1833="2)",J1833,IF(H1833="3)",J1833,IF(H1833="4)",J1833,IF(H1833="5)",J1833,IF(H1833="6)",J1833,IF(H1833="7)",J1833,IF(H1833="8)",J1833,0))))))))</f>
        <v/>
      </c>
    </row>
    <row r="1835">
      <c r="A1835" s="0" t="inlineStr">
        <is>
          <t>New</t>
        </is>
      </c>
      <c r="B1835" s="0" t="inlineStr">
        <is>
          <t>Item</t>
        </is>
      </c>
      <c r="C1835" s="0" t="inlineStr">
        <is>
          <t>Acquired</t>
        </is>
      </c>
      <c r="D1835" s="0" t="inlineStr">
        <is>
          <t>:</t>
        </is>
      </c>
      <c r="E1835" s="0" t="inlineStr">
        <is>
          <t>75.00K</t>
        </is>
      </c>
      <c r="F1835" s="0" t="inlineStr">
        <is>
          <t>(6,</t>
        </is>
      </c>
      <c r="G1835" s="0" t="inlineStr">
        <is>
          <t>19)</t>
        </is>
      </c>
      <c r="K1835" s="0">
        <f>IF(H1834="1)",1,IF(H1834="2)",2,IF(H1834="3)",3,IF(H1834="4)",4,IF(H1834="5)",5,IF(H1834="6)",6,IF(H1834="7)",7,IF(H1834="8)",8,0))))))))</f>
        <v/>
      </c>
      <c r="L1835" s="0">
        <f>IF(H1834="1)",J1834,IF(H1834="2)",J1834,IF(H1834="3)",J1834,IF(H1834="4)",J1834,IF(H1834="5)",J1834,IF(H1834="6)",J1834,IF(H1834="7)",J1834,IF(H1834="8)",J1834,0))))))))</f>
        <v/>
      </c>
    </row>
    <row r="1836">
      <c r="A1836" s="0" t="inlineStr">
        <is>
          <t>New</t>
        </is>
      </c>
      <c r="B1836" s="0" t="inlineStr">
        <is>
          <t>Item</t>
        </is>
      </c>
      <c r="C1836" s="0" t="inlineStr">
        <is>
          <t>Acquired</t>
        </is>
      </c>
      <c r="D1836" s="0" t="inlineStr">
        <is>
          <t>:</t>
        </is>
      </c>
      <c r="E1836" s="0" t="inlineStr">
        <is>
          <t>Mini</t>
        </is>
      </c>
      <c r="F1836" s="0" t="inlineStr">
        <is>
          <t>(7,</t>
        </is>
      </c>
      <c r="G1836" s="0" t="inlineStr">
        <is>
          <t>15)</t>
        </is>
      </c>
      <c r="K1836" s="0">
        <f>IF(H1835="1)",1,IF(H1835="2)",2,IF(H1835="3)",3,IF(H1835="4)",4,IF(H1835="5)",5,IF(H1835="6)",6,IF(H1835="7)",7,IF(H1835="8)",8,0))))))))</f>
        <v/>
      </c>
      <c r="L1836" s="0">
        <f>IF(H1835="1)",J1835,IF(H1835="2)",J1835,IF(H1835="3)",J1835,IF(H1835="4)",J1835,IF(H1835="5)",J1835,IF(H1835="6)",J1835,IF(H1835="7)",J1835,IF(H1835="8)",J1835,0))))))))</f>
        <v/>
      </c>
    </row>
    <row r="1837">
      <c r="A1837" s="0" t="inlineStr">
        <is>
          <t>New</t>
        </is>
      </c>
      <c r="B1837" s="0" t="inlineStr">
        <is>
          <t>Item</t>
        </is>
      </c>
      <c r="C1837" s="0" t="inlineStr">
        <is>
          <t>Acquired</t>
        </is>
      </c>
      <c r="D1837" s="0" t="inlineStr">
        <is>
          <t>:</t>
        </is>
      </c>
      <c r="E1837" s="0" t="inlineStr">
        <is>
          <t>105.00K</t>
        </is>
      </c>
      <c r="F1837" s="0" t="inlineStr">
        <is>
          <t>(3,</t>
        </is>
      </c>
      <c r="G1837" s="0" t="inlineStr">
        <is>
          <t>23)</t>
        </is>
      </c>
      <c r="K1837" s="0">
        <f>IF(H1836="1)",1,IF(H1836="2)",2,IF(H1836="3)",3,IF(H1836="4)",4,IF(H1836="5)",5,IF(H1836="6)",6,IF(H1836="7)",7,IF(H1836="8)",8,0))))))))</f>
        <v/>
      </c>
      <c r="L1837" s="0">
        <f>IF(H1836="1)",J1836,IF(H1836="2)",J1836,IF(H1836="3)",J1836,IF(H1836="4)",J1836,IF(H1836="5)",J1836,IF(H1836="6)",J1836,IF(H1836="7)",J1836,IF(H1836="8)",J1836,0))))))))</f>
        <v/>
      </c>
    </row>
    <row r="1838">
      <c r="A1838" s="0" t="inlineStr">
        <is>
          <t>New</t>
        </is>
      </c>
      <c r="B1838" s="0" t="inlineStr">
        <is>
          <t>Item</t>
        </is>
      </c>
      <c r="C1838" s="0" t="inlineStr">
        <is>
          <t>Acquired</t>
        </is>
      </c>
      <c r="D1838" s="0" t="inlineStr">
        <is>
          <t>:</t>
        </is>
      </c>
      <c r="E1838" s="0" t="inlineStr">
        <is>
          <t>30.00K</t>
        </is>
      </c>
      <c r="F1838" s="0" t="inlineStr">
        <is>
          <t>(1,</t>
        </is>
      </c>
      <c r="G1838" s="0" t="inlineStr">
        <is>
          <t>16)</t>
        </is>
      </c>
      <c r="K1838" s="0">
        <f>IF(H1837="1)",1,IF(H1837="2)",2,IF(H1837="3)",3,IF(H1837="4)",4,IF(H1837="5)",5,IF(H1837="6)",6,IF(H1837="7)",7,IF(H1837="8)",8,0))))))))</f>
        <v/>
      </c>
      <c r="L1838" s="0">
        <f>IF(H1837="1)",J1837,IF(H1837="2)",J1837,IF(H1837="3)",J1837,IF(H1837="4)",J1837,IF(H1837="5)",J1837,IF(H1837="6)",J1837,IF(H1837="7)",J1837,IF(H1837="8)",J1837,0))))))))</f>
        <v/>
      </c>
    </row>
    <row r="1839">
      <c r="A1839" s="0" t="inlineStr">
        <is>
          <t>New</t>
        </is>
      </c>
      <c r="B1839" s="0" t="inlineStr">
        <is>
          <t>Item</t>
        </is>
      </c>
      <c r="C1839" s="0" t="inlineStr">
        <is>
          <t>Acquired</t>
        </is>
      </c>
      <c r="D1839" s="0" t="inlineStr">
        <is>
          <t>:</t>
        </is>
      </c>
      <c r="E1839" s="0" t="inlineStr">
        <is>
          <t>67.50K</t>
        </is>
      </c>
      <c r="F1839" s="0" t="inlineStr">
        <is>
          <t>(5,</t>
        </is>
      </c>
      <c r="G1839" s="0" t="inlineStr">
        <is>
          <t>18)</t>
        </is>
      </c>
      <c r="K1839" s="0">
        <f>IF(H1838="1)",1,IF(H1838="2)",2,IF(H1838="3)",3,IF(H1838="4)",4,IF(H1838="5)",5,IF(H1838="6)",6,IF(H1838="7)",7,IF(H1838="8)",8,0))))))))</f>
        <v/>
      </c>
      <c r="L1839" s="0">
        <f>IF(H1838="1)",J1838,IF(H1838="2)",J1838,IF(H1838="3)",J1838,IF(H1838="4)",J1838,IF(H1838="5)",J1838,IF(H1838="6)",J1838,IF(H1838="7)",J1838,IF(H1838="8)",J1838,0))))))))</f>
        <v/>
      </c>
    </row>
    <row r="1840">
      <c r="A1840" s="0" t="inlineStr">
        <is>
          <t>New</t>
        </is>
      </c>
      <c r="B1840" s="0" t="inlineStr">
        <is>
          <t>Item</t>
        </is>
      </c>
      <c r="C1840" s="0" t="inlineStr">
        <is>
          <t>Acquired</t>
        </is>
      </c>
      <c r="D1840" s="0" t="inlineStr">
        <is>
          <t>:</t>
        </is>
      </c>
      <c r="E1840" s="0" t="inlineStr">
        <is>
          <t>120.00K</t>
        </is>
      </c>
      <c r="F1840" s="0" t="inlineStr">
        <is>
          <t>(8,</t>
        </is>
      </c>
      <c r="G1840" s="0" t="inlineStr">
        <is>
          <t>15)</t>
        </is>
      </c>
      <c r="K1840" s="0">
        <f>IF(H1839="1)",1,IF(H1839="2)",2,IF(H1839="3)",3,IF(H1839="4)",4,IF(H1839="5)",5,IF(H1839="6)",6,IF(H1839="7)",7,IF(H1839="8)",8,0))))))))</f>
        <v/>
      </c>
      <c r="L1840" s="0">
        <f>IF(H1839="1)",J1839,IF(H1839="2)",J1839,IF(H1839="3)",J1839,IF(H1839="4)",J1839,IF(H1839="5)",J1839,IF(H1839="6)",J1839,IF(H1839="7)",J1839,IF(H1839="8)",J1839,0))))))))</f>
        <v/>
      </c>
    </row>
    <row r="1841">
      <c r="A1841" s="0" t="inlineStr">
        <is>
          <t>New</t>
        </is>
      </c>
      <c r="B1841" s="0" t="inlineStr">
        <is>
          <t>Item</t>
        </is>
      </c>
      <c r="C1841" s="0" t="inlineStr">
        <is>
          <t>Acquired</t>
        </is>
      </c>
      <c r="D1841" s="0" t="inlineStr">
        <is>
          <t>:</t>
        </is>
      </c>
      <c r="E1841" s="0" t="inlineStr">
        <is>
          <t>280.00K</t>
        </is>
      </c>
      <c r="F1841" s="0" t="inlineStr">
        <is>
          <t>(8,</t>
        </is>
      </c>
      <c r="G1841" s="0" t="inlineStr">
        <is>
          <t>2)</t>
        </is>
      </c>
      <c r="K1841" s="0">
        <f>IF(H1840="1)",1,IF(H1840="2)",2,IF(H1840="3)",3,IF(H1840="4)",4,IF(H1840="5)",5,IF(H1840="6)",6,IF(H1840="7)",7,IF(H1840="8)",8,0))))))))</f>
        <v/>
      </c>
      <c r="L1841" s="0">
        <f>IF(H1840="1)",J1840,IF(H1840="2)",J1840,IF(H1840="3)",J1840,IF(H1840="4)",J1840,IF(H1840="5)",J1840,IF(H1840="6)",J1840,IF(H1840="7)",J1840,IF(H1840="8)",J1840,0))))))))</f>
        <v/>
      </c>
    </row>
    <row r="1842">
      <c r="A1842" s="0" t="inlineStr">
        <is>
          <t>New</t>
        </is>
      </c>
      <c r="B1842" s="0" t="inlineStr">
        <is>
          <t>Item</t>
        </is>
      </c>
      <c r="C1842" s="0" t="inlineStr">
        <is>
          <t>Acquired</t>
        </is>
      </c>
      <c r="D1842" s="0" t="inlineStr">
        <is>
          <t>:</t>
        </is>
      </c>
      <c r="E1842" s="0" t="inlineStr">
        <is>
          <t>150.00K</t>
        </is>
      </c>
      <c r="F1842" s="0" t="inlineStr">
        <is>
          <t>(7,</t>
        </is>
      </c>
      <c r="G1842" s="0" t="inlineStr">
        <is>
          <t>22)</t>
        </is>
      </c>
      <c r="K1842" s="0">
        <f>IF(H1841="1)",1,IF(H1841="2)",2,IF(H1841="3)",3,IF(H1841="4)",4,IF(H1841="5)",5,IF(H1841="6)",6,IF(H1841="7)",7,IF(H1841="8)",8,0))))))))</f>
        <v/>
      </c>
      <c r="L1842" s="0">
        <f>IF(H1841="1)",J1841,IF(H1841="2)",J1841,IF(H1841="3)",J1841,IF(H1841="4)",J1841,IF(H1841="5)",J1841,IF(H1841="6)",J1841,IF(H1841="7)",J1841,IF(H1841="8)",J1841,0))))))))</f>
        <v/>
      </c>
    </row>
    <row r="1843">
      <c r="A1843" s="0" t="inlineStr">
        <is>
          <t>Line</t>
        </is>
      </c>
      <c r="B1843" s="0" t="inlineStr">
        <is>
          <t>Prize</t>
        </is>
      </c>
      <c r="C1843" s="0" t="inlineStr">
        <is>
          <t>Acquired</t>
        </is>
      </c>
      <c r="D1843" s="0" t="inlineStr">
        <is>
          <t>:</t>
        </is>
      </c>
      <c r="E1843" s="0" t="inlineStr">
        <is>
          <t>1.08M</t>
        </is>
      </c>
      <c r="F1843" s="0" t="inlineStr">
        <is>
          <t>(Stage</t>
        </is>
      </c>
      <c r="G1843" s="0" t="inlineStr">
        <is>
          <t>:</t>
        </is>
      </c>
      <c r="H1843" s="0" t="inlineStr">
        <is>
          <t>7)</t>
        </is>
      </c>
      <c r="I1843" s="0" t="inlineStr">
        <is>
          <t>-</t>
        </is>
      </c>
      <c r="J1843" s="0" t="n">
        <v>1080000</v>
      </c>
      <c r="K1843" s="0">
        <f>IF(H1842="1)",1,IF(H1842="2)",2,IF(H1842="3)",3,IF(H1842="4)",4,IF(H1842="5)",5,IF(H1842="6)",6,IF(H1842="7)",7,IF(H1842="8)",8,0))))))))</f>
        <v/>
      </c>
      <c r="L1843" s="0">
        <f>IF(H1842="1)",J1842,IF(H1842="2)",J1842,IF(H1842="3)",J1842,IF(H1842="4)",J1842,IF(H1842="5)",J1842,IF(H1842="6)",J1842,IF(H1842="7)",J1842,IF(H1842="8)",J1842,0))))))))</f>
        <v/>
      </c>
    </row>
    <row r="1844">
      <c r="A1844" s="0" t="inlineStr">
        <is>
          <t>Clear</t>
        </is>
      </c>
      <c r="B1844" s="0" t="inlineStr">
        <is>
          <t>Gem</t>
        </is>
      </c>
      <c r="C1844" s="0" t="inlineStr">
        <is>
          <t>Acquired</t>
        </is>
      </c>
      <c r="D1844" s="0" t="inlineStr">
        <is>
          <t>:</t>
        </is>
      </c>
      <c r="E1844" s="0" t="n">
        <v>11100</v>
      </c>
      <c r="F1844" s="0" t="inlineStr">
        <is>
          <t>-&gt;</t>
        </is>
      </c>
      <c r="G1844" s="0" t="n">
        <v>11200</v>
      </c>
      <c r="H1844" s="0" t="inlineStr">
        <is>
          <t>(Stage</t>
        </is>
      </c>
      <c r="I1844" s="0" t="inlineStr">
        <is>
          <t>:</t>
        </is>
      </c>
      <c r="J1844" s="0" t="inlineStr">
        <is>
          <t>7)</t>
        </is>
      </c>
      <c r="K1844" s="0">
        <f>IF(H1843="1)",1,IF(H1843="2)",2,IF(H1843="3)",3,IF(H1843="4)",4,IF(H1843="5)",5,IF(H1843="6)",6,IF(H1843="7)",7,IF(H1843="8)",8,0))))))))</f>
        <v/>
      </c>
      <c r="L1844" s="0">
        <f>IF(H1843="1)",J1843,IF(H1843="2)",J1843,IF(H1843="3)",J1843,IF(H1843="4)",J1843,IF(H1843="5)",J1843,IF(H1843="6)",J1843,IF(H1843="7)",J1843,IF(H1843="8)",J1843,0))))))))</f>
        <v/>
      </c>
    </row>
    <row r="1845">
      <c r="A1845" s="0" t="inlineStr">
        <is>
          <t>New</t>
        </is>
      </c>
      <c r="B1845" s="0" t="inlineStr">
        <is>
          <t>Item</t>
        </is>
      </c>
      <c r="C1845" s="0" t="inlineStr">
        <is>
          <t>Acquired</t>
        </is>
      </c>
      <c r="D1845" s="0" t="inlineStr">
        <is>
          <t>:</t>
        </is>
      </c>
      <c r="E1845" s="0" t="inlineStr">
        <is>
          <t>105.00K</t>
        </is>
      </c>
      <c r="F1845" s="0" t="inlineStr">
        <is>
          <t>(4,</t>
        </is>
      </c>
      <c r="G1845" s="0" t="inlineStr">
        <is>
          <t>5)</t>
        </is>
      </c>
      <c r="K1845" s="0">
        <f>IF(H1844="1)",1,IF(H1844="2)",2,IF(H1844="3)",3,IF(H1844="4)",4,IF(H1844="5)",5,IF(H1844="6)",6,IF(H1844="7)",7,IF(H1844="8)",8,0))))))))</f>
        <v/>
      </c>
      <c r="L1845" s="0">
        <f>IF(H1844="1)",J1844,IF(H1844="2)",J1844,IF(H1844="3)",J1844,IF(H1844="4)",J1844,IF(H1844="5)",J1844,IF(H1844="6)",J1844,IF(H1844="7)",J1844,IF(H1844="8)",J1844,0))))))))</f>
        <v/>
      </c>
    </row>
    <row r="1846">
      <c r="A1846" s="0" t="inlineStr">
        <is>
          <t>New</t>
        </is>
      </c>
      <c r="B1846" s="0" t="inlineStr">
        <is>
          <t>Item</t>
        </is>
      </c>
      <c r="C1846" s="0" t="inlineStr">
        <is>
          <t>Acquired</t>
        </is>
      </c>
      <c r="D1846" s="0" t="inlineStr">
        <is>
          <t>:</t>
        </is>
      </c>
      <c r="E1846" s="0" t="inlineStr">
        <is>
          <t>150.00K</t>
        </is>
      </c>
      <c r="F1846" s="0" t="inlineStr">
        <is>
          <t>(7,</t>
        </is>
      </c>
      <c r="G1846" s="0" t="inlineStr">
        <is>
          <t>14)</t>
        </is>
      </c>
      <c r="K1846" s="0">
        <f>IF(H1845="1)",1,IF(H1845="2)",2,IF(H1845="3)",3,IF(H1845="4)",4,IF(H1845="5)",5,IF(H1845="6)",6,IF(H1845="7)",7,IF(H1845="8)",8,0))))))))</f>
        <v/>
      </c>
      <c r="L1846" s="0">
        <f>IF(H1845="1)",J1845,IF(H1845="2)",J1845,IF(H1845="3)",J1845,IF(H1845="4)",J1845,IF(H1845="5)",J1845,IF(H1845="6)",J1845,IF(H1845="7)",J1845,IF(H1845="8)",J1845,0))))))))</f>
        <v/>
      </c>
    </row>
    <row r="1847">
      <c r="A1847" s="0" t="inlineStr">
        <is>
          <t>New</t>
        </is>
      </c>
      <c r="B1847" s="0" t="inlineStr">
        <is>
          <t>Item</t>
        </is>
      </c>
      <c r="C1847" s="0" t="inlineStr">
        <is>
          <t>Acquired</t>
        </is>
      </c>
      <c r="D1847" s="0" t="inlineStr">
        <is>
          <t>:</t>
        </is>
      </c>
      <c r="E1847" s="0" t="inlineStr">
        <is>
          <t>37.50K</t>
        </is>
      </c>
      <c r="F1847" s="0" t="inlineStr">
        <is>
          <t>(2,</t>
        </is>
      </c>
      <c r="G1847" s="0" t="inlineStr">
        <is>
          <t>10)</t>
        </is>
      </c>
      <c r="K1847" s="0">
        <f>IF(H1846="1)",1,IF(H1846="2)",2,IF(H1846="3)",3,IF(H1846="4)",4,IF(H1846="5)",5,IF(H1846="6)",6,IF(H1846="7)",7,IF(H1846="8)",8,0))))))))</f>
        <v/>
      </c>
      <c r="L1847" s="0">
        <f>IF(H1846="1)",J1846,IF(H1846="2)",J1846,IF(H1846="3)",J1846,IF(H1846="4)",J1846,IF(H1846="5)",J1846,IF(H1846="6)",J1846,IF(H1846="7)",J1846,IF(H1846="8)",J1846,0))))))))</f>
        <v/>
      </c>
    </row>
    <row r="1848">
      <c r="A1848" s="0" t="inlineStr">
        <is>
          <t>New</t>
        </is>
      </c>
      <c r="B1848" s="0" t="inlineStr">
        <is>
          <t>Item</t>
        </is>
      </c>
      <c r="C1848" s="0" t="inlineStr">
        <is>
          <t>Acquired</t>
        </is>
      </c>
      <c r="D1848" s="0" t="inlineStr">
        <is>
          <t>:</t>
        </is>
      </c>
      <c r="E1848" s="0" t="inlineStr">
        <is>
          <t>120.00K</t>
        </is>
      </c>
      <c r="F1848" s="0" t="inlineStr">
        <is>
          <t>(8,</t>
        </is>
      </c>
      <c r="G1848" s="0" t="inlineStr">
        <is>
          <t>8)</t>
        </is>
      </c>
      <c r="K1848" s="0">
        <f>IF(H1847="1)",1,IF(H1847="2)",2,IF(H1847="3)",3,IF(H1847="4)",4,IF(H1847="5)",5,IF(H1847="6)",6,IF(H1847="7)",7,IF(H1847="8)",8,0))))))))</f>
        <v/>
      </c>
      <c r="L1848" s="0">
        <f>IF(H1847="1)",J1847,IF(H1847="2)",J1847,IF(H1847="3)",J1847,IF(H1847="4)",J1847,IF(H1847="5)",J1847,IF(H1847="6)",J1847,IF(H1847="7)",J1847,IF(H1847="8)",J1847,0))))))))</f>
        <v/>
      </c>
    </row>
    <row r="1849">
      <c r="A1849" s="0" t="inlineStr">
        <is>
          <t>New</t>
        </is>
      </c>
      <c r="B1849" s="0" t="inlineStr">
        <is>
          <t>Item</t>
        </is>
      </c>
      <c r="C1849" s="0" t="inlineStr">
        <is>
          <t>Acquired</t>
        </is>
      </c>
      <c r="D1849" s="0" t="inlineStr">
        <is>
          <t>:</t>
        </is>
      </c>
      <c r="E1849" s="0" t="inlineStr">
        <is>
          <t>67.50K</t>
        </is>
      </c>
      <c r="F1849" s="0" t="inlineStr">
        <is>
          <t>(5,</t>
        </is>
      </c>
      <c r="G1849" s="0" t="inlineStr">
        <is>
          <t>23)</t>
        </is>
      </c>
      <c r="K1849" s="0">
        <f>IF(H1848="1)",1,IF(H1848="2)",2,IF(H1848="3)",3,IF(H1848="4)",4,IF(H1848="5)",5,IF(H1848="6)",6,IF(H1848="7)",7,IF(H1848="8)",8,0))))))))</f>
        <v/>
      </c>
      <c r="L1849" s="0">
        <f>IF(H1848="1)",J1848,IF(H1848="2)",J1848,IF(H1848="3)",J1848,IF(H1848="4)",J1848,IF(H1848="5)",J1848,IF(H1848="6)",J1848,IF(H1848="7)",J1848,IF(H1848="8)",J1848,0))))))))</f>
        <v/>
      </c>
    </row>
    <row r="1850">
      <c r="A1850" s="0" t="inlineStr">
        <is>
          <t>Line</t>
        </is>
      </c>
      <c r="B1850" s="0" t="inlineStr">
        <is>
          <t>Prize</t>
        </is>
      </c>
      <c r="C1850" s="0" t="inlineStr">
        <is>
          <t>Acquired</t>
        </is>
      </c>
      <c r="D1850" s="0" t="inlineStr">
        <is>
          <t>:</t>
        </is>
      </c>
      <c r="E1850" s="0" t="inlineStr">
        <is>
          <t>1.88M</t>
        </is>
      </c>
      <c r="F1850" s="0" t="inlineStr">
        <is>
          <t>(Stage</t>
        </is>
      </c>
      <c r="G1850" s="0" t="inlineStr">
        <is>
          <t>:</t>
        </is>
      </c>
      <c r="H1850" s="0" t="inlineStr">
        <is>
          <t>5)</t>
        </is>
      </c>
      <c r="I1850" s="0" t="inlineStr">
        <is>
          <t>-</t>
        </is>
      </c>
      <c r="J1850" s="0" t="n">
        <v>1877500</v>
      </c>
      <c r="K1850" s="0">
        <f>IF(H1849="1)",1,IF(H1849="2)",2,IF(H1849="3)",3,IF(H1849="4)",4,IF(H1849="5)",5,IF(H1849="6)",6,IF(H1849="7)",7,IF(H1849="8)",8,0))))))))</f>
        <v/>
      </c>
      <c r="L1850" s="0">
        <f>IF(H1849="1)",J1849,IF(H1849="2)",J1849,IF(H1849="3)",J1849,IF(H1849="4)",J1849,IF(H1849="5)",J1849,IF(H1849="6)",J1849,IF(H1849="7)",J1849,IF(H1849="8)",J1849,0))))))))</f>
        <v/>
      </c>
    </row>
    <row r="1851">
      <c r="A1851" s="0" t="inlineStr">
        <is>
          <t>Clear</t>
        </is>
      </c>
      <c r="B1851" s="0" t="inlineStr">
        <is>
          <t>Gem</t>
        </is>
      </c>
      <c r="C1851" s="0" t="inlineStr">
        <is>
          <t>Acquired</t>
        </is>
      </c>
      <c r="D1851" s="0" t="inlineStr">
        <is>
          <t>:</t>
        </is>
      </c>
      <c r="E1851" s="0" t="n">
        <v>11200</v>
      </c>
      <c r="F1851" s="0" t="inlineStr">
        <is>
          <t>-&gt;</t>
        </is>
      </c>
      <c r="G1851" s="0" t="n">
        <v>11300</v>
      </c>
      <c r="H1851" s="0" t="inlineStr">
        <is>
          <t>(Stage</t>
        </is>
      </c>
      <c r="I1851" s="0" t="inlineStr">
        <is>
          <t>:</t>
        </is>
      </c>
      <c r="J1851" s="0" t="inlineStr">
        <is>
          <t>5)</t>
        </is>
      </c>
      <c r="K1851" s="0">
        <f>IF(H1850="1)",1,IF(H1850="2)",2,IF(H1850="3)",3,IF(H1850="4)",4,IF(H1850="5)",5,IF(H1850="6)",6,IF(H1850="7)",7,IF(H1850="8)",8,0))))))))</f>
        <v/>
      </c>
      <c r="L1851" s="0">
        <f>IF(H1850="1)",J1850,IF(H1850="2)",J1850,IF(H1850="3)",J1850,IF(H1850="4)",J1850,IF(H1850="5)",J1850,IF(H1850="6)",J1850,IF(H1850="7)",J1850,IF(H1850="8)",J1850,0))))))))</f>
        <v/>
      </c>
    </row>
    <row r="1852">
      <c r="A1852" s="0" t="inlineStr">
        <is>
          <t>New</t>
        </is>
      </c>
      <c r="B1852" s="0" t="inlineStr">
        <is>
          <t>Item</t>
        </is>
      </c>
      <c r="C1852" s="0" t="inlineStr">
        <is>
          <t>Acquired</t>
        </is>
      </c>
      <c r="D1852" s="0" t="inlineStr">
        <is>
          <t>:</t>
        </is>
      </c>
      <c r="E1852" s="0" t="inlineStr">
        <is>
          <t>90.00K</t>
        </is>
      </c>
      <c r="F1852" s="0" t="inlineStr">
        <is>
          <t>(7,</t>
        </is>
      </c>
      <c r="G1852" s="0" t="inlineStr">
        <is>
          <t>16)</t>
        </is>
      </c>
      <c r="K1852" s="0">
        <f>IF(H1851="1)",1,IF(H1851="2)",2,IF(H1851="3)",3,IF(H1851="4)",4,IF(H1851="5)",5,IF(H1851="6)",6,IF(H1851="7)",7,IF(H1851="8)",8,0))))))))</f>
        <v/>
      </c>
      <c r="L1852" s="0">
        <f>IF(H1851="1)",J1851,IF(H1851="2)",J1851,IF(H1851="3)",J1851,IF(H1851="4)",J1851,IF(H1851="5)",J1851,IF(H1851="6)",J1851,IF(H1851="7)",J1851,IF(H1851="8)",J1851,0))))))))</f>
        <v/>
      </c>
    </row>
    <row r="1853">
      <c r="A1853" s="0" t="inlineStr">
        <is>
          <t>New</t>
        </is>
      </c>
      <c r="B1853" s="0" t="inlineStr">
        <is>
          <t>Item</t>
        </is>
      </c>
      <c r="C1853" s="0" t="inlineStr">
        <is>
          <t>Acquired</t>
        </is>
      </c>
      <c r="D1853" s="0" t="inlineStr">
        <is>
          <t>:</t>
        </is>
      </c>
      <c r="E1853" s="0" t="inlineStr">
        <is>
          <t>157.50K</t>
        </is>
      </c>
      <c r="F1853" s="0" t="inlineStr">
        <is>
          <t>(5,</t>
        </is>
      </c>
      <c r="G1853" s="0" t="inlineStr">
        <is>
          <t>7)</t>
        </is>
      </c>
      <c r="K1853" s="0">
        <f>IF(H1852="1)",1,IF(H1852="2)",2,IF(H1852="3)",3,IF(H1852="4)",4,IF(H1852="5)",5,IF(H1852="6)",6,IF(H1852="7)",7,IF(H1852="8)",8,0))))))))</f>
        <v/>
      </c>
      <c r="L1853" s="0">
        <f>IF(H1852="1)",J1852,IF(H1852="2)",J1852,IF(H1852="3)",J1852,IF(H1852="4)",J1852,IF(H1852="5)",J1852,IF(H1852="6)",J1852,IF(H1852="7)",J1852,IF(H1852="8)",J1852,0))))))))</f>
        <v/>
      </c>
    </row>
    <row r="1854">
      <c r="A1854" s="0" t="inlineStr">
        <is>
          <t>New</t>
        </is>
      </c>
      <c r="B1854" s="0" t="inlineStr">
        <is>
          <t>Item</t>
        </is>
      </c>
      <c r="C1854" s="0" t="inlineStr">
        <is>
          <t>Acquired</t>
        </is>
      </c>
      <c r="D1854" s="0" t="inlineStr">
        <is>
          <t>:</t>
        </is>
      </c>
      <c r="E1854" s="0" t="inlineStr">
        <is>
          <t>75.00K</t>
        </is>
      </c>
      <c r="F1854" s="0" t="inlineStr">
        <is>
          <t>(3,</t>
        </is>
      </c>
      <c r="G1854" s="0" t="inlineStr">
        <is>
          <t>12)</t>
        </is>
      </c>
      <c r="K1854" s="0">
        <f>IF(H1853="1)",1,IF(H1853="2)",2,IF(H1853="3)",3,IF(H1853="4)",4,IF(H1853="5)",5,IF(H1853="6)",6,IF(H1853="7)",7,IF(H1853="8)",8,0))))))))</f>
        <v/>
      </c>
      <c r="L1854" s="0">
        <f>IF(H1853="1)",J1853,IF(H1853="2)",J1853,IF(H1853="3)",J1853,IF(H1853="4)",J1853,IF(H1853="5)",J1853,IF(H1853="6)",J1853,IF(H1853="7)",J1853,IF(H1853="8)",J1853,0))))))))</f>
        <v/>
      </c>
    </row>
    <row r="1855">
      <c r="A1855" s="0" t="inlineStr">
        <is>
          <t>New</t>
        </is>
      </c>
      <c r="B1855" s="0" t="inlineStr">
        <is>
          <t>Item</t>
        </is>
      </c>
      <c r="C1855" s="0" t="inlineStr">
        <is>
          <t>Acquired</t>
        </is>
      </c>
      <c r="D1855" s="0" t="inlineStr">
        <is>
          <t>:</t>
        </is>
      </c>
      <c r="E1855" s="0" t="inlineStr">
        <is>
          <t>90.00K</t>
        </is>
      </c>
      <c r="F1855" s="0" t="inlineStr">
        <is>
          <t>(7,</t>
        </is>
      </c>
      <c r="G1855" s="0" t="inlineStr">
        <is>
          <t>22)</t>
        </is>
      </c>
      <c r="K1855" s="0">
        <f>IF(H1854="1)",1,IF(H1854="2)",2,IF(H1854="3)",3,IF(H1854="4)",4,IF(H1854="5)",5,IF(H1854="6)",6,IF(H1854="7)",7,IF(H1854="8)",8,0))))))))</f>
        <v/>
      </c>
      <c r="L1855" s="0">
        <f>IF(H1854="1)",J1854,IF(H1854="2)",J1854,IF(H1854="3)",J1854,IF(H1854="4)",J1854,IF(H1854="5)",J1854,IF(H1854="6)",J1854,IF(H1854="7)",J1854,IF(H1854="8)",J1854,0))))))))</f>
        <v/>
      </c>
    </row>
    <row r="1856">
      <c r="A1856" s="0" t="inlineStr">
        <is>
          <t>New</t>
        </is>
      </c>
      <c r="B1856" s="0" t="inlineStr">
        <is>
          <t>Item</t>
        </is>
      </c>
      <c r="C1856" s="0" t="inlineStr">
        <is>
          <t>Acquired</t>
        </is>
      </c>
      <c r="D1856" s="0" t="inlineStr">
        <is>
          <t>:</t>
        </is>
      </c>
      <c r="E1856" s="0" t="inlineStr">
        <is>
          <t>150.00K</t>
        </is>
      </c>
      <c r="F1856" s="0" t="inlineStr">
        <is>
          <t>(7,</t>
        </is>
      </c>
      <c r="G1856" s="0" t="inlineStr">
        <is>
          <t>2)</t>
        </is>
      </c>
      <c r="K1856" s="0">
        <f>IF(H1855="1)",1,IF(H1855="2)",2,IF(H1855="3)",3,IF(H1855="4)",4,IF(H1855="5)",5,IF(H1855="6)",6,IF(H1855="7)",7,IF(H1855="8)",8,0))))))))</f>
        <v/>
      </c>
      <c r="L1856" s="0">
        <f>IF(H1855="1)",J1855,IF(H1855="2)",J1855,IF(H1855="3)",J1855,IF(H1855="4)",J1855,IF(H1855="5)",J1855,IF(H1855="6)",J1855,IF(H1855="7)",J1855,IF(H1855="8)",J1855,0))))))))</f>
        <v/>
      </c>
    </row>
    <row r="1857">
      <c r="A1857" s="0" t="inlineStr">
        <is>
          <t>New</t>
        </is>
      </c>
      <c r="B1857" s="0" t="inlineStr">
        <is>
          <t>Item</t>
        </is>
      </c>
      <c r="C1857" s="0" t="inlineStr">
        <is>
          <t>Acquired</t>
        </is>
      </c>
      <c r="D1857" s="0" t="inlineStr">
        <is>
          <t>:</t>
        </is>
      </c>
      <c r="E1857" s="0" t="inlineStr">
        <is>
          <t>105.00K</t>
        </is>
      </c>
      <c r="F1857" s="0" t="inlineStr">
        <is>
          <t>(3,</t>
        </is>
      </c>
      <c r="G1857" s="0" t="inlineStr">
        <is>
          <t>21)</t>
        </is>
      </c>
      <c r="K1857" s="0">
        <f>IF(H1856="1)",1,IF(H1856="2)",2,IF(H1856="3)",3,IF(H1856="4)",4,IF(H1856="5)",5,IF(H1856="6)",6,IF(H1856="7)",7,IF(H1856="8)",8,0))))))))</f>
        <v/>
      </c>
      <c r="L1857" s="0">
        <f>IF(H1856="1)",J1856,IF(H1856="2)",J1856,IF(H1856="3)",J1856,IF(H1856="4)",J1856,IF(H1856="5)",J1856,IF(H1856="6)",J1856,IF(H1856="7)",J1856,IF(H1856="8)",J1856,0))))))))</f>
        <v/>
      </c>
    </row>
    <row r="1858">
      <c r="A1858" s="0" t="inlineStr">
        <is>
          <t>New</t>
        </is>
      </c>
      <c r="B1858" s="0" t="inlineStr">
        <is>
          <t>Item</t>
        </is>
      </c>
      <c r="C1858" s="0" t="inlineStr">
        <is>
          <t>Acquired</t>
        </is>
      </c>
      <c r="D1858" s="0" t="inlineStr">
        <is>
          <t>:</t>
        </is>
      </c>
      <c r="E1858" s="0" t="inlineStr">
        <is>
          <t>112.50K</t>
        </is>
      </c>
      <c r="F1858" s="0" t="inlineStr">
        <is>
          <t>(5,</t>
        </is>
      </c>
      <c r="G1858" s="0" t="inlineStr">
        <is>
          <t>5)</t>
        </is>
      </c>
      <c r="K1858" s="0">
        <f>IF(H1857="1)",1,IF(H1857="2)",2,IF(H1857="3)",3,IF(H1857="4)",4,IF(H1857="5)",5,IF(H1857="6)",6,IF(H1857="7)",7,IF(H1857="8)",8,0))))))))</f>
        <v/>
      </c>
      <c r="L1858" s="0">
        <f>IF(H1857="1)",J1857,IF(H1857="2)",J1857,IF(H1857="3)",J1857,IF(H1857="4)",J1857,IF(H1857="5)",J1857,IF(H1857="6)",J1857,IF(H1857="7)",J1857,IF(H1857="8)",J1857,0))))))))</f>
        <v/>
      </c>
    </row>
    <row r="1859">
      <c r="A1859" s="0" t="inlineStr">
        <is>
          <t>New</t>
        </is>
      </c>
      <c r="B1859" s="0" t="inlineStr">
        <is>
          <t>Item</t>
        </is>
      </c>
      <c r="C1859" s="0" t="inlineStr">
        <is>
          <t>Acquired</t>
        </is>
      </c>
      <c r="D1859" s="0" t="inlineStr">
        <is>
          <t>:</t>
        </is>
      </c>
      <c r="E1859" s="0" t="inlineStr">
        <is>
          <t>120.00K</t>
        </is>
      </c>
      <c r="F1859" s="0" t="inlineStr">
        <is>
          <t>(8,</t>
        </is>
      </c>
      <c r="G1859" s="0" t="inlineStr">
        <is>
          <t>14)</t>
        </is>
      </c>
      <c r="K1859" s="0">
        <f>IF(H1858="1)",1,IF(H1858="2)",2,IF(H1858="3)",3,IF(H1858="4)",4,IF(H1858="5)",5,IF(H1858="6)",6,IF(H1858="7)",7,IF(H1858="8)",8,0))))))))</f>
        <v/>
      </c>
      <c r="L1859" s="0">
        <f>IF(H1858="1)",J1858,IF(H1858="2)",J1858,IF(H1858="3)",J1858,IF(H1858="4)",J1858,IF(H1858="5)",J1858,IF(H1858="6)",J1858,IF(H1858="7)",J1858,IF(H1858="8)",J1858,0))))))))</f>
        <v/>
      </c>
    </row>
    <row r="1860">
      <c r="A1860" s="0" t="inlineStr">
        <is>
          <t>New</t>
        </is>
      </c>
      <c r="B1860" s="0" t="inlineStr">
        <is>
          <t>Item</t>
        </is>
      </c>
      <c r="C1860" s="0" t="inlineStr">
        <is>
          <t>Acquired</t>
        </is>
      </c>
      <c r="D1860" s="0" t="inlineStr">
        <is>
          <t>:</t>
        </is>
      </c>
      <c r="E1860" s="0" t="inlineStr">
        <is>
          <t>112.50K</t>
        </is>
      </c>
      <c r="F1860" s="0" t="inlineStr">
        <is>
          <t>(5,</t>
        </is>
      </c>
      <c r="G1860" s="0" t="inlineStr">
        <is>
          <t>1)</t>
        </is>
      </c>
      <c r="K1860" s="0">
        <f>IF(H1859="1)",1,IF(H1859="2)",2,IF(H1859="3)",3,IF(H1859="4)",4,IF(H1859="5)",5,IF(H1859="6)",6,IF(H1859="7)",7,IF(H1859="8)",8,0))))))))</f>
        <v/>
      </c>
      <c r="L1860" s="0">
        <f>IF(H1859="1)",J1859,IF(H1859="2)",J1859,IF(H1859="3)",J1859,IF(H1859="4)",J1859,IF(H1859="5)",J1859,IF(H1859="6)",J1859,IF(H1859="7)",J1859,IF(H1859="8)",J1859,0))))))))</f>
        <v/>
      </c>
    </row>
    <row r="1861">
      <c r="A1861" s="0" t="inlineStr">
        <is>
          <t>New</t>
        </is>
      </c>
      <c r="B1861" s="0" t="inlineStr">
        <is>
          <t>Item</t>
        </is>
      </c>
      <c r="C1861" s="0" t="inlineStr">
        <is>
          <t>Acquired</t>
        </is>
      </c>
      <c r="D1861" s="0" t="inlineStr">
        <is>
          <t>:</t>
        </is>
      </c>
      <c r="E1861" s="0" t="inlineStr">
        <is>
          <t>120.00K</t>
        </is>
      </c>
      <c r="F1861" s="0" t="inlineStr">
        <is>
          <t>(8,</t>
        </is>
      </c>
      <c r="G1861" s="0" t="inlineStr">
        <is>
          <t>24)</t>
        </is>
      </c>
      <c r="K1861" s="0">
        <f>IF(H1860="1)",1,IF(H1860="2)",2,IF(H1860="3)",3,IF(H1860="4)",4,IF(H1860="5)",5,IF(H1860="6)",6,IF(H1860="7)",7,IF(H1860="8)",8,0))))))))</f>
        <v/>
      </c>
      <c r="L1861" s="0">
        <f>IF(H1860="1)",J1860,IF(H1860="2)",J1860,IF(H1860="3)",J1860,IF(H1860="4)",J1860,IF(H1860="5)",J1860,IF(H1860="6)",J1860,IF(H1860="7)",J1860,IF(H1860="8)",J1860,0))))))))</f>
        <v/>
      </c>
    </row>
    <row r="1862">
      <c r="A1862" s="0" t="inlineStr">
        <is>
          <t>New</t>
        </is>
      </c>
      <c r="B1862" s="0" t="inlineStr">
        <is>
          <t>Item</t>
        </is>
      </c>
      <c r="C1862" s="0" t="inlineStr">
        <is>
          <t>Acquired</t>
        </is>
      </c>
      <c r="D1862" s="0" t="inlineStr">
        <is>
          <t>:</t>
        </is>
      </c>
      <c r="E1862" s="0" t="inlineStr">
        <is>
          <t>Major</t>
        </is>
      </c>
      <c r="F1862" s="0" t="inlineStr">
        <is>
          <t>(2,</t>
        </is>
      </c>
      <c r="G1862" s="0" t="inlineStr">
        <is>
          <t>9)</t>
        </is>
      </c>
      <c r="K1862" s="0">
        <f>IF(H1861="1)",1,IF(H1861="2)",2,IF(H1861="3)",3,IF(H1861="4)",4,IF(H1861="5)",5,IF(H1861="6)",6,IF(H1861="7)",7,IF(H1861="8)",8,0))))))))</f>
        <v/>
      </c>
      <c r="L1862" s="0">
        <f>IF(H1861="1)",J1861,IF(H1861="2)",J1861,IF(H1861="3)",J1861,IF(H1861="4)",J1861,IF(H1861="5)",J1861,IF(H1861="6)",J1861,IF(H1861="7)",J1861,IF(H1861="8)",J1861,0))))))))</f>
        <v/>
      </c>
    </row>
    <row r="1863">
      <c r="A1863" s="0" t="inlineStr">
        <is>
          <t>Line</t>
        </is>
      </c>
      <c r="B1863" s="0" t="inlineStr">
        <is>
          <t>Prize</t>
        </is>
      </c>
      <c r="C1863" s="0" t="inlineStr">
        <is>
          <t>Acquired</t>
        </is>
      </c>
      <c r="D1863" s="0" t="inlineStr">
        <is>
          <t>:</t>
        </is>
      </c>
      <c r="E1863" s="0" t="inlineStr">
        <is>
          <t>1.48M</t>
        </is>
      </c>
      <c r="F1863" s="0" t="inlineStr">
        <is>
          <t>(Stage</t>
        </is>
      </c>
      <c r="G1863" s="0" t="inlineStr">
        <is>
          <t>:</t>
        </is>
      </c>
      <c r="H1863" s="0" t="inlineStr">
        <is>
          <t>2)</t>
        </is>
      </c>
      <c r="I1863" s="0" t="inlineStr">
        <is>
          <t>-</t>
        </is>
      </c>
      <c r="J1863" s="0" t="n">
        <v>1475000</v>
      </c>
      <c r="K1863" s="0">
        <f>IF(H1862="1)",1,IF(H1862="2)",2,IF(H1862="3)",3,IF(H1862="4)",4,IF(H1862="5)",5,IF(H1862="6)",6,IF(H1862="7)",7,IF(H1862="8)",8,0))))))))</f>
        <v/>
      </c>
      <c r="L1863" s="0">
        <f>IF(H1862="1)",J1862,IF(H1862="2)",J1862,IF(H1862="3)",J1862,IF(H1862="4)",J1862,IF(H1862="5)",J1862,IF(H1862="6)",J1862,IF(H1862="7)",J1862,IF(H1862="8)",J1862,0))))))))</f>
        <v/>
      </c>
    </row>
    <row r="1864">
      <c r="A1864" s="0" t="inlineStr">
        <is>
          <t>Clear</t>
        </is>
      </c>
      <c r="B1864" s="0" t="inlineStr">
        <is>
          <t>Gem</t>
        </is>
      </c>
      <c r="C1864" s="0" t="inlineStr">
        <is>
          <t>Acquired</t>
        </is>
      </c>
      <c r="D1864" s="0" t="inlineStr">
        <is>
          <t>:</t>
        </is>
      </c>
      <c r="E1864" s="0" t="n">
        <v>11300</v>
      </c>
      <c r="F1864" s="0" t="inlineStr">
        <is>
          <t>-&gt;</t>
        </is>
      </c>
      <c r="G1864" s="0" t="n">
        <v>11400</v>
      </c>
      <c r="H1864" s="0" t="inlineStr">
        <is>
          <t>(Stage</t>
        </is>
      </c>
      <c r="I1864" s="0" t="inlineStr">
        <is>
          <t>:</t>
        </is>
      </c>
      <c r="J1864" s="0" t="inlineStr">
        <is>
          <t>2)</t>
        </is>
      </c>
      <c r="K1864" s="0">
        <f>IF(H1863="1)",1,IF(H1863="2)",2,IF(H1863="3)",3,IF(H1863="4)",4,IF(H1863="5)",5,IF(H1863="6)",6,IF(H1863="7)",7,IF(H1863="8)",8,0))))))))</f>
        <v/>
      </c>
      <c r="L1864" s="0">
        <f>IF(H1863="1)",J1863,IF(H1863="2)",J1863,IF(H1863="3)",J1863,IF(H1863="4)",J1863,IF(H1863="5)",J1863,IF(H1863="6)",J1863,IF(H1863="7)",J1863,IF(H1863="8)",J1863,0))))))))</f>
        <v/>
      </c>
    </row>
    <row r="1865">
      <c r="A1865" s="0" t="inlineStr">
        <is>
          <t>New</t>
        </is>
      </c>
      <c r="B1865" s="0" t="inlineStr">
        <is>
          <t>Item</t>
        </is>
      </c>
      <c r="C1865" s="0" t="inlineStr">
        <is>
          <t>Acquired</t>
        </is>
      </c>
      <c r="D1865" s="0" t="inlineStr">
        <is>
          <t>:</t>
        </is>
      </c>
      <c r="E1865" s="0" t="inlineStr">
        <is>
          <t>90.00K</t>
        </is>
      </c>
      <c r="F1865" s="0" t="inlineStr">
        <is>
          <t>(7,</t>
        </is>
      </c>
      <c r="G1865" s="0" t="inlineStr">
        <is>
          <t>9)</t>
        </is>
      </c>
      <c r="K1865" s="0">
        <f>IF(H1864="1)",1,IF(H1864="2)",2,IF(H1864="3)",3,IF(H1864="4)",4,IF(H1864="5)",5,IF(H1864="6)",6,IF(H1864="7)",7,IF(H1864="8)",8,0))))))))</f>
        <v/>
      </c>
      <c r="L1865" s="0">
        <f>IF(H1864="1)",J1864,IF(H1864="2)",J1864,IF(H1864="3)",J1864,IF(H1864="4)",J1864,IF(H1864="5)",J1864,IF(H1864="6)",J1864,IF(H1864="7)",J1864,IF(H1864="8)",J1864,0))))))))</f>
        <v/>
      </c>
    </row>
    <row r="1866">
      <c r="A1866" s="0" t="inlineStr">
        <is>
          <t>New</t>
        </is>
      </c>
      <c r="B1866" s="0" t="inlineStr">
        <is>
          <t>Item</t>
        </is>
      </c>
      <c r="C1866" s="0" t="inlineStr">
        <is>
          <t>Acquired</t>
        </is>
      </c>
      <c r="D1866" s="0" t="inlineStr">
        <is>
          <t>:</t>
        </is>
      </c>
      <c r="E1866" s="0" t="inlineStr">
        <is>
          <t>200.00K</t>
        </is>
      </c>
      <c r="F1866" s="0" t="inlineStr">
        <is>
          <t>(8,</t>
        </is>
      </c>
      <c r="G1866" s="0" t="inlineStr">
        <is>
          <t>6)</t>
        </is>
      </c>
      <c r="K1866" s="0">
        <f>IF(H1865="1)",1,IF(H1865="2)",2,IF(H1865="3)",3,IF(H1865="4)",4,IF(H1865="5)",5,IF(H1865="6)",6,IF(H1865="7)",7,IF(H1865="8)",8,0))))))))</f>
        <v/>
      </c>
      <c r="L1866" s="0">
        <f>IF(H1865="1)",J1865,IF(H1865="2)",J1865,IF(H1865="3)",J1865,IF(H1865="4)",J1865,IF(H1865="5)",J1865,IF(H1865="6)",J1865,IF(H1865="7)",J1865,IF(H1865="8)",J1865,0))))))))</f>
        <v/>
      </c>
    </row>
    <row r="1867">
      <c r="A1867" s="0" t="inlineStr">
        <is>
          <t>New</t>
        </is>
      </c>
      <c r="B1867" s="0" t="inlineStr">
        <is>
          <t>Item</t>
        </is>
      </c>
      <c r="C1867" s="0" t="inlineStr">
        <is>
          <t>Acquired</t>
        </is>
      </c>
      <c r="D1867" s="0" t="inlineStr">
        <is>
          <t>:</t>
        </is>
      </c>
      <c r="E1867" s="0" t="inlineStr">
        <is>
          <t>175.00K</t>
        </is>
      </c>
      <c r="F1867" s="0" t="inlineStr">
        <is>
          <t>(6,</t>
        </is>
      </c>
      <c r="G1867" s="0" t="inlineStr">
        <is>
          <t>14)</t>
        </is>
      </c>
      <c r="K1867" s="0">
        <f>IF(H1866="1)",1,IF(H1866="2)",2,IF(H1866="3)",3,IF(H1866="4)",4,IF(H1866="5)",5,IF(H1866="6)",6,IF(H1866="7)",7,IF(H1866="8)",8,0))))))))</f>
        <v/>
      </c>
      <c r="L1867" s="0">
        <f>IF(H1866="1)",J1866,IF(H1866="2)",J1866,IF(H1866="3)",J1866,IF(H1866="4)",J1866,IF(H1866="5)",J1866,IF(H1866="6)",J1866,IF(H1866="7)",J1866,IF(H1866="8)",J1866,0))))))))</f>
        <v/>
      </c>
    </row>
    <row r="1868">
      <c r="A1868" s="0" t="inlineStr">
        <is>
          <t>Line</t>
        </is>
      </c>
      <c r="B1868" s="0" t="inlineStr">
        <is>
          <t>Prize</t>
        </is>
      </c>
      <c r="C1868" s="0" t="inlineStr">
        <is>
          <t>Acquired</t>
        </is>
      </c>
      <c r="D1868" s="0" t="inlineStr">
        <is>
          <t>:</t>
        </is>
      </c>
      <c r="E1868" s="0" t="inlineStr">
        <is>
          <t>475.00K</t>
        </is>
      </c>
      <c r="F1868" s="0" t="inlineStr">
        <is>
          <t>(Stage</t>
        </is>
      </c>
      <c r="G1868" s="0" t="inlineStr">
        <is>
          <t>:</t>
        </is>
      </c>
      <c r="H1868" s="0" t="inlineStr">
        <is>
          <t>6)</t>
        </is>
      </c>
      <c r="I1868" s="0" t="inlineStr">
        <is>
          <t>-</t>
        </is>
      </c>
      <c r="J1868" s="0" t="n">
        <v>475000</v>
      </c>
      <c r="K1868" s="0">
        <f>IF(H1867="1)",1,IF(H1867="2)",2,IF(H1867="3)",3,IF(H1867="4)",4,IF(H1867="5)",5,IF(H1867="6)",6,IF(H1867="7)",7,IF(H1867="8)",8,0))))))))</f>
        <v/>
      </c>
      <c r="L1868" s="0">
        <f>IF(H1867="1)",J1867,IF(H1867="2)",J1867,IF(H1867="3)",J1867,IF(H1867="4)",J1867,IF(H1867="5)",J1867,IF(H1867="6)",J1867,IF(H1867="7)",J1867,IF(H1867="8)",J1867,0))))))))</f>
        <v/>
      </c>
    </row>
    <row r="1869">
      <c r="A1869" s="0" t="inlineStr">
        <is>
          <t>Clear</t>
        </is>
      </c>
      <c r="B1869" s="0" t="inlineStr">
        <is>
          <t>Gem</t>
        </is>
      </c>
      <c r="C1869" s="0" t="inlineStr">
        <is>
          <t>Acquired</t>
        </is>
      </c>
      <c r="D1869" s="0" t="inlineStr">
        <is>
          <t>:</t>
        </is>
      </c>
      <c r="E1869" s="0" t="n">
        <v>11400</v>
      </c>
      <c r="F1869" s="0" t="inlineStr">
        <is>
          <t>-&gt;</t>
        </is>
      </c>
      <c r="G1869" s="0" t="n">
        <v>11500</v>
      </c>
      <c r="H1869" s="0" t="inlineStr">
        <is>
          <t>(Stage</t>
        </is>
      </c>
      <c r="I1869" s="0" t="inlineStr">
        <is>
          <t>:</t>
        </is>
      </c>
      <c r="J1869" s="0" t="inlineStr">
        <is>
          <t>6)</t>
        </is>
      </c>
      <c r="K1869" s="0">
        <f>IF(H1868="1)",1,IF(H1868="2)",2,IF(H1868="3)",3,IF(H1868="4)",4,IF(H1868="5)",5,IF(H1868="6)",6,IF(H1868="7)",7,IF(H1868="8)",8,0))))))))</f>
        <v/>
      </c>
      <c r="L1869" s="0">
        <f>IF(H1868="1)",J1868,IF(H1868="2)",J1868,IF(H1868="3)",J1868,IF(H1868="4)",J1868,IF(H1868="5)",J1868,IF(H1868="6)",J1868,IF(H1868="7)",J1868,IF(H1868="8)",J1868,0))))))))</f>
        <v/>
      </c>
    </row>
    <row r="1870">
      <c r="A1870" s="0" t="inlineStr">
        <is>
          <t>New</t>
        </is>
      </c>
      <c r="B1870" s="0" t="inlineStr">
        <is>
          <t>Item</t>
        </is>
      </c>
      <c r="C1870" s="0" t="inlineStr">
        <is>
          <t>Acquired</t>
        </is>
      </c>
      <c r="D1870" s="0" t="inlineStr">
        <is>
          <t>:</t>
        </is>
      </c>
      <c r="E1870" s="0" t="inlineStr">
        <is>
          <t>175.00K</t>
        </is>
      </c>
      <c r="F1870" s="0" t="inlineStr">
        <is>
          <t>(6,</t>
        </is>
      </c>
      <c r="G1870" s="0" t="inlineStr">
        <is>
          <t>25)</t>
        </is>
      </c>
      <c r="K1870" s="0">
        <f>IF(H1869="1)",1,IF(H1869="2)",2,IF(H1869="3)",3,IF(H1869="4)",4,IF(H1869="5)",5,IF(H1869="6)",6,IF(H1869="7)",7,IF(H1869="8)",8,0))))))))</f>
        <v/>
      </c>
      <c r="L1870" s="0">
        <f>IF(H1869="1)",J1869,IF(H1869="2)",J1869,IF(H1869="3)",J1869,IF(H1869="4)",J1869,IF(H1869="5)",J1869,IF(H1869="6)",J1869,IF(H1869="7)",J1869,IF(H1869="8)",J1869,0))))))))</f>
        <v/>
      </c>
    </row>
    <row r="1871">
      <c r="A1871" s="0" t="inlineStr">
        <is>
          <t>New</t>
        </is>
      </c>
      <c r="B1871" s="0" t="inlineStr">
        <is>
          <t>Item</t>
        </is>
      </c>
      <c r="C1871" s="0" t="inlineStr">
        <is>
          <t>Acquired</t>
        </is>
      </c>
      <c r="D1871" s="0" t="inlineStr">
        <is>
          <t>:</t>
        </is>
      </c>
      <c r="E1871" s="0" t="inlineStr">
        <is>
          <t>67.50K</t>
        </is>
      </c>
      <c r="F1871" s="0" t="inlineStr">
        <is>
          <t>(5,</t>
        </is>
      </c>
      <c r="G1871" s="0" t="inlineStr">
        <is>
          <t>10)</t>
        </is>
      </c>
      <c r="K1871" s="0">
        <f>IF(H1870="1)",1,IF(H1870="2)",2,IF(H1870="3)",3,IF(H1870="4)",4,IF(H1870="5)",5,IF(H1870="6)",6,IF(H1870="7)",7,IF(H1870="8)",8,0))))))))</f>
        <v/>
      </c>
      <c r="L1871" s="0">
        <f>IF(H1870="1)",J1870,IF(H1870="2)",J1870,IF(H1870="3)",J1870,IF(H1870="4)",J1870,IF(H1870="5)",J1870,IF(H1870="6)",J1870,IF(H1870="7)",J1870,IF(H1870="8)",J1870,0))))))))</f>
        <v/>
      </c>
    </row>
    <row r="1872">
      <c r="A1872" s="0" t="inlineStr">
        <is>
          <t>New</t>
        </is>
      </c>
      <c r="B1872" s="0" t="inlineStr">
        <is>
          <t>Item</t>
        </is>
      </c>
      <c r="C1872" s="0" t="inlineStr">
        <is>
          <t>Acquired</t>
        </is>
      </c>
      <c r="D1872" s="0" t="inlineStr">
        <is>
          <t>:</t>
        </is>
      </c>
      <c r="E1872" s="0" t="inlineStr">
        <is>
          <t>210.00K</t>
        </is>
      </c>
      <c r="F1872" s="0" t="inlineStr">
        <is>
          <t>(7,</t>
        </is>
      </c>
      <c r="G1872" s="0" t="inlineStr">
        <is>
          <t>10)</t>
        </is>
      </c>
      <c r="K1872" s="0">
        <f>IF(H1871="1)",1,IF(H1871="2)",2,IF(H1871="3)",3,IF(H1871="4)",4,IF(H1871="5)",5,IF(H1871="6)",6,IF(H1871="7)",7,IF(H1871="8)",8,0))))))))</f>
        <v/>
      </c>
      <c r="L1872" s="0">
        <f>IF(H1871="1)",J1871,IF(H1871="2)",J1871,IF(H1871="3)",J1871,IF(H1871="4)",J1871,IF(H1871="5)",J1871,IF(H1871="6)",J1871,IF(H1871="7)",J1871,IF(H1871="8)",J1871,0))))))))</f>
        <v/>
      </c>
    </row>
    <row r="1873">
      <c r="A1873" s="0" t="inlineStr">
        <is>
          <t>New</t>
        </is>
      </c>
      <c r="B1873" s="0" t="inlineStr">
        <is>
          <t>Item</t>
        </is>
      </c>
      <c r="C1873" s="0" t="inlineStr">
        <is>
          <t>Acquired</t>
        </is>
      </c>
      <c r="D1873" s="0" t="inlineStr">
        <is>
          <t>:</t>
        </is>
      </c>
      <c r="E1873" s="0" t="inlineStr">
        <is>
          <t>37.50K</t>
        </is>
      </c>
      <c r="F1873" s="0" t="inlineStr">
        <is>
          <t>(2,</t>
        </is>
      </c>
      <c r="G1873" s="0" t="inlineStr">
        <is>
          <t>24)</t>
        </is>
      </c>
      <c r="K1873" s="0">
        <f>IF(H1872="1)",1,IF(H1872="2)",2,IF(H1872="3)",3,IF(H1872="4)",4,IF(H1872="5)",5,IF(H1872="6)",6,IF(H1872="7)",7,IF(H1872="8)",8,0))))))))</f>
        <v/>
      </c>
      <c r="L1873" s="0">
        <f>IF(H1872="1)",J1872,IF(H1872="2)",J1872,IF(H1872="3)",J1872,IF(H1872="4)",J1872,IF(H1872="5)",J1872,IF(H1872="6)",J1872,IF(H1872="7)",J1872,IF(H1872="8)",J1872,0))))))))</f>
        <v/>
      </c>
    </row>
    <row r="1874">
      <c r="A1874" s="0" t="inlineStr">
        <is>
          <t>New</t>
        </is>
      </c>
      <c r="B1874" s="0" t="inlineStr">
        <is>
          <t>Item</t>
        </is>
      </c>
      <c r="C1874" s="0" t="inlineStr">
        <is>
          <t>Acquired</t>
        </is>
      </c>
      <c r="D1874" s="0" t="inlineStr">
        <is>
          <t>:</t>
        </is>
      </c>
      <c r="E1874" s="0" t="inlineStr">
        <is>
          <t>37.50K</t>
        </is>
      </c>
      <c r="F1874" s="0" t="inlineStr">
        <is>
          <t>(2,</t>
        </is>
      </c>
      <c r="G1874" s="0" t="inlineStr">
        <is>
          <t>4)</t>
        </is>
      </c>
      <c r="K1874" s="0">
        <f>IF(H1873="1)",1,IF(H1873="2)",2,IF(H1873="3)",3,IF(H1873="4)",4,IF(H1873="5)",5,IF(H1873="6)",6,IF(H1873="7)",7,IF(H1873="8)",8,0))))))))</f>
        <v/>
      </c>
      <c r="L1874" s="0">
        <f>IF(H1873="1)",J1873,IF(H1873="2)",J1873,IF(H1873="3)",J1873,IF(H1873="4)",J1873,IF(H1873="5)",J1873,IF(H1873="6)",J1873,IF(H1873="7)",J1873,IF(H1873="8)",J1873,0))))))))</f>
        <v/>
      </c>
    </row>
    <row r="1875">
      <c r="A1875" s="0" t="inlineStr">
        <is>
          <t>New</t>
        </is>
      </c>
      <c r="B1875" s="0" t="inlineStr">
        <is>
          <t>Item</t>
        </is>
      </c>
      <c r="C1875" s="0" t="inlineStr">
        <is>
          <t>Acquired</t>
        </is>
      </c>
      <c r="D1875" s="0" t="inlineStr">
        <is>
          <t>:</t>
        </is>
      </c>
      <c r="E1875" s="0" t="inlineStr">
        <is>
          <t>75.00K</t>
        </is>
      </c>
      <c r="F1875" s="0" t="inlineStr">
        <is>
          <t>(6,</t>
        </is>
      </c>
      <c r="G1875" s="0" t="inlineStr">
        <is>
          <t>15)</t>
        </is>
      </c>
      <c r="K1875" s="0">
        <f>IF(H1874="1)",1,IF(H1874="2)",2,IF(H1874="3)",3,IF(H1874="4)",4,IF(H1874="5)",5,IF(H1874="6)",6,IF(H1874="7)",7,IF(H1874="8)",8,0))))))))</f>
        <v/>
      </c>
      <c r="L1875" s="0">
        <f>IF(H1874="1)",J1874,IF(H1874="2)",J1874,IF(H1874="3)",J1874,IF(H1874="4)",J1874,IF(H1874="5)",J1874,IF(H1874="6)",J1874,IF(H1874="7)",J1874,IF(H1874="8)",J1874,0))))))))</f>
        <v/>
      </c>
    </row>
    <row r="1876">
      <c r="A1876" s="0" t="inlineStr">
        <is>
          <t>New</t>
        </is>
      </c>
      <c r="B1876" s="0" t="inlineStr">
        <is>
          <t>Item</t>
        </is>
      </c>
      <c r="C1876" s="0" t="inlineStr">
        <is>
          <t>Acquired</t>
        </is>
      </c>
      <c r="D1876" s="0" t="inlineStr">
        <is>
          <t>:</t>
        </is>
      </c>
      <c r="E1876" s="0" t="inlineStr">
        <is>
          <t>280.00K</t>
        </is>
      </c>
      <c r="F1876" s="0" t="inlineStr">
        <is>
          <t>(8,</t>
        </is>
      </c>
      <c r="G1876" s="0" t="inlineStr">
        <is>
          <t>11)</t>
        </is>
      </c>
      <c r="K1876" s="0">
        <f>IF(H1875="1)",1,IF(H1875="2)",2,IF(H1875="3)",3,IF(H1875="4)",4,IF(H1875="5)",5,IF(H1875="6)",6,IF(H1875="7)",7,IF(H1875="8)",8,0))))))))</f>
        <v/>
      </c>
      <c r="L1876" s="0">
        <f>IF(H1875="1)",J1875,IF(H1875="2)",J1875,IF(H1875="3)",J1875,IF(H1875="4)",J1875,IF(H1875="5)",J1875,IF(H1875="6)",J1875,IF(H1875="7)",J1875,IF(H1875="8)",J1875,0))))))))</f>
        <v/>
      </c>
    </row>
    <row r="1877">
      <c r="A1877" s="0" t="inlineStr">
        <is>
          <t>New</t>
        </is>
      </c>
      <c r="B1877" s="0" t="inlineStr">
        <is>
          <t>Item</t>
        </is>
      </c>
      <c r="C1877" s="0" t="inlineStr">
        <is>
          <t>Acquired</t>
        </is>
      </c>
      <c r="D1877" s="0" t="inlineStr">
        <is>
          <t>:</t>
        </is>
      </c>
      <c r="E1877" s="0" t="inlineStr">
        <is>
          <t>30.00K</t>
        </is>
      </c>
      <c r="F1877" s="0" t="inlineStr">
        <is>
          <t>(1,</t>
        </is>
      </c>
      <c r="G1877" s="0" t="inlineStr">
        <is>
          <t>20)</t>
        </is>
      </c>
      <c r="K1877" s="0">
        <f>IF(H1876="1)",1,IF(H1876="2)",2,IF(H1876="3)",3,IF(H1876="4)",4,IF(H1876="5)",5,IF(H1876="6)",6,IF(H1876="7)",7,IF(H1876="8)",8,0))))))))</f>
        <v/>
      </c>
      <c r="L1877" s="0">
        <f>IF(H1876="1)",J1876,IF(H1876="2)",J1876,IF(H1876="3)",J1876,IF(H1876="4)",J1876,IF(H1876="5)",J1876,IF(H1876="6)",J1876,IF(H1876="7)",J1876,IF(H1876="8)",J1876,0))))))))</f>
        <v/>
      </c>
    </row>
    <row r="1878">
      <c r="A1878" s="0" t="inlineStr">
        <is>
          <t>New</t>
        </is>
      </c>
      <c r="B1878" s="0" t="inlineStr">
        <is>
          <t>Item</t>
        </is>
      </c>
      <c r="C1878" s="0" t="inlineStr">
        <is>
          <t>Acquired</t>
        </is>
      </c>
      <c r="D1878" s="0" t="inlineStr">
        <is>
          <t>:</t>
        </is>
      </c>
      <c r="E1878" s="0" t="inlineStr">
        <is>
          <t>125.00K</t>
        </is>
      </c>
      <c r="F1878" s="0" t="inlineStr">
        <is>
          <t>(6,</t>
        </is>
      </c>
      <c r="G1878" s="0" t="inlineStr">
        <is>
          <t>20)</t>
        </is>
      </c>
      <c r="K1878" s="0">
        <f>IF(H1877="1)",1,IF(H1877="2)",2,IF(H1877="3)",3,IF(H1877="4)",4,IF(H1877="5)",5,IF(H1877="6)",6,IF(H1877="7)",7,IF(H1877="8)",8,0))))))))</f>
        <v/>
      </c>
      <c r="L1878" s="0">
        <f>IF(H1877="1)",J1877,IF(H1877="2)",J1877,IF(H1877="3)",J1877,IF(H1877="4)",J1877,IF(H1877="5)",J1877,IF(H1877="6)",J1877,IF(H1877="7)",J1877,IF(H1877="8)",J1877,0))))))))</f>
        <v/>
      </c>
    </row>
    <row r="1879">
      <c r="A1879" s="0" t="inlineStr">
        <is>
          <t>New</t>
        </is>
      </c>
      <c r="B1879" s="0" t="inlineStr">
        <is>
          <t>Item</t>
        </is>
      </c>
      <c r="C1879" s="0" t="inlineStr">
        <is>
          <t>Acquired</t>
        </is>
      </c>
      <c r="D1879" s="0" t="inlineStr">
        <is>
          <t>:</t>
        </is>
      </c>
      <c r="E1879" s="0" t="inlineStr">
        <is>
          <t>30.00K</t>
        </is>
      </c>
      <c r="F1879" s="0" t="inlineStr">
        <is>
          <t>(1,</t>
        </is>
      </c>
      <c r="G1879" s="0" t="inlineStr">
        <is>
          <t>2)</t>
        </is>
      </c>
      <c r="K1879" s="0">
        <f>IF(H1878="1)",1,IF(H1878="2)",2,IF(H1878="3)",3,IF(H1878="4)",4,IF(H1878="5)",5,IF(H1878="6)",6,IF(H1878="7)",7,IF(H1878="8)",8,0))))))))</f>
        <v/>
      </c>
      <c r="L1879" s="0">
        <f>IF(H1878="1)",J1878,IF(H1878="2)",J1878,IF(H1878="3)",J1878,IF(H1878="4)",J1878,IF(H1878="5)",J1878,IF(H1878="6)",J1878,IF(H1878="7)",J1878,IF(H1878="8)",J1878,0))))))))</f>
        <v/>
      </c>
    </row>
    <row r="1880">
      <c r="A1880" s="0" t="inlineStr">
        <is>
          <t>New</t>
        </is>
      </c>
      <c r="B1880" s="0" t="inlineStr">
        <is>
          <t>Item</t>
        </is>
      </c>
      <c r="C1880" s="0" t="inlineStr">
        <is>
          <t>Acquired</t>
        </is>
      </c>
      <c r="D1880" s="0" t="inlineStr">
        <is>
          <t>:</t>
        </is>
      </c>
      <c r="E1880" s="0" t="inlineStr">
        <is>
          <t>70.00K</t>
        </is>
      </c>
      <c r="F1880" s="0" t="inlineStr">
        <is>
          <t>(1,</t>
        </is>
      </c>
      <c r="G1880" s="0" t="inlineStr">
        <is>
          <t>6)</t>
        </is>
      </c>
      <c r="K1880" s="0">
        <f>IF(H1879="1)",1,IF(H1879="2)",2,IF(H1879="3)",3,IF(H1879="4)",4,IF(H1879="5)",5,IF(H1879="6)",6,IF(H1879="7)",7,IF(H1879="8)",8,0))))))))</f>
        <v/>
      </c>
      <c r="L1880" s="0">
        <f>IF(H1879="1)",J1879,IF(H1879="2)",J1879,IF(H1879="3)",J1879,IF(H1879="4)",J1879,IF(H1879="5)",J1879,IF(H1879="6)",J1879,IF(H1879="7)",J1879,IF(H1879="8)",J1879,0))))))))</f>
        <v/>
      </c>
    </row>
    <row r="1881">
      <c r="A1881" s="0" t="inlineStr">
        <is>
          <t>New</t>
        </is>
      </c>
      <c r="B1881" s="0" t="inlineStr">
        <is>
          <t>Item</t>
        </is>
      </c>
      <c r="C1881" s="0" t="inlineStr">
        <is>
          <t>Acquired</t>
        </is>
      </c>
      <c r="D1881" s="0" t="inlineStr">
        <is>
          <t>:</t>
        </is>
      </c>
      <c r="E1881" s="0" t="inlineStr">
        <is>
          <t>Mini</t>
        </is>
      </c>
      <c r="F1881" s="0" t="inlineStr">
        <is>
          <t>(5,</t>
        </is>
      </c>
      <c r="G1881" s="0" t="inlineStr">
        <is>
          <t>8)</t>
        </is>
      </c>
      <c r="K1881" s="0">
        <f>IF(H1880="1)",1,IF(H1880="2)",2,IF(H1880="3)",3,IF(H1880="4)",4,IF(H1880="5)",5,IF(H1880="6)",6,IF(H1880="7)",7,IF(H1880="8)",8,0))))))))</f>
        <v/>
      </c>
      <c r="L1881" s="0">
        <f>IF(H1880="1)",J1880,IF(H1880="2)",J1880,IF(H1880="3)",J1880,IF(H1880="4)",J1880,IF(H1880="5)",J1880,IF(H1880="6)",J1880,IF(H1880="7)",J1880,IF(H1880="8)",J1880,0))))))))</f>
        <v/>
      </c>
    </row>
    <row r="1882">
      <c r="A1882" s="0" t="inlineStr">
        <is>
          <t>New</t>
        </is>
      </c>
      <c r="B1882" s="0" t="inlineStr">
        <is>
          <t>Item</t>
        </is>
      </c>
      <c r="C1882" s="0" t="inlineStr">
        <is>
          <t>Acquired</t>
        </is>
      </c>
      <c r="D1882" s="0" t="inlineStr">
        <is>
          <t>:</t>
        </is>
      </c>
      <c r="E1882" s="0" t="inlineStr">
        <is>
          <t>90.00K</t>
        </is>
      </c>
      <c r="F1882" s="0" t="inlineStr">
        <is>
          <t>(7,</t>
        </is>
      </c>
      <c r="G1882" s="0" t="inlineStr">
        <is>
          <t>17)</t>
        </is>
      </c>
      <c r="K1882" s="0">
        <f>IF(H1881="1)",1,IF(H1881="2)",2,IF(H1881="3)",3,IF(H1881="4)",4,IF(H1881="5)",5,IF(H1881="6)",6,IF(H1881="7)",7,IF(H1881="8)",8,0))))))))</f>
        <v/>
      </c>
      <c r="L1882" s="0">
        <f>IF(H1881="1)",J1881,IF(H1881="2)",J1881,IF(H1881="3)",J1881,IF(H1881="4)",J1881,IF(H1881="5)",J1881,IF(H1881="6)",J1881,IF(H1881="7)",J1881,IF(H1881="8)",J1881,0))))))))</f>
        <v/>
      </c>
    </row>
    <row r="1883">
      <c r="A1883" s="0" t="inlineStr">
        <is>
          <t>New</t>
        </is>
      </c>
      <c r="B1883" s="0" t="inlineStr">
        <is>
          <t>Item</t>
        </is>
      </c>
      <c r="C1883" s="0" t="inlineStr">
        <is>
          <t>Acquired</t>
        </is>
      </c>
      <c r="D1883" s="0" t="inlineStr">
        <is>
          <t>:</t>
        </is>
      </c>
      <c r="E1883" s="0" t="inlineStr">
        <is>
          <t>90.00K</t>
        </is>
      </c>
      <c r="F1883" s="0" t="inlineStr">
        <is>
          <t>(7,</t>
        </is>
      </c>
      <c r="G1883" s="0" t="inlineStr">
        <is>
          <t>6)</t>
        </is>
      </c>
      <c r="K1883" s="0">
        <f>IF(H1882="1)",1,IF(H1882="2)",2,IF(H1882="3)",3,IF(H1882="4)",4,IF(H1882="5)",5,IF(H1882="6)",6,IF(H1882="7)",7,IF(H1882="8)",8,0))))))))</f>
        <v/>
      </c>
      <c r="L1883" s="0">
        <f>IF(H1882="1)",J1882,IF(H1882="2)",J1882,IF(H1882="3)",J1882,IF(H1882="4)",J1882,IF(H1882="5)",J1882,IF(H1882="6)",J1882,IF(H1882="7)",J1882,IF(H1882="8)",J1882,0))))))))</f>
        <v/>
      </c>
    </row>
    <row r="1884">
      <c r="A1884" s="0" t="inlineStr">
        <is>
          <t>New</t>
        </is>
      </c>
      <c r="B1884" s="0" t="inlineStr">
        <is>
          <t>Item</t>
        </is>
      </c>
      <c r="C1884" s="0" t="inlineStr">
        <is>
          <t>Acquired</t>
        </is>
      </c>
      <c r="D1884" s="0" t="inlineStr">
        <is>
          <t>:</t>
        </is>
      </c>
      <c r="E1884" s="0" t="inlineStr">
        <is>
          <t>67.50K</t>
        </is>
      </c>
      <c r="F1884" s="0" t="inlineStr">
        <is>
          <t>(5,</t>
        </is>
      </c>
      <c r="G1884" s="0" t="inlineStr">
        <is>
          <t>25)</t>
        </is>
      </c>
      <c r="K1884" s="0">
        <f>IF(H1883="1)",1,IF(H1883="2)",2,IF(H1883="3)",3,IF(H1883="4)",4,IF(H1883="5)",5,IF(H1883="6)",6,IF(H1883="7)",7,IF(H1883="8)",8,0))))))))</f>
        <v/>
      </c>
      <c r="L1884" s="0">
        <f>IF(H1883="1)",J1883,IF(H1883="2)",J1883,IF(H1883="3)",J1883,IF(H1883="4)",J1883,IF(H1883="5)",J1883,IF(H1883="6)",J1883,IF(H1883="7)",J1883,IF(H1883="8)",J1883,0))))))))</f>
        <v/>
      </c>
    </row>
    <row r="1885">
      <c r="A1885" s="0" t="inlineStr">
        <is>
          <t>New</t>
        </is>
      </c>
      <c r="B1885" s="0" t="inlineStr">
        <is>
          <t>Item</t>
        </is>
      </c>
      <c r="C1885" s="0" t="inlineStr">
        <is>
          <t>Acquired</t>
        </is>
      </c>
      <c r="D1885" s="0" t="inlineStr">
        <is>
          <t>:</t>
        </is>
      </c>
      <c r="E1885" s="0" t="inlineStr">
        <is>
          <t>280.00K</t>
        </is>
      </c>
      <c r="F1885" s="0" t="inlineStr">
        <is>
          <t>(8,</t>
        </is>
      </c>
      <c r="G1885" s="0" t="inlineStr">
        <is>
          <t>23)</t>
        </is>
      </c>
      <c r="K1885" s="0">
        <f>IF(H1884="1)",1,IF(H1884="2)",2,IF(H1884="3)",3,IF(H1884="4)",4,IF(H1884="5)",5,IF(H1884="6)",6,IF(H1884="7)",7,IF(H1884="8)",8,0))))))))</f>
        <v/>
      </c>
      <c r="L1885" s="0">
        <f>IF(H1884="1)",J1884,IF(H1884="2)",J1884,IF(H1884="3)",J1884,IF(H1884="4)",J1884,IF(H1884="5)",J1884,IF(H1884="6)",J1884,IF(H1884="7)",J1884,IF(H1884="8)",J1884,0))))))))</f>
        <v/>
      </c>
    </row>
    <row r="1886">
      <c r="A1886" s="0" t="inlineStr">
        <is>
          <t>New</t>
        </is>
      </c>
      <c r="B1886" s="0" t="inlineStr">
        <is>
          <t>Item</t>
        </is>
      </c>
      <c r="C1886" s="0" t="inlineStr">
        <is>
          <t>Acquired</t>
        </is>
      </c>
      <c r="D1886" s="0" t="inlineStr">
        <is>
          <t>:</t>
        </is>
      </c>
      <c r="E1886" s="0" t="inlineStr">
        <is>
          <t>105.00K</t>
        </is>
      </c>
      <c r="F1886" s="0" t="inlineStr">
        <is>
          <t>(3,</t>
        </is>
      </c>
      <c r="G1886" s="0" t="inlineStr">
        <is>
          <t>17)</t>
        </is>
      </c>
      <c r="K1886" s="0">
        <f>IF(H1885="1)",1,IF(H1885="2)",2,IF(H1885="3)",3,IF(H1885="4)",4,IF(H1885="5)",5,IF(H1885="6)",6,IF(H1885="7)",7,IF(H1885="8)",8,0))))))))</f>
        <v/>
      </c>
      <c r="L1886" s="0">
        <f>IF(H1885="1)",J1885,IF(H1885="2)",J1885,IF(H1885="3)",J1885,IF(H1885="4)",J1885,IF(H1885="5)",J1885,IF(H1885="6)",J1885,IF(H1885="7)",J1885,IF(H1885="8)",J1885,0))))))))</f>
        <v/>
      </c>
    </row>
    <row r="1887">
      <c r="A1887" s="0" t="inlineStr">
        <is>
          <t>New</t>
        </is>
      </c>
      <c r="B1887" s="0" t="inlineStr">
        <is>
          <t>Item</t>
        </is>
      </c>
      <c r="C1887" s="0" t="inlineStr">
        <is>
          <t>Acquired</t>
        </is>
      </c>
      <c r="D1887" s="0" t="inlineStr">
        <is>
          <t>:</t>
        </is>
      </c>
      <c r="E1887" s="0" t="inlineStr">
        <is>
          <t>67.50K</t>
        </is>
      </c>
      <c r="F1887" s="0" t="inlineStr">
        <is>
          <t>(5,</t>
        </is>
      </c>
      <c r="G1887" s="0" t="inlineStr">
        <is>
          <t>17)</t>
        </is>
      </c>
      <c r="K1887" s="0">
        <f>IF(H1886="1)",1,IF(H1886="2)",2,IF(H1886="3)",3,IF(H1886="4)",4,IF(H1886="5)",5,IF(H1886="6)",6,IF(H1886="7)",7,IF(H1886="8)",8,0))))))))</f>
        <v/>
      </c>
      <c r="L1887" s="0">
        <f>IF(H1886="1)",J1886,IF(H1886="2)",J1886,IF(H1886="3)",J1886,IF(H1886="4)",J1886,IF(H1886="5)",J1886,IF(H1886="6)",J1886,IF(H1886="7)",J1886,IF(H1886="8)",J1886,0))))))))</f>
        <v/>
      </c>
    </row>
    <row r="1888">
      <c r="A1888" s="0" t="inlineStr">
        <is>
          <t>New</t>
        </is>
      </c>
      <c r="B1888" s="0" t="inlineStr">
        <is>
          <t>Item</t>
        </is>
      </c>
      <c r="C1888" s="0" t="inlineStr">
        <is>
          <t>Acquired</t>
        </is>
      </c>
      <c r="D1888" s="0" t="inlineStr">
        <is>
          <t>:</t>
        </is>
      </c>
      <c r="E1888" s="0" t="inlineStr">
        <is>
          <t>67.50K</t>
        </is>
      </c>
      <c r="F1888" s="0" t="inlineStr">
        <is>
          <t>(5,</t>
        </is>
      </c>
      <c r="G1888" s="0" t="inlineStr">
        <is>
          <t>15)</t>
        </is>
      </c>
      <c r="K1888" s="0">
        <f>IF(H1887="1)",1,IF(H1887="2)",2,IF(H1887="3)",3,IF(H1887="4)",4,IF(H1887="5)",5,IF(H1887="6)",6,IF(H1887="7)",7,IF(H1887="8)",8,0))))))))</f>
        <v/>
      </c>
      <c r="L1888" s="0">
        <f>IF(H1887="1)",J1887,IF(H1887="2)",J1887,IF(H1887="3)",J1887,IF(H1887="4)",J1887,IF(H1887="5)",J1887,IF(H1887="6)",J1887,IF(H1887="7)",J1887,IF(H1887="8)",J1887,0))))))))</f>
        <v/>
      </c>
    </row>
    <row r="1889">
      <c r="A1889" s="0" t="inlineStr">
        <is>
          <t>New</t>
        </is>
      </c>
      <c r="B1889" s="0" t="inlineStr">
        <is>
          <t>Item</t>
        </is>
      </c>
      <c r="C1889" s="0" t="inlineStr">
        <is>
          <t>Acquired</t>
        </is>
      </c>
      <c r="D1889" s="0" t="inlineStr">
        <is>
          <t>:</t>
        </is>
      </c>
      <c r="E1889" s="0" t="inlineStr">
        <is>
          <t>45.00K</t>
        </is>
      </c>
      <c r="F1889" s="0" t="inlineStr">
        <is>
          <t>(3,</t>
        </is>
      </c>
      <c r="G1889" s="0" t="inlineStr">
        <is>
          <t>1)</t>
        </is>
      </c>
      <c r="K1889" s="0">
        <f>IF(H1888="1)",1,IF(H1888="2)",2,IF(H1888="3)",3,IF(H1888="4)",4,IF(H1888="5)",5,IF(H1888="6)",6,IF(H1888="7)",7,IF(H1888="8)",8,0))))))))</f>
        <v/>
      </c>
      <c r="L1889" s="0">
        <f>IF(H1888="1)",J1888,IF(H1888="2)",J1888,IF(H1888="3)",J1888,IF(H1888="4)",J1888,IF(H1888="5)",J1888,IF(H1888="6)",J1888,IF(H1888="7)",J1888,IF(H1888="8)",J1888,0))))))))</f>
        <v/>
      </c>
    </row>
    <row r="1890">
      <c r="A1890" s="0" t="inlineStr">
        <is>
          <t>New</t>
        </is>
      </c>
      <c r="B1890" s="0" t="inlineStr">
        <is>
          <t>Item</t>
        </is>
      </c>
      <c r="C1890" s="0" t="inlineStr">
        <is>
          <t>Acquired</t>
        </is>
      </c>
      <c r="D1890" s="0" t="inlineStr">
        <is>
          <t>:</t>
        </is>
      </c>
      <c r="E1890" s="0" t="inlineStr">
        <is>
          <t>112.50K</t>
        </is>
      </c>
      <c r="F1890" s="0" t="inlineStr">
        <is>
          <t>(5,</t>
        </is>
      </c>
      <c r="G1890" s="0" t="inlineStr">
        <is>
          <t>9)</t>
        </is>
      </c>
      <c r="K1890" s="0">
        <f>IF(H1889="1)",1,IF(H1889="2)",2,IF(H1889="3)",3,IF(H1889="4)",4,IF(H1889="5)",5,IF(H1889="6)",6,IF(H1889="7)",7,IF(H1889="8)",8,0))))))))</f>
        <v/>
      </c>
      <c r="L1890" s="0">
        <f>IF(H1889="1)",J1889,IF(H1889="2)",J1889,IF(H1889="3)",J1889,IF(H1889="4)",J1889,IF(H1889="5)",J1889,IF(H1889="6)",J1889,IF(H1889="7)",J1889,IF(H1889="8)",J1889,0))))))))</f>
        <v/>
      </c>
    </row>
    <row r="1891">
      <c r="A1891" s="0" t="inlineStr">
        <is>
          <t>New</t>
        </is>
      </c>
      <c r="B1891" s="0" t="inlineStr">
        <is>
          <t>Item</t>
        </is>
      </c>
      <c r="C1891" s="0" t="inlineStr">
        <is>
          <t>Acquired</t>
        </is>
      </c>
      <c r="D1891" s="0" t="inlineStr">
        <is>
          <t>:</t>
        </is>
      </c>
      <c r="E1891" s="0" t="inlineStr">
        <is>
          <t>112.50K</t>
        </is>
      </c>
      <c r="F1891" s="0" t="inlineStr">
        <is>
          <t>(5,</t>
        </is>
      </c>
      <c r="G1891" s="0" t="inlineStr">
        <is>
          <t>18)</t>
        </is>
      </c>
      <c r="K1891" s="0">
        <f>IF(H1890="1)",1,IF(H1890="2)",2,IF(H1890="3)",3,IF(H1890="4)",4,IF(H1890="5)",5,IF(H1890="6)",6,IF(H1890="7)",7,IF(H1890="8)",8,0))))))))</f>
        <v/>
      </c>
      <c r="L1891" s="0">
        <f>IF(H1890="1)",J1890,IF(H1890="2)",J1890,IF(H1890="3)",J1890,IF(H1890="4)",J1890,IF(H1890="5)",J1890,IF(H1890="6)",J1890,IF(H1890="7)",J1890,IF(H1890="8)",J1890,0))))))))</f>
        <v/>
      </c>
    </row>
    <row r="1892">
      <c r="A1892" s="0" t="inlineStr">
        <is>
          <t>New</t>
        </is>
      </c>
      <c r="B1892" s="0" t="inlineStr">
        <is>
          <t>Item</t>
        </is>
      </c>
      <c r="C1892" s="0" t="inlineStr">
        <is>
          <t>Acquired</t>
        </is>
      </c>
      <c r="D1892" s="0" t="inlineStr">
        <is>
          <t>:</t>
        </is>
      </c>
      <c r="E1892" s="0" t="inlineStr">
        <is>
          <t>67.50K</t>
        </is>
      </c>
      <c r="F1892" s="0" t="inlineStr">
        <is>
          <t>(5,</t>
        </is>
      </c>
      <c r="G1892" s="0" t="inlineStr">
        <is>
          <t>3)</t>
        </is>
      </c>
      <c r="K1892" s="0">
        <f>IF(H1891="1)",1,IF(H1891="2)",2,IF(H1891="3)",3,IF(H1891="4)",4,IF(H1891="5)",5,IF(H1891="6)",6,IF(H1891="7)",7,IF(H1891="8)",8,0))))))))</f>
        <v/>
      </c>
      <c r="L1892" s="0">
        <f>IF(H1891="1)",J1891,IF(H1891="2)",J1891,IF(H1891="3)",J1891,IF(H1891="4)",J1891,IF(H1891="5)",J1891,IF(H1891="6)",J1891,IF(H1891="7)",J1891,IF(H1891="8)",J1891,0))))))))</f>
        <v/>
      </c>
    </row>
    <row r="1893">
      <c r="A1893" s="0" t="inlineStr">
        <is>
          <t>New</t>
        </is>
      </c>
      <c r="B1893" s="0" t="inlineStr">
        <is>
          <t>Item</t>
        </is>
      </c>
      <c r="C1893" s="0" t="inlineStr">
        <is>
          <t>Acquired</t>
        </is>
      </c>
      <c r="D1893" s="0" t="inlineStr">
        <is>
          <t>:</t>
        </is>
      </c>
      <c r="E1893" s="0" t="inlineStr">
        <is>
          <t>45.00K</t>
        </is>
      </c>
      <c r="F1893" s="0" t="inlineStr">
        <is>
          <t>(3,</t>
        </is>
      </c>
      <c r="G1893" s="0" t="inlineStr">
        <is>
          <t>4)</t>
        </is>
      </c>
      <c r="K1893" s="0">
        <f>IF(H1892="1)",1,IF(H1892="2)",2,IF(H1892="3)",3,IF(H1892="4)",4,IF(H1892="5)",5,IF(H1892="6)",6,IF(H1892="7)",7,IF(H1892="8)",8,0))))))))</f>
        <v/>
      </c>
      <c r="L1893" s="0">
        <f>IF(H1892="1)",J1892,IF(H1892="2)",J1892,IF(H1892="3)",J1892,IF(H1892="4)",J1892,IF(H1892="5)",J1892,IF(H1892="6)",J1892,IF(H1892="7)",J1892,IF(H1892="8)",J1892,0))))))))</f>
        <v/>
      </c>
    </row>
    <row r="1894">
      <c r="A1894" s="0" t="inlineStr">
        <is>
          <t>New</t>
        </is>
      </c>
      <c r="B1894" s="0" t="inlineStr">
        <is>
          <t>Item</t>
        </is>
      </c>
      <c r="C1894" s="0" t="inlineStr">
        <is>
          <t>Acquired</t>
        </is>
      </c>
      <c r="D1894" s="0" t="inlineStr">
        <is>
          <t>:</t>
        </is>
      </c>
      <c r="E1894" s="0" t="inlineStr">
        <is>
          <t>75.00K</t>
        </is>
      </c>
      <c r="F1894" s="0" t="inlineStr">
        <is>
          <t>(3,</t>
        </is>
      </c>
      <c r="G1894" s="0" t="inlineStr">
        <is>
          <t>19)</t>
        </is>
      </c>
      <c r="K1894" s="0">
        <f>IF(H1893="1)",1,IF(H1893="2)",2,IF(H1893="3)",3,IF(H1893="4)",4,IF(H1893="5)",5,IF(H1893="6)",6,IF(H1893="7)",7,IF(H1893="8)",8,0))))))))</f>
        <v/>
      </c>
      <c r="L1894" s="0">
        <f>IF(H1893="1)",J1893,IF(H1893="2)",J1893,IF(H1893="3)",J1893,IF(H1893="4)",J1893,IF(H1893="5)",J1893,IF(H1893="6)",J1893,IF(H1893="7)",J1893,IF(H1893="8)",J1893,0))))))))</f>
        <v/>
      </c>
    </row>
    <row r="1895">
      <c r="A1895" s="0" t="inlineStr">
        <is>
          <t>New</t>
        </is>
      </c>
      <c r="B1895" s="0" t="inlineStr">
        <is>
          <t>Item</t>
        </is>
      </c>
      <c r="C1895" s="0" t="inlineStr">
        <is>
          <t>Acquired</t>
        </is>
      </c>
      <c r="D1895" s="0" t="inlineStr">
        <is>
          <t>:</t>
        </is>
      </c>
      <c r="E1895" s="0" t="inlineStr">
        <is>
          <t>120.00K</t>
        </is>
      </c>
      <c r="F1895" s="0" t="inlineStr">
        <is>
          <t>(8,</t>
        </is>
      </c>
      <c r="G1895" s="0" t="inlineStr">
        <is>
          <t>22)</t>
        </is>
      </c>
      <c r="K1895" s="0">
        <f>IF(H1894="1)",1,IF(H1894="2)",2,IF(H1894="3)",3,IF(H1894="4)",4,IF(H1894="5)",5,IF(H1894="6)",6,IF(H1894="7)",7,IF(H1894="8)",8,0))))))))</f>
        <v/>
      </c>
      <c r="L1895" s="0">
        <f>IF(H1894="1)",J1894,IF(H1894="2)",J1894,IF(H1894="3)",J1894,IF(H1894="4)",J1894,IF(H1894="5)",J1894,IF(H1894="6)",J1894,IF(H1894="7)",J1894,IF(H1894="8)",J1894,0))))))))</f>
        <v/>
      </c>
    </row>
    <row r="1896">
      <c r="A1896" s="0" t="inlineStr">
        <is>
          <t>Line</t>
        </is>
      </c>
      <c r="B1896" s="0" t="inlineStr">
        <is>
          <t>Prize</t>
        </is>
      </c>
      <c r="C1896" s="0" t="inlineStr">
        <is>
          <t>Acquired</t>
        </is>
      </c>
      <c r="D1896" s="0" t="inlineStr">
        <is>
          <t>:</t>
        </is>
      </c>
      <c r="E1896" s="0" t="inlineStr">
        <is>
          <t>840.00K</t>
        </is>
      </c>
      <c r="F1896" s="0" t="inlineStr">
        <is>
          <t>(Stage</t>
        </is>
      </c>
      <c r="G1896" s="0" t="inlineStr">
        <is>
          <t>:</t>
        </is>
      </c>
      <c r="H1896" s="0" t="inlineStr">
        <is>
          <t>8)</t>
        </is>
      </c>
      <c r="I1896" s="0" t="inlineStr">
        <is>
          <t>-</t>
        </is>
      </c>
      <c r="J1896" s="0" t="n">
        <v>840000</v>
      </c>
      <c r="K1896" s="0">
        <f>IF(H1895="1)",1,IF(H1895="2)",2,IF(H1895="3)",3,IF(H1895="4)",4,IF(H1895="5)",5,IF(H1895="6)",6,IF(H1895="7)",7,IF(H1895="8)",8,0))))))))</f>
        <v/>
      </c>
      <c r="L1896" s="0">
        <f>IF(H1895="1)",J1895,IF(H1895="2)",J1895,IF(H1895="3)",J1895,IF(H1895="4)",J1895,IF(H1895="5)",J1895,IF(H1895="6)",J1895,IF(H1895="7)",J1895,IF(H1895="8)",J1895,0))))))))</f>
        <v/>
      </c>
    </row>
    <row r="1897">
      <c r="A1897" s="0" t="inlineStr">
        <is>
          <t>Clear</t>
        </is>
      </c>
      <c r="B1897" s="0" t="inlineStr">
        <is>
          <t>Gem</t>
        </is>
      </c>
      <c r="C1897" s="0" t="inlineStr">
        <is>
          <t>Acquired</t>
        </is>
      </c>
      <c r="D1897" s="0" t="inlineStr">
        <is>
          <t>:</t>
        </is>
      </c>
      <c r="E1897" s="0" t="n">
        <v>11500</v>
      </c>
      <c r="F1897" s="0" t="inlineStr">
        <is>
          <t>-&gt;</t>
        </is>
      </c>
      <c r="G1897" s="0" t="n">
        <v>11600</v>
      </c>
      <c r="H1897" s="0" t="inlineStr">
        <is>
          <t>(Stage</t>
        </is>
      </c>
      <c r="I1897" s="0" t="inlineStr">
        <is>
          <t>:</t>
        </is>
      </c>
      <c r="J1897" s="0" t="inlineStr">
        <is>
          <t>8)</t>
        </is>
      </c>
      <c r="K1897" s="0">
        <f>IF(H1896="1)",1,IF(H1896="2)",2,IF(H1896="3)",3,IF(H1896="4)",4,IF(H1896="5)",5,IF(H1896="6)",6,IF(H1896="7)",7,IF(H1896="8)",8,0))))))))</f>
        <v/>
      </c>
      <c r="L1897" s="0">
        <f>IF(H1896="1)",J1896,IF(H1896="2)",J1896,IF(H1896="3)",J1896,IF(H1896="4)",J1896,IF(H1896="5)",J1896,IF(H1896="6)",J1896,IF(H1896="7)",J1896,IF(H1896="8)",J1896,0))))))))</f>
        <v/>
      </c>
    </row>
    <row r="1898">
      <c r="A1898" s="0" t="inlineStr">
        <is>
          <t>New</t>
        </is>
      </c>
      <c r="B1898" s="0" t="inlineStr">
        <is>
          <t>Item</t>
        </is>
      </c>
      <c r="C1898" s="0" t="inlineStr">
        <is>
          <t>Acquired</t>
        </is>
      </c>
      <c r="D1898" s="0" t="inlineStr">
        <is>
          <t>:</t>
        </is>
      </c>
      <c r="E1898" s="0" t="inlineStr">
        <is>
          <t>150.00K</t>
        </is>
      </c>
      <c r="F1898" s="0" t="inlineStr">
        <is>
          <t>(7,</t>
        </is>
      </c>
      <c r="G1898" s="0" t="inlineStr">
        <is>
          <t>3)</t>
        </is>
      </c>
      <c r="K1898" s="0">
        <f>IF(H1897="1)",1,IF(H1897="2)",2,IF(H1897="3)",3,IF(H1897="4)",4,IF(H1897="5)",5,IF(H1897="6)",6,IF(H1897="7)",7,IF(H1897="8)",8,0))))))))</f>
        <v/>
      </c>
      <c r="L1898" s="0">
        <f>IF(H1897="1)",J1897,IF(H1897="2)",J1897,IF(H1897="3)",J1897,IF(H1897="4)",J1897,IF(H1897="5)",J1897,IF(H1897="6)",J1897,IF(H1897="7)",J1897,IF(H1897="8)",J1897,0))))))))</f>
        <v/>
      </c>
    </row>
    <row r="1899">
      <c r="A1899" s="0" t="inlineStr">
        <is>
          <t>New</t>
        </is>
      </c>
      <c r="B1899" s="0" t="inlineStr">
        <is>
          <t>Item</t>
        </is>
      </c>
      <c r="C1899" s="0" t="inlineStr">
        <is>
          <t>Acquired</t>
        </is>
      </c>
      <c r="D1899" s="0" t="inlineStr">
        <is>
          <t>:</t>
        </is>
      </c>
      <c r="E1899" s="0" t="inlineStr">
        <is>
          <t>175.00K</t>
        </is>
      </c>
      <c r="F1899" s="0" t="inlineStr">
        <is>
          <t>(6,</t>
        </is>
      </c>
      <c r="G1899" s="0" t="inlineStr">
        <is>
          <t>12)</t>
        </is>
      </c>
      <c r="K1899" s="0">
        <f>IF(H1898="1)",1,IF(H1898="2)",2,IF(H1898="3)",3,IF(H1898="4)",4,IF(H1898="5)",5,IF(H1898="6)",6,IF(H1898="7)",7,IF(H1898="8)",8,0))))))))</f>
        <v/>
      </c>
      <c r="L1899" s="0">
        <f>IF(H1898="1)",J1898,IF(H1898="2)",J1898,IF(H1898="3)",J1898,IF(H1898="4)",J1898,IF(H1898="5)",J1898,IF(H1898="6)",J1898,IF(H1898="7)",J1898,IF(H1898="8)",J1898,0))))))))</f>
        <v/>
      </c>
    </row>
    <row r="1900">
      <c r="A1900" s="0" t="inlineStr">
        <is>
          <t>New</t>
        </is>
      </c>
      <c r="B1900" s="0" t="inlineStr">
        <is>
          <t>Item</t>
        </is>
      </c>
      <c r="C1900" s="0" t="inlineStr">
        <is>
          <t>Acquired</t>
        </is>
      </c>
      <c r="D1900" s="0" t="inlineStr">
        <is>
          <t>:</t>
        </is>
      </c>
      <c r="E1900" s="0" t="inlineStr">
        <is>
          <t>Mini</t>
        </is>
      </c>
      <c r="F1900" s="0" t="inlineStr">
        <is>
          <t>(3,</t>
        </is>
      </c>
      <c r="G1900" s="0" t="inlineStr">
        <is>
          <t>11)</t>
        </is>
      </c>
      <c r="K1900" s="0">
        <f>IF(H1899="1)",1,IF(H1899="2)",2,IF(H1899="3)",3,IF(H1899="4)",4,IF(H1899="5)",5,IF(H1899="6)",6,IF(H1899="7)",7,IF(H1899="8)",8,0))))))))</f>
        <v/>
      </c>
      <c r="L1900" s="0">
        <f>IF(H1899="1)",J1899,IF(H1899="2)",J1899,IF(H1899="3)",J1899,IF(H1899="4)",J1899,IF(H1899="5)",J1899,IF(H1899="6)",J1899,IF(H1899="7)",J1899,IF(H1899="8)",J1899,0))))))))</f>
        <v/>
      </c>
    </row>
    <row r="1901">
      <c r="A1901" s="0" t="inlineStr">
        <is>
          <t>New</t>
        </is>
      </c>
      <c r="B1901" s="0" t="inlineStr">
        <is>
          <t>Item</t>
        </is>
      </c>
      <c r="C1901" s="0" t="inlineStr">
        <is>
          <t>Acquired</t>
        </is>
      </c>
      <c r="D1901" s="0" t="inlineStr">
        <is>
          <t>:</t>
        </is>
      </c>
      <c r="E1901" s="0" t="inlineStr">
        <is>
          <t>280.00K</t>
        </is>
      </c>
      <c r="F1901" s="0" t="inlineStr">
        <is>
          <t>(8,</t>
        </is>
      </c>
      <c r="G1901" s="0" t="inlineStr">
        <is>
          <t>23)</t>
        </is>
      </c>
      <c r="K1901" s="0">
        <f>IF(H1900="1)",1,IF(H1900="2)",2,IF(H1900="3)",3,IF(H1900="4)",4,IF(H1900="5)",5,IF(H1900="6)",6,IF(H1900="7)",7,IF(H1900="8)",8,0))))))))</f>
        <v/>
      </c>
      <c r="L1901" s="0">
        <f>IF(H1900="1)",J1900,IF(H1900="2)",J1900,IF(H1900="3)",J1900,IF(H1900="4)",J1900,IF(H1900="5)",J1900,IF(H1900="6)",J1900,IF(H1900="7)",J1900,IF(H1900="8)",J1900,0))))))))</f>
        <v/>
      </c>
    </row>
    <row r="1902">
      <c r="A1902" s="0" t="inlineStr">
        <is>
          <t>New</t>
        </is>
      </c>
      <c r="B1902" s="0" t="inlineStr">
        <is>
          <t>Item</t>
        </is>
      </c>
      <c r="C1902" s="0" t="inlineStr">
        <is>
          <t>Acquired</t>
        </is>
      </c>
      <c r="D1902" s="0" t="inlineStr">
        <is>
          <t>:</t>
        </is>
      </c>
      <c r="E1902" s="0" t="inlineStr">
        <is>
          <t>87.50K</t>
        </is>
      </c>
      <c r="F1902" s="0" t="inlineStr">
        <is>
          <t>(2,</t>
        </is>
      </c>
      <c r="G1902" s="0" t="inlineStr">
        <is>
          <t>25)</t>
        </is>
      </c>
      <c r="K1902" s="0">
        <f>IF(H1901="1)",1,IF(H1901="2)",2,IF(H1901="3)",3,IF(H1901="4)",4,IF(H1901="5)",5,IF(H1901="6)",6,IF(H1901="7)",7,IF(H1901="8)",8,0))))))))</f>
        <v/>
      </c>
      <c r="L1902" s="0">
        <f>IF(H1901="1)",J1901,IF(H1901="2)",J1901,IF(H1901="3)",J1901,IF(H1901="4)",J1901,IF(H1901="5)",J1901,IF(H1901="6)",J1901,IF(H1901="7)",J1901,IF(H1901="8)",J1901,0))))))))</f>
        <v/>
      </c>
    </row>
    <row r="1903">
      <c r="A1903" s="0" t="inlineStr">
        <is>
          <t>New</t>
        </is>
      </c>
      <c r="B1903" s="0" t="inlineStr">
        <is>
          <t>Item</t>
        </is>
      </c>
      <c r="C1903" s="0" t="inlineStr">
        <is>
          <t>Acquired</t>
        </is>
      </c>
      <c r="D1903" s="0" t="inlineStr">
        <is>
          <t>:</t>
        </is>
      </c>
      <c r="E1903" s="0" t="inlineStr">
        <is>
          <t>87.50K</t>
        </is>
      </c>
      <c r="F1903" s="0" t="inlineStr">
        <is>
          <t>(2,</t>
        </is>
      </c>
      <c r="G1903" s="0" t="inlineStr">
        <is>
          <t>19)</t>
        </is>
      </c>
      <c r="K1903" s="0">
        <f>IF(H1902="1)",1,IF(H1902="2)",2,IF(H1902="3)",3,IF(H1902="4)",4,IF(H1902="5)",5,IF(H1902="6)",6,IF(H1902="7)",7,IF(H1902="8)",8,0))))))))</f>
        <v/>
      </c>
      <c r="L1903" s="0">
        <f>IF(H1902="1)",J1902,IF(H1902="2)",J1902,IF(H1902="3)",J1902,IF(H1902="4)",J1902,IF(H1902="5)",J1902,IF(H1902="6)",J1902,IF(H1902="7)",J1902,IF(H1902="8)",J1902,0))))))))</f>
        <v/>
      </c>
    </row>
    <row r="1904">
      <c r="A1904" s="0" t="inlineStr">
        <is>
          <t>New</t>
        </is>
      </c>
      <c r="B1904" s="0" t="inlineStr">
        <is>
          <t>Item</t>
        </is>
      </c>
      <c r="C1904" s="0" t="inlineStr">
        <is>
          <t>Acquired</t>
        </is>
      </c>
      <c r="D1904" s="0" t="inlineStr">
        <is>
          <t>:</t>
        </is>
      </c>
      <c r="E1904" s="0" t="inlineStr">
        <is>
          <t>37.50K</t>
        </is>
      </c>
      <c r="F1904" s="0" t="inlineStr">
        <is>
          <t>(2,</t>
        </is>
      </c>
      <c r="G1904" s="0" t="inlineStr">
        <is>
          <t>8)</t>
        </is>
      </c>
      <c r="K1904" s="0">
        <f>IF(H1903="1)",1,IF(H1903="2)",2,IF(H1903="3)",3,IF(H1903="4)",4,IF(H1903="5)",5,IF(H1903="6)",6,IF(H1903="7)",7,IF(H1903="8)",8,0))))))))</f>
        <v/>
      </c>
      <c r="L1904" s="0">
        <f>IF(H1903="1)",J1903,IF(H1903="2)",J1903,IF(H1903="3)",J1903,IF(H1903="4)",J1903,IF(H1903="5)",J1903,IF(H1903="6)",J1903,IF(H1903="7)",J1903,IF(H1903="8)",J1903,0))))))))</f>
        <v/>
      </c>
    </row>
    <row r="1905">
      <c r="A1905" s="0" t="inlineStr">
        <is>
          <t>New</t>
        </is>
      </c>
      <c r="B1905" s="0" t="inlineStr">
        <is>
          <t>Item</t>
        </is>
      </c>
      <c r="C1905" s="0" t="inlineStr">
        <is>
          <t>Acquired</t>
        </is>
      </c>
      <c r="D1905" s="0" t="inlineStr">
        <is>
          <t>:</t>
        </is>
      </c>
      <c r="E1905" s="0" t="inlineStr">
        <is>
          <t>87.50K</t>
        </is>
      </c>
      <c r="F1905" s="0" t="inlineStr">
        <is>
          <t>(2,</t>
        </is>
      </c>
      <c r="G1905" s="0" t="inlineStr">
        <is>
          <t>17)</t>
        </is>
      </c>
      <c r="K1905" s="0">
        <f>IF(H1904="1)",1,IF(H1904="2)",2,IF(H1904="3)",3,IF(H1904="4)",4,IF(H1904="5)",5,IF(H1904="6)",6,IF(H1904="7)",7,IF(H1904="8)",8,0))))))))</f>
        <v/>
      </c>
      <c r="L1905" s="0">
        <f>IF(H1904="1)",J1904,IF(H1904="2)",J1904,IF(H1904="3)",J1904,IF(H1904="4)",J1904,IF(H1904="5)",J1904,IF(H1904="6)",J1904,IF(H1904="7)",J1904,IF(H1904="8)",J1904,0))))))))</f>
        <v/>
      </c>
    </row>
    <row r="1906">
      <c r="A1906" s="0" t="inlineStr">
        <is>
          <t>New</t>
        </is>
      </c>
      <c r="B1906" s="0" t="inlineStr">
        <is>
          <t>Item</t>
        </is>
      </c>
      <c r="C1906" s="0" t="inlineStr">
        <is>
          <t>Acquired</t>
        </is>
      </c>
      <c r="D1906" s="0" t="inlineStr">
        <is>
          <t>:</t>
        </is>
      </c>
      <c r="E1906" s="0" t="inlineStr">
        <is>
          <t>75.00K</t>
        </is>
      </c>
      <c r="F1906" s="0" t="inlineStr">
        <is>
          <t>(4,</t>
        </is>
      </c>
      <c r="G1906" s="0" t="inlineStr">
        <is>
          <t>19)</t>
        </is>
      </c>
      <c r="K1906" s="0">
        <f>IF(H1905="1)",1,IF(H1905="2)",2,IF(H1905="3)",3,IF(H1905="4)",4,IF(H1905="5)",5,IF(H1905="6)",6,IF(H1905="7)",7,IF(H1905="8)",8,0))))))))</f>
        <v/>
      </c>
      <c r="L1906" s="0">
        <f>IF(H1905="1)",J1905,IF(H1905="2)",J1905,IF(H1905="3)",J1905,IF(H1905="4)",J1905,IF(H1905="5)",J1905,IF(H1905="6)",J1905,IF(H1905="7)",J1905,IF(H1905="8)",J1905,0))))))))</f>
        <v/>
      </c>
    </row>
    <row r="1907">
      <c r="A1907" s="0" t="inlineStr">
        <is>
          <t>New</t>
        </is>
      </c>
      <c r="B1907" s="0" t="inlineStr">
        <is>
          <t>Item</t>
        </is>
      </c>
      <c r="C1907" s="0" t="inlineStr">
        <is>
          <t>Acquired</t>
        </is>
      </c>
      <c r="D1907" s="0" t="inlineStr">
        <is>
          <t>:</t>
        </is>
      </c>
      <c r="E1907" s="0" t="inlineStr">
        <is>
          <t>Mini</t>
        </is>
      </c>
      <c r="F1907" s="0" t="inlineStr">
        <is>
          <t>(3,</t>
        </is>
      </c>
      <c r="G1907" s="0" t="inlineStr">
        <is>
          <t>25)</t>
        </is>
      </c>
      <c r="K1907" s="0">
        <f>IF(H1906="1)",1,IF(H1906="2)",2,IF(H1906="3)",3,IF(H1906="4)",4,IF(H1906="5)",5,IF(H1906="6)",6,IF(H1906="7)",7,IF(H1906="8)",8,0))))))))</f>
        <v/>
      </c>
      <c r="L1907" s="0">
        <f>IF(H1906="1)",J1906,IF(H1906="2)",J1906,IF(H1906="3)",J1906,IF(H1906="4)",J1906,IF(H1906="5)",J1906,IF(H1906="6)",J1906,IF(H1906="7)",J1906,IF(H1906="8)",J1906,0))))))))</f>
        <v/>
      </c>
    </row>
    <row r="1908">
      <c r="A1908" s="0" t="inlineStr">
        <is>
          <t>New</t>
        </is>
      </c>
      <c r="B1908" s="0" t="inlineStr">
        <is>
          <t>Item</t>
        </is>
      </c>
      <c r="C1908" s="0" t="inlineStr">
        <is>
          <t>Acquired</t>
        </is>
      </c>
      <c r="D1908" s="0" t="inlineStr">
        <is>
          <t>:</t>
        </is>
      </c>
      <c r="E1908" s="0" t="inlineStr">
        <is>
          <t>62.50K</t>
        </is>
      </c>
      <c r="F1908" s="0" t="inlineStr">
        <is>
          <t>(2,</t>
        </is>
      </c>
      <c r="G1908" s="0" t="inlineStr">
        <is>
          <t>21)</t>
        </is>
      </c>
      <c r="K1908" s="0">
        <f>IF(H1907="1)",1,IF(H1907="2)",2,IF(H1907="3)",3,IF(H1907="4)",4,IF(H1907="5)",5,IF(H1907="6)",6,IF(H1907="7)",7,IF(H1907="8)",8,0))))))))</f>
        <v/>
      </c>
      <c r="L1908" s="0">
        <f>IF(H1907="1)",J1907,IF(H1907="2)",J1907,IF(H1907="3)",J1907,IF(H1907="4)",J1907,IF(H1907="5)",J1907,IF(H1907="6)",J1907,IF(H1907="7)",J1907,IF(H1907="8)",J1907,0))))))))</f>
        <v/>
      </c>
    </row>
    <row r="1909">
      <c r="A1909" s="0" t="inlineStr">
        <is>
          <t>New</t>
        </is>
      </c>
      <c r="B1909" s="0" t="inlineStr">
        <is>
          <t>Item</t>
        </is>
      </c>
      <c r="C1909" s="0" t="inlineStr">
        <is>
          <t>Acquired</t>
        </is>
      </c>
      <c r="D1909" s="0" t="inlineStr">
        <is>
          <t>:</t>
        </is>
      </c>
      <c r="E1909" s="0" t="inlineStr">
        <is>
          <t>70.00K</t>
        </is>
      </c>
      <c r="F1909" s="0" t="inlineStr">
        <is>
          <t>(1,</t>
        </is>
      </c>
      <c r="G1909" s="0" t="inlineStr">
        <is>
          <t>22)</t>
        </is>
      </c>
      <c r="K1909" s="0">
        <f>IF(H1908="1)",1,IF(H1908="2)",2,IF(H1908="3)",3,IF(H1908="4)",4,IF(H1908="5)",5,IF(H1908="6)",6,IF(H1908="7)",7,IF(H1908="8)",8,0))))))))</f>
        <v/>
      </c>
      <c r="L1909" s="0">
        <f>IF(H1908="1)",J1908,IF(H1908="2)",J1908,IF(H1908="3)",J1908,IF(H1908="4)",J1908,IF(H1908="5)",J1908,IF(H1908="6)",J1908,IF(H1908="7)",J1908,IF(H1908="8)",J1908,0))))))))</f>
        <v/>
      </c>
    </row>
    <row r="1910">
      <c r="A1910" s="0" t="inlineStr">
        <is>
          <t>New</t>
        </is>
      </c>
      <c r="B1910" s="0" t="inlineStr">
        <is>
          <t>Item</t>
        </is>
      </c>
      <c r="C1910" s="0" t="inlineStr">
        <is>
          <t>Acquired</t>
        </is>
      </c>
      <c r="D1910" s="0" t="inlineStr">
        <is>
          <t>:</t>
        </is>
      </c>
      <c r="E1910" s="0" t="inlineStr">
        <is>
          <t>45.00K</t>
        </is>
      </c>
      <c r="F1910" s="0" t="inlineStr">
        <is>
          <t>(3,</t>
        </is>
      </c>
      <c r="G1910" s="0" t="inlineStr">
        <is>
          <t>14)</t>
        </is>
      </c>
      <c r="K1910" s="0">
        <f>IF(H1909="1)",1,IF(H1909="2)",2,IF(H1909="3)",3,IF(H1909="4)",4,IF(H1909="5)",5,IF(H1909="6)",6,IF(H1909="7)",7,IF(H1909="8)",8,0))))))))</f>
        <v/>
      </c>
      <c r="L1910" s="0">
        <f>IF(H1909="1)",J1909,IF(H1909="2)",J1909,IF(H1909="3)",J1909,IF(H1909="4)",J1909,IF(H1909="5)",J1909,IF(H1909="6)",J1909,IF(H1909="7)",J1909,IF(H1909="8)",J1909,0))))))))</f>
        <v/>
      </c>
    </row>
    <row r="1911">
      <c r="A1911" s="0" t="inlineStr">
        <is>
          <t>New</t>
        </is>
      </c>
      <c r="B1911" s="0" t="inlineStr">
        <is>
          <t>Item</t>
        </is>
      </c>
      <c r="C1911" s="0" t="inlineStr">
        <is>
          <t>Acquired</t>
        </is>
      </c>
      <c r="D1911" s="0" t="inlineStr">
        <is>
          <t>:</t>
        </is>
      </c>
      <c r="E1911" s="0" t="inlineStr">
        <is>
          <t>105.00K</t>
        </is>
      </c>
      <c r="F1911" s="0" t="inlineStr">
        <is>
          <t>(4,</t>
        </is>
      </c>
      <c r="G1911" s="0" t="inlineStr">
        <is>
          <t>22)</t>
        </is>
      </c>
      <c r="K1911" s="0">
        <f>IF(H1910="1)",1,IF(H1910="2)",2,IF(H1910="3)",3,IF(H1910="4)",4,IF(H1910="5)",5,IF(H1910="6)",6,IF(H1910="7)",7,IF(H1910="8)",8,0))))))))</f>
        <v/>
      </c>
      <c r="L1911" s="0">
        <f>IF(H1910="1)",J1910,IF(H1910="2)",J1910,IF(H1910="3)",J1910,IF(H1910="4)",J1910,IF(H1910="5)",J1910,IF(H1910="6)",J1910,IF(H1910="7)",J1910,IF(H1910="8)",J1910,0))))))))</f>
        <v/>
      </c>
    </row>
    <row r="1912">
      <c r="A1912" s="0" t="inlineStr">
        <is>
          <t>New</t>
        </is>
      </c>
      <c r="B1912" s="0" t="inlineStr">
        <is>
          <t>Item</t>
        </is>
      </c>
      <c r="C1912" s="0" t="inlineStr">
        <is>
          <t>Acquired</t>
        </is>
      </c>
      <c r="D1912" s="0" t="inlineStr">
        <is>
          <t>:</t>
        </is>
      </c>
      <c r="E1912" s="0" t="inlineStr">
        <is>
          <t>Minor</t>
        </is>
      </c>
      <c r="F1912" s="0" t="inlineStr">
        <is>
          <t>(2,</t>
        </is>
      </c>
      <c r="G1912" s="0" t="inlineStr">
        <is>
          <t>20)</t>
        </is>
      </c>
      <c r="K1912" s="0">
        <f>IF(H1911="1)",1,IF(H1911="2)",2,IF(H1911="3)",3,IF(H1911="4)",4,IF(H1911="5)",5,IF(H1911="6)",6,IF(H1911="7)",7,IF(H1911="8)",8,0))))))))</f>
        <v/>
      </c>
      <c r="L1912" s="0">
        <f>IF(H1911="1)",J1911,IF(H1911="2)",J1911,IF(H1911="3)",J1911,IF(H1911="4)",J1911,IF(H1911="5)",J1911,IF(H1911="6)",J1911,IF(H1911="7)",J1911,IF(H1911="8)",J1911,0))))))))</f>
        <v/>
      </c>
    </row>
    <row r="1913">
      <c r="A1913" s="0" t="inlineStr">
        <is>
          <t>New</t>
        </is>
      </c>
      <c r="B1913" s="0" t="inlineStr">
        <is>
          <t>Item</t>
        </is>
      </c>
      <c r="C1913" s="0" t="inlineStr">
        <is>
          <t>Acquired</t>
        </is>
      </c>
      <c r="D1913" s="0" t="inlineStr">
        <is>
          <t>:</t>
        </is>
      </c>
      <c r="E1913" s="0" t="inlineStr">
        <is>
          <t>150.00K</t>
        </is>
      </c>
      <c r="F1913" s="0" t="inlineStr">
        <is>
          <t>(7,</t>
        </is>
      </c>
      <c r="G1913" s="0" t="inlineStr">
        <is>
          <t>1)</t>
        </is>
      </c>
      <c r="K1913" s="0">
        <f>IF(H1912="1)",1,IF(H1912="2)",2,IF(H1912="3)",3,IF(H1912="4)",4,IF(H1912="5)",5,IF(H1912="6)",6,IF(H1912="7)",7,IF(H1912="8)",8,0))))))))</f>
        <v/>
      </c>
      <c r="L1913" s="0">
        <f>IF(H1912="1)",J1912,IF(H1912="2)",J1912,IF(H1912="3)",J1912,IF(H1912="4)",J1912,IF(H1912="5)",J1912,IF(H1912="6)",J1912,IF(H1912="7)",J1912,IF(H1912="8)",J1912,0))))))))</f>
        <v/>
      </c>
    </row>
    <row r="1914">
      <c r="A1914" s="0" t="inlineStr">
        <is>
          <t>New</t>
        </is>
      </c>
      <c r="B1914" s="0" t="inlineStr">
        <is>
          <t>Item</t>
        </is>
      </c>
      <c r="C1914" s="0" t="inlineStr">
        <is>
          <t>Acquired</t>
        </is>
      </c>
      <c r="D1914" s="0" t="inlineStr">
        <is>
          <t>:</t>
        </is>
      </c>
      <c r="E1914" s="0" t="inlineStr">
        <is>
          <t>37.50K</t>
        </is>
      </c>
      <c r="F1914" s="0" t="inlineStr">
        <is>
          <t>(2,</t>
        </is>
      </c>
      <c r="G1914" s="0" t="inlineStr">
        <is>
          <t>6)</t>
        </is>
      </c>
      <c r="K1914" s="0">
        <f>IF(H1913="1)",1,IF(H1913="2)",2,IF(H1913="3)",3,IF(H1913="4)",4,IF(H1913="5)",5,IF(H1913="6)",6,IF(H1913="7)",7,IF(H1913="8)",8,0))))))))</f>
        <v/>
      </c>
      <c r="L1914" s="0">
        <f>IF(H1913="1)",J1913,IF(H1913="2)",J1913,IF(H1913="3)",J1913,IF(H1913="4)",J1913,IF(H1913="5)",J1913,IF(H1913="6)",J1913,IF(H1913="7)",J1913,IF(H1913="8)",J1913,0))))))))</f>
        <v/>
      </c>
    </row>
    <row r="1915">
      <c r="A1915" s="0" t="inlineStr">
        <is>
          <t>New</t>
        </is>
      </c>
      <c r="B1915" s="0" t="inlineStr">
        <is>
          <t>Item</t>
        </is>
      </c>
      <c r="C1915" s="0" t="inlineStr">
        <is>
          <t>Acquired</t>
        </is>
      </c>
      <c r="D1915" s="0" t="inlineStr">
        <is>
          <t>:</t>
        </is>
      </c>
      <c r="E1915" s="0" t="inlineStr">
        <is>
          <t>200.00K</t>
        </is>
      </c>
      <c r="F1915" s="0" t="inlineStr">
        <is>
          <t>(8,</t>
        </is>
      </c>
      <c r="G1915" s="0" t="inlineStr">
        <is>
          <t>19)</t>
        </is>
      </c>
      <c r="K1915" s="0">
        <f>IF(H1914="1)",1,IF(H1914="2)",2,IF(H1914="3)",3,IF(H1914="4)",4,IF(H1914="5)",5,IF(H1914="6)",6,IF(H1914="7)",7,IF(H1914="8)",8,0))))))))</f>
        <v/>
      </c>
      <c r="L1915" s="0">
        <f>IF(H1914="1)",J1914,IF(H1914="2)",J1914,IF(H1914="3)",J1914,IF(H1914="4)",J1914,IF(H1914="5)",J1914,IF(H1914="6)",J1914,IF(H1914="7)",J1914,IF(H1914="8)",J1914,0))))))))</f>
        <v/>
      </c>
    </row>
    <row r="1916">
      <c r="A1916" s="0" t="inlineStr">
        <is>
          <t>Item</t>
        </is>
      </c>
      <c r="B1916" s="0" t="inlineStr">
        <is>
          <t>ReSelect</t>
        </is>
      </c>
      <c r="C1916" s="0" t="inlineStr">
        <is>
          <t>Failed</t>
        </is>
      </c>
      <c r="D1916" s="0" t="inlineStr">
        <is>
          <t>:</t>
        </is>
      </c>
      <c r="E1916" s="0" t="inlineStr">
        <is>
          <t>Attempt</t>
        </is>
      </c>
      <c r="F1916" s="0" t="inlineStr">
        <is>
          <t>Count</t>
        </is>
      </c>
      <c r="G1916" s="0" t="inlineStr">
        <is>
          <t>-</t>
        </is>
      </c>
      <c r="H1916" s="0" t="n">
        <v>3</v>
      </c>
      <c r="K1916" s="0">
        <f>IF(H1915="1)",1,IF(H1915="2)",2,IF(H1915="3)",3,IF(H1915="4)",4,IF(H1915="5)",5,IF(H1915="6)",6,IF(H1915="7)",7,IF(H1915="8)",8,0))))))))</f>
        <v/>
      </c>
      <c r="L1916" s="0">
        <f>IF(H1915="1)",J1915,IF(H1915="2)",J1915,IF(H1915="3)",J1915,IF(H1915="4)",J1915,IF(H1915="5)",J1915,IF(H1915="6)",J1915,IF(H1915="7)",J1915,IF(H1915="8)",J1915,0))))))))</f>
        <v/>
      </c>
    </row>
    <row r="1917">
      <c r="A1917" s="0" t="inlineStr">
        <is>
          <t>New</t>
        </is>
      </c>
      <c r="B1917" s="0" t="inlineStr">
        <is>
          <t>Item</t>
        </is>
      </c>
      <c r="C1917" s="0" t="inlineStr">
        <is>
          <t>Acquired</t>
        </is>
      </c>
      <c r="D1917" s="0" t="inlineStr">
        <is>
          <t>:</t>
        </is>
      </c>
      <c r="E1917" s="0" t="inlineStr">
        <is>
          <t>45.00K</t>
        </is>
      </c>
      <c r="F1917" s="0" t="inlineStr">
        <is>
          <t>(3,</t>
        </is>
      </c>
      <c r="G1917" s="0" t="inlineStr">
        <is>
          <t>15)</t>
        </is>
      </c>
      <c r="K1917" s="0">
        <f>IF(H1916="1)",1,IF(H1916="2)",2,IF(H1916="3)",3,IF(H1916="4)",4,IF(H1916="5)",5,IF(H1916="6)",6,IF(H1916="7)",7,IF(H1916="8)",8,0))))))))</f>
        <v/>
      </c>
      <c r="L1917" s="0">
        <f>IF(H1916="1)",J1916,IF(H1916="2)",J1916,IF(H1916="3)",J1916,IF(H1916="4)",J1916,IF(H1916="5)",J1916,IF(H1916="6)",J1916,IF(H1916="7)",J1916,IF(H1916="8)",J1916,0))))))))</f>
        <v/>
      </c>
    </row>
    <row r="1918">
      <c r="A1918" s="0" t="inlineStr">
        <is>
          <t>Line</t>
        </is>
      </c>
      <c r="B1918" s="0" t="inlineStr">
        <is>
          <t>Prize</t>
        </is>
      </c>
      <c r="C1918" s="0" t="inlineStr">
        <is>
          <t>Acquired</t>
        </is>
      </c>
      <c r="D1918" s="0" t="inlineStr">
        <is>
          <t>:</t>
        </is>
      </c>
      <c r="E1918" s="0" t="inlineStr">
        <is>
          <t>1.06M</t>
        </is>
      </c>
      <c r="F1918" s="0" t="inlineStr">
        <is>
          <t>(Stage</t>
        </is>
      </c>
      <c r="G1918" s="0" t="inlineStr">
        <is>
          <t>:</t>
        </is>
      </c>
      <c r="H1918" s="0" t="inlineStr">
        <is>
          <t>3)</t>
        </is>
      </c>
      <c r="I1918" s="0" t="inlineStr">
        <is>
          <t>-</t>
        </is>
      </c>
      <c r="J1918" s="0" t="n">
        <v>1065000</v>
      </c>
      <c r="K1918" s="0">
        <f>IF(H1917="1)",1,IF(H1917="2)",2,IF(H1917="3)",3,IF(H1917="4)",4,IF(H1917="5)",5,IF(H1917="6)",6,IF(H1917="7)",7,IF(H1917="8)",8,0))))))))</f>
        <v/>
      </c>
      <c r="L1918" s="0">
        <f>IF(H1917="1)",J1917,IF(H1917="2)",J1917,IF(H1917="3)",J1917,IF(H1917="4)",J1917,IF(H1917="5)",J1917,IF(H1917="6)",J1917,IF(H1917="7)",J1917,IF(H1917="8)",J1917,0))))))))</f>
        <v/>
      </c>
    </row>
    <row r="1919">
      <c r="A1919" s="0" t="inlineStr">
        <is>
          <t>Clear</t>
        </is>
      </c>
      <c r="B1919" s="0" t="inlineStr">
        <is>
          <t>Gem</t>
        </is>
      </c>
      <c r="C1919" s="0" t="inlineStr">
        <is>
          <t>Acquired</t>
        </is>
      </c>
      <c r="D1919" s="0" t="inlineStr">
        <is>
          <t>:</t>
        </is>
      </c>
      <c r="E1919" s="0" t="n">
        <v>11600</v>
      </c>
      <c r="F1919" s="0" t="inlineStr">
        <is>
          <t>-&gt;</t>
        </is>
      </c>
      <c r="G1919" s="0" t="n">
        <v>11700</v>
      </c>
      <c r="H1919" s="0" t="inlineStr">
        <is>
          <t>(Stage</t>
        </is>
      </c>
      <c r="I1919" s="0" t="inlineStr">
        <is>
          <t>:</t>
        </is>
      </c>
      <c r="J1919" s="0" t="inlineStr">
        <is>
          <t>3)</t>
        </is>
      </c>
      <c r="K1919" s="0">
        <f>IF(H1918="1)",1,IF(H1918="2)",2,IF(H1918="3)",3,IF(H1918="4)",4,IF(H1918="5)",5,IF(H1918="6)",6,IF(H1918="7)",7,IF(H1918="8)",8,0))))))))</f>
        <v/>
      </c>
      <c r="L1919" s="0">
        <f>IF(H1918="1)",J1918,IF(H1918="2)",J1918,IF(H1918="3)",J1918,IF(H1918="4)",J1918,IF(H1918="5)",J1918,IF(H1918="6)",J1918,IF(H1918="7)",J1918,IF(H1918="8)",J1918,0))))))))</f>
        <v/>
      </c>
    </row>
    <row r="1920">
      <c r="A1920" s="0" t="inlineStr">
        <is>
          <t>New</t>
        </is>
      </c>
      <c r="B1920" s="0" t="inlineStr">
        <is>
          <t>Item</t>
        </is>
      </c>
      <c r="C1920" s="0" t="inlineStr">
        <is>
          <t>Acquired</t>
        </is>
      </c>
      <c r="D1920" s="0" t="inlineStr">
        <is>
          <t>:</t>
        </is>
      </c>
      <c r="E1920" s="0" t="inlineStr">
        <is>
          <t>Minor</t>
        </is>
      </c>
      <c r="F1920" s="0" t="inlineStr">
        <is>
          <t>(6,</t>
        </is>
      </c>
      <c r="G1920" s="0" t="inlineStr">
        <is>
          <t>1)</t>
        </is>
      </c>
      <c r="K1920" s="0">
        <f>IF(H1919="1)",1,IF(H1919="2)",2,IF(H1919="3)",3,IF(H1919="4)",4,IF(H1919="5)",5,IF(H1919="6)",6,IF(H1919="7)",7,IF(H1919="8)",8,0))))))))</f>
        <v/>
      </c>
      <c r="L1920" s="0">
        <f>IF(H1919="1)",J1919,IF(H1919="2)",J1919,IF(H1919="3)",J1919,IF(H1919="4)",J1919,IF(H1919="5)",J1919,IF(H1919="6)",J1919,IF(H1919="7)",J1919,IF(H1919="8)",J1919,0))))))))</f>
        <v/>
      </c>
    </row>
    <row r="1921">
      <c r="A1921" s="0" t="inlineStr">
        <is>
          <t>New</t>
        </is>
      </c>
      <c r="B1921" s="0" t="inlineStr">
        <is>
          <t>Item</t>
        </is>
      </c>
      <c r="C1921" s="0" t="inlineStr">
        <is>
          <t>Acquired</t>
        </is>
      </c>
      <c r="D1921" s="0" t="inlineStr">
        <is>
          <t>:</t>
        </is>
      </c>
      <c r="E1921" s="0" t="inlineStr">
        <is>
          <t>75.00K</t>
        </is>
      </c>
      <c r="F1921" s="0" t="inlineStr">
        <is>
          <t>(4,</t>
        </is>
      </c>
      <c r="G1921" s="0" t="inlineStr">
        <is>
          <t>18)</t>
        </is>
      </c>
      <c r="K1921" s="0">
        <f>IF(H1920="1)",1,IF(H1920="2)",2,IF(H1920="3)",3,IF(H1920="4)",4,IF(H1920="5)",5,IF(H1920="6)",6,IF(H1920="7)",7,IF(H1920="8)",8,0))))))))</f>
        <v/>
      </c>
      <c r="L1921" s="0">
        <f>IF(H1920="1)",J1920,IF(H1920="2)",J1920,IF(H1920="3)",J1920,IF(H1920="4)",J1920,IF(H1920="5)",J1920,IF(H1920="6)",J1920,IF(H1920="7)",J1920,IF(H1920="8)",J1920,0))))))))</f>
        <v/>
      </c>
    </row>
    <row r="1922">
      <c r="A1922" s="0" t="inlineStr">
        <is>
          <t>New</t>
        </is>
      </c>
      <c r="B1922" s="0" t="inlineStr">
        <is>
          <t>Item</t>
        </is>
      </c>
      <c r="C1922" s="0" t="inlineStr">
        <is>
          <t>Acquired</t>
        </is>
      </c>
      <c r="D1922" s="0" t="inlineStr">
        <is>
          <t>:</t>
        </is>
      </c>
      <c r="E1922" s="0" t="inlineStr">
        <is>
          <t>200.00K</t>
        </is>
      </c>
      <c r="F1922" s="0" t="inlineStr">
        <is>
          <t>(8,</t>
        </is>
      </c>
      <c r="G1922" s="0" t="inlineStr">
        <is>
          <t>1)</t>
        </is>
      </c>
      <c r="K1922" s="0">
        <f>IF(H1921="1)",1,IF(H1921="2)",2,IF(H1921="3)",3,IF(H1921="4)",4,IF(H1921="5)",5,IF(H1921="6)",6,IF(H1921="7)",7,IF(H1921="8)",8,0))))))))</f>
        <v/>
      </c>
      <c r="L1922" s="0">
        <f>IF(H1921="1)",J1921,IF(H1921="2)",J1921,IF(H1921="3)",J1921,IF(H1921="4)",J1921,IF(H1921="5)",J1921,IF(H1921="6)",J1921,IF(H1921="7)",J1921,IF(H1921="8)",J1921,0))))))))</f>
        <v/>
      </c>
    </row>
    <row r="1923">
      <c r="A1923" s="0" t="inlineStr">
        <is>
          <t>New</t>
        </is>
      </c>
      <c r="B1923" s="0" t="inlineStr">
        <is>
          <t>Item</t>
        </is>
      </c>
      <c r="C1923" s="0" t="inlineStr">
        <is>
          <t>Acquired</t>
        </is>
      </c>
      <c r="D1923" s="0" t="inlineStr">
        <is>
          <t>:</t>
        </is>
      </c>
      <c r="E1923" s="0" t="inlineStr">
        <is>
          <t>120.00K</t>
        </is>
      </c>
      <c r="F1923" s="0" t="inlineStr">
        <is>
          <t>(8,</t>
        </is>
      </c>
      <c r="G1923" s="0" t="inlineStr">
        <is>
          <t>18)</t>
        </is>
      </c>
      <c r="K1923" s="0">
        <f>IF(H1922="1)",1,IF(H1922="2)",2,IF(H1922="3)",3,IF(H1922="4)",4,IF(H1922="5)",5,IF(H1922="6)",6,IF(H1922="7)",7,IF(H1922="8)",8,0))))))))</f>
        <v/>
      </c>
      <c r="L1923" s="0">
        <f>IF(H1922="1)",J1922,IF(H1922="2)",J1922,IF(H1922="3)",J1922,IF(H1922="4)",J1922,IF(H1922="5)",J1922,IF(H1922="6)",J1922,IF(H1922="7)",J1922,IF(H1922="8)",J1922,0))))))))</f>
        <v/>
      </c>
    </row>
    <row r="1924">
      <c r="A1924" s="0" t="inlineStr">
        <is>
          <t>New</t>
        </is>
      </c>
      <c r="B1924" s="0" t="inlineStr">
        <is>
          <t>Item</t>
        </is>
      </c>
      <c r="C1924" s="0" t="inlineStr">
        <is>
          <t>Acquired</t>
        </is>
      </c>
      <c r="D1924" s="0" t="inlineStr">
        <is>
          <t>:</t>
        </is>
      </c>
      <c r="E1924" s="0" t="inlineStr">
        <is>
          <t>200.00K</t>
        </is>
      </c>
      <c r="F1924" s="0" t="inlineStr">
        <is>
          <t>(8,</t>
        </is>
      </c>
      <c r="G1924" s="0" t="inlineStr">
        <is>
          <t>14)</t>
        </is>
      </c>
      <c r="K1924" s="0">
        <f>IF(H1923="1)",1,IF(H1923="2)",2,IF(H1923="3)",3,IF(H1923="4)",4,IF(H1923="5)",5,IF(H1923="6)",6,IF(H1923="7)",7,IF(H1923="8)",8,0))))))))</f>
        <v/>
      </c>
      <c r="L1924" s="0">
        <f>IF(H1923="1)",J1923,IF(H1923="2)",J1923,IF(H1923="3)",J1923,IF(H1923="4)",J1923,IF(H1923="5)",J1923,IF(H1923="6)",J1923,IF(H1923="7)",J1923,IF(H1923="8)",J1923,0))))))))</f>
        <v/>
      </c>
    </row>
    <row r="1925">
      <c r="A1925" s="0" t="inlineStr">
        <is>
          <t>New</t>
        </is>
      </c>
      <c r="B1925" s="0" t="inlineStr">
        <is>
          <t>Item</t>
        </is>
      </c>
      <c r="C1925" s="0" t="inlineStr">
        <is>
          <t>Acquired</t>
        </is>
      </c>
      <c r="D1925" s="0" t="inlineStr">
        <is>
          <t>:</t>
        </is>
      </c>
      <c r="E1925" s="0" t="inlineStr">
        <is>
          <t>75.00K</t>
        </is>
      </c>
      <c r="F1925" s="0" t="inlineStr">
        <is>
          <t>(3,</t>
        </is>
      </c>
      <c r="G1925" s="0" t="inlineStr">
        <is>
          <t>8)</t>
        </is>
      </c>
      <c r="K1925" s="0">
        <f>IF(H1924="1)",1,IF(H1924="2)",2,IF(H1924="3)",3,IF(H1924="4)",4,IF(H1924="5)",5,IF(H1924="6)",6,IF(H1924="7)",7,IF(H1924="8)",8,0))))))))</f>
        <v/>
      </c>
      <c r="L1925" s="0">
        <f>IF(H1924="1)",J1924,IF(H1924="2)",J1924,IF(H1924="3)",J1924,IF(H1924="4)",J1924,IF(H1924="5)",J1924,IF(H1924="6)",J1924,IF(H1924="7)",J1924,IF(H1924="8)",J1924,0))))))))</f>
        <v/>
      </c>
    </row>
    <row r="1926">
      <c r="A1926" s="0" t="inlineStr">
        <is>
          <t>New</t>
        </is>
      </c>
      <c r="B1926" s="0" t="inlineStr">
        <is>
          <t>Item</t>
        </is>
      </c>
      <c r="C1926" s="0" t="inlineStr">
        <is>
          <t>Acquired</t>
        </is>
      </c>
      <c r="D1926" s="0" t="inlineStr">
        <is>
          <t>:</t>
        </is>
      </c>
      <c r="E1926" s="0" t="inlineStr">
        <is>
          <t>37.50K</t>
        </is>
      </c>
      <c r="F1926" s="0" t="inlineStr">
        <is>
          <t>(2,</t>
        </is>
      </c>
      <c r="G1926" s="0" t="inlineStr">
        <is>
          <t>2)</t>
        </is>
      </c>
      <c r="K1926" s="0">
        <f>IF(H1925="1)",1,IF(H1925="2)",2,IF(H1925="3)",3,IF(H1925="4)",4,IF(H1925="5)",5,IF(H1925="6)",6,IF(H1925="7)",7,IF(H1925="8)",8,0))))))))</f>
        <v/>
      </c>
      <c r="L1926" s="0">
        <f>IF(H1925="1)",J1925,IF(H1925="2)",J1925,IF(H1925="3)",J1925,IF(H1925="4)",J1925,IF(H1925="5)",J1925,IF(H1925="6)",J1925,IF(H1925="7)",J1925,IF(H1925="8)",J1925,0))))))))</f>
        <v/>
      </c>
    </row>
    <row r="1927">
      <c r="A1927" s="0" t="inlineStr">
        <is>
          <t>New</t>
        </is>
      </c>
      <c r="B1927" s="0" t="inlineStr">
        <is>
          <t>Item</t>
        </is>
      </c>
      <c r="C1927" s="0" t="inlineStr">
        <is>
          <t>Acquired</t>
        </is>
      </c>
      <c r="D1927" s="0" t="inlineStr">
        <is>
          <t>:</t>
        </is>
      </c>
      <c r="E1927" s="0" t="inlineStr">
        <is>
          <t>Mini</t>
        </is>
      </c>
      <c r="F1927" s="0" t="inlineStr">
        <is>
          <t>(5,</t>
        </is>
      </c>
      <c r="G1927" s="0" t="inlineStr">
        <is>
          <t>21)</t>
        </is>
      </c>
      <c r="K1927" s="0">
        <f>IF(H1926="1)",1,IF(H1926="2)",2,IF(H1926="3)",3,IF(H1926="4)",4,IF(H1926="5)",5,IF(H1926="6)",6,IF(H1926="7)",7,IF(H1926="8)",8,0))))))))</f>
        <v/>
      </c>
      <c r="L1927" s="0">
        <f>IF(H1926="1)",J1926,IF(H1926="2)",J1926,IF(H1926="3)",J1926,IF(H1926="4)",J1926,IF(H1926="5)",J1926,IF(H1926="6)",J1926,IF(H1926="7)",J1926,IF(H1926="8)",J1926,0))))))))</f>
        <v/>
      </c>
    </row>
    <row r="1928">
      <c r="A1928" s="0" t="inlineStr">
        <is>
          <t>Line</t>
        </is>
      </c>
      <c r="B1928" s="0" t="inlineStr">
        <is>
          <t>Prize</t>
        </is>
      </c>
      <c r="C1928" s="0" t="inlineStr">
        <is>
          <t>Acquired</t>
        </is>
      </c>
      <c r="D1928" s="0" t="inlineStr">
        <is>
          <t>:</t>
        </is>
      </c>
      <c r="E1928" s="0" t="inlineStr">
        <is>
          <t>1.74M</t>
        </is>
      </c>
      <c r="F1928" s="0" t="inlineStr">
        <is>
          <t>(Stage</t>
        </is>
      </c>
      <c r="G1928" s="0" t="inlineStr">
        <is>
          <t>:</t>
        </is>
      </c>
      <c r="H1928" s="0" t="inlineStr">
        <is>
          <t>5)</t>
        </is>
      </c>
      <c r="I1928" s="0" t="inlineStr">
        <is>
          <t>-</t>
        </is>
      </c>
      <c r="J1928" s="0" t="n">
        <v>1742500</v>
      </c>
      <c r="K1928" s="0">
        <f>IF(H1927="1)",1,IF(H1927="2)",2,IF(H1927="3)",3,IF(H1927="4)",4,IF(H1927="5)",5,IF(H1927="6)",6,IF(H1927="7)",7,IF(H1927="8)",8,0))))))))</f>
        <v/>
      </c>
      <c r="L1928" s="0">
        <f>IF(H1927="1)",J1927,IF(H1927="2)",J1927,IF(H1927="3)",J1927,IF(H1927="4)",J1927,IF(H1927="5)",J1927,IF(H1927="6)",J1927,IF(H1927="7)",J1927,IF(H1927="8)",J1927,0))))))))</f>
        <v/>
      </c>
    </row>
    <row r="1929">
      <c r="A1929" s="0" t="inlineStr">
        <is>
          <t>Clear</t>
        </is>
      </c>
      <c r="B1929" s="0" t="inlineStr">
        <is>
          <t>Gem</t>
        </is>
      </c>
      <c r="C1929" s="0" t="inlineStr">
        <is>
          <t>Acquired</t>
        </is>
      </c>
      <c r="D1929" s="0" t="inlineStr">
        <is>
          <t>:</t>
        </is>
      </c>
      <c r="E1929" s="0" t="n">
        <v>11700</v>
      </c>
      <c r="F1929" s="0" t="inlineStr">
        <is>
          <t>-&gt;</t>
        </is>
      </c>
      <c r="G1929" s="0" t="n">
        <v>11800</v>
      </c>
      <c r="H1929" s="0" t="inlineStr">
        <is>
          <t>(Stage</t>
        </is>
      </c>
      <c r="I1929" s="0" t="inlineStr">
        <is>
          <t>:</t>
        </is>
      </c>
      <c r="J1929" s="0" t="inlineStr">
        <is>
          <t>5)</t>
        </is>
      </c>
      <c r="K1929" s="0">
        <f>IF(H1928="1)",1,IF(H1928="2)",2,IF(H1928="3)",3,IF(H1928="4)",4,IF(H1928="5)",5,IF(H1928="6)",6,IF(H1928="7)",7,IF(H1928="8)",8,0))))))))</f>
        <v/>
      </c>
      <c r="L1929" s="0">
        <f>IF(H1928="1)",J1928,IF(H1928="2)",J1928,IF(H1928="3)",J1928,IF(H1928="4)",J1928,IF(H1928="5)",J1928,IF(H1928="6)",J1928,IF(H1928="7)",J1928,IF(H1928="8)",J1928,0))))))))</f>
        <v/>
      </c>
    </row>
    <row r="1930">
      <c r="A1930" s="0" t="inlineStr">
        <is>
          <t>New</t>
        </is>
      </c>
      <c r="B1930" s="0" t="inlineStr">
        <is>
          <t>Item</t>
        </is>
      </c>
      <c r="C1930" s="0" t="inlineStr">
        <is>
          <t>Acquired</t>
        </is>
      </c>
      <c r="D1930" s="0" t="inlineStr">
        <is>
          <t>:</t>
        </is>
      </c>
      <c r="E1930" s="0" t="inlineStr">
        <is>
          <t>125.00K</t>
        </is>
      </c>
      <c r="F1930" s="0" t="inlineStr">
        <is>
          <t>(6,</t>
        </is>
      </c>
      <c r="G1930" s="0" t="inlineStr">
        <is>
          <t>17)</t>
        </is>
      </c>
      <c r="K1930" s="0">
        <f>IF(H1929="1)",1,IF(H1929="2)",2,IF(H1929="3)",3,IF(H1929="4)",4,IF(H1929="5)",5,IF(H1929="6)",6,IF(H1929="7)",7,IF(H1929="8)",8,0))))))))</f>
        <v/>
      </c>
      <c r="L1930" s="0">
        <f>IF(H1929="1)",J1929,IF(H1929="2)",J1929,IF(H1929="3)",J1929,IF(H1929="4)",J1929,IF(H1929="5)",J1929,IF(H1929="6)",J1929,IF(H1929="7)",J1929,IF(H1929="8)",J1929,0))))))))</f>
        <v/>
      </c>
    </row>
    <row r="1931">
      <c r="A1931" s="0" t="inlineStr">
        <is>
          <t>New</t>
        </is>
      </c>
      <c r="B1931" s="0" t="inlineStr">
        <is>
          <t>Item</t>
        </is>
      </c>
      <c r="C1931" s="0" t="inlineStr">
        <is>
          <t>Acquired</t>
        </is>
      </c>
      <c r="D1931" s="0" t="inlineStr">
        <is>
          <t>:</t>
        </is>
      </c>
      <c r="E1931" s="0" t="inlineStr">
        <is>
          <t>75.00K</t>
        </is>
      </c>
      <c r="F1931" s="0" t="inlineStr">
        <is>
          <t>(3,</t>
        </is>
      </c>
      <c r="G1931" s="0" t="inlineStr">
        <is>
          <t>1)</t>
        </is>
      </c>
      <c r="K1931" s="0">
        <f>IF(H1930="1)",1,IF(H1930="2)",2,IF(H1930="3)",3,IF(H1930="4)",4,IF(H1930="5)",5,IF(H1930="6)",6,IF(H1930="7)",7,IF(H1930="8)",8,0))))))))</f>
        <v/>
      </c>
      <c r="L1931" s="0">
        <f>IF(H1930="1)",J1930,IF(H1930="2)",J1930,IF(H1930="3)",J1930,IF(H1930="4)",J1930,IF(H1930="5)",J1930,IF(H1930="6)",J1930,IF(H1930="7)",J1930,IF(H1930="8)",J1930,0))))))))</f>
        <v/>
      </c>
    </row>
    <row r="1932">
      <c r="A1932" s="0" t="inlineStr">
        <is>
          <t>Item</t>
        </is>
      </c>
      <c r="B1932" s="0" t="inlineStr">
        <is>
          <t>ReSelect</t>
        </is>
      </c>
      <c r="C1932" s="0" t="inlineStr">
        <is>
          <t>Failed</t>
        </is>
      </c>
      <c r="D1932" s="0" t="inlineStr">
        <is>
          <t>:</t>
        </is>
      </c>
      <c r="E1932" s="0" t="inlineStr">
        <is>
          <t>Attempt</t>
        </is>
      </c>
      <c r="F1932" s="0" t="inlineStr">
        <is>
          <t>Count</t>
        </is>
      </c>
      <c r="G1932" s="0" t="inlineStr">
        <is>
          <t>-</t>
        </is>
      </c>
      <c r="H1932" s="0" t="n">
        <v>3</v>
      </c>
      <c r="K1932" s="0">
        <f>IF(H1931="1)",1,IF(H1931="2)",2,IF(H1931="3)",3,IF(H1931="4)",4,IF(H1931="5)",5,IF(H1931="6)",6,IF(H1931="7)",7,IF(H1931="8)",8,0))))))))</f>
        <v/>
      </c>
      <c r="L1932" s="0">
        <f>IF(H1931="1)",J1931,IF(H1931="2)",J1931,IF(H1931="3)",J1931,IF(H1931="4)",J1931,IF(H1931="5)",J1931,IF(H1931="6)",J1931,IF(H1931="7)",J1931,IF(H1931="8)",J1931,0))))))))</f>
        <v/>
      </c>
    </row>
    <row r="1933">
      <c r="A1933" s="0" t="inlineStr">
        <is>
          <t>New</t>
        </is>
      </c>
      <c r="B1933" s="0" t="inlineStr">
        <is>
          <t>Item</t>
        </is>
      </c>
      <c r="C1933" s="0" t="inlineStr">
        <is>
          <t>Acquired</t>
        </is>
      </c>
      <c r="D1933" s="0" t="inlineStr">
        <is>
          <t>:</t>
        </is>
      </c>
      <c r="E1933" s="0" t="inlineStr">
        <is>
          <t>45.00K</t>
        </is>
      </c>
      <c r="F1933" s="0" t="inlineStr">
        <is>
          <t>(3,</t>
        </is>
      </c>
      <c r="G1933" s="0" t="inlineStr">
        <is>
          <t>19)</t>
        </is>
      </c>
      <c r="K1933" s="0">
        <f>IF(H1932="1)",1,IF(H1932="2)",2,IF(H1932="3)",3,IF(H1932="4)",4,IF(H1932="5)",5,IF(H1932="6)",6,IF(H1932="7)",7,IF(H1932="8)",8,0))))))))</f>
        <v/>
      </c>
      <c r="L1933" s="0">
        <f>IF(H1932="1)",J1932,IF(H1932="2)",J1932,IF(H1932="3)",J1932,IF(H1932="4)",J1932,IF(H1932="5)",J1932,IF(H1932="6)",J1932,IF(H1932="7)",J1932,IF(H1932="8)",J1932,0))))))))</f>
        <v/>
      </c>
    </row>
    <row r="1934">
      <c r="A1934" s="0" t="inlineStr">
        <is>
          <t>New</t>
        </is>
      </c>
      <c r="B1934" s="0" t="inlineStr">
        <is>
          <t>Item</t>
        </is>
      </c>
      <c r="C1934" s="0" t="inlineStr">
        <is>
          <t>Acquired</t>
        </is>
      </c>
      <c r="D1934" s="0" t="inlineStr">
        <is>
          <t>:</t>
        </is>
      </c>
      <c r="E1934" s="0" t="inlineStr">
        <is>
          <t>60.00K</t>
        </is>
      </c>
      <c r="F1934" s="0" t="inlineStr">
        <is>
          <t>(4,</t>
        </is>
      </c>
      <c r="G1934" s="0" t="inlineStr">
        <is>
          <t>12)</t>
        </is>
      </c>
      <c r="K1934" s="0">
        <f>IF(H1933="1)",1,IF(H1933="2)",2,IF(H1933="3)",3,IF(H1933="4)",4,IF(H1933="5)",5,IF(H1933="6)",6,IF(H1933="7)",7,IF(H1933="8)",8,0))))))))</f>
        <v/>
      </c>
      <c r="L1934" s="0">
        <f>IF(H1933="1)",J1933,IF(H1933="2)",J1933,IF(H1933="3)",J1933,IF(H1933="4)",J1933,IF(H1933="5)",J1933,IF(H1933="6)",J1933,IF(H1933="7)",J1933,IF(H1933="8)",J1933,0))))))))</f>
        <v/>
      </c>
    </row>
    <row r="1935">
      <c r="A1935" s="0" t="inlineStr">
        <is>
          <t>New</t>
        </is>
      </c>
      <c r="B1935" s="0" t="inlineStr">
        <is>
          <t>Item</t>
        </is>
      </c>
      <c r="C1935" s="0" t="inlineStr">
        <is>
          <t>Acquired</t>
        </is>
      </c>
      <c r="D1935" s="0" t="inlineStr">
        <is>
          <t>:</t>
        </is>
      </c>
      <c r="E1935" s="0" t="inlineStr">
        <is>
          <t>37.50K</t>
        </is>
      </c>
      <c r="F1935" s="0" t="inlineStr">
        <is>
          <t>(2,</t>
        </is>
      </c>
      <c r="G1935" s="0" t="inlineStr">
        <is>
          <t>9)</t>
        </is>
      </c>
      <c r="K1935" s="0">
        <f>IF(H1934="1)",1,IF(H1934="2)",2,IF(H1934="3)",3,IF(H1934="4)",4,IF(H1934="5)",5,IF(H1934="6)",6,IF(H1934="7)",7,IF(H1934="8)",8,0))))))))</f>
        <v/>
      </c>
      <c r="L1935" s="0">
        <f>IF(H1934="1)",J1934,IF(H1934="2)",J1934,IF(H1934="3)",J1934,IF(H1934="4)",J1934,IF(H1934="5)",J1934,IF(H1934="6)",J1934,IF(H1934="7)",J1934,IF(H1934="8)",J1934,0))))))))</f>
        <v/>
      </c>
    </row>
    <row r="1936">
      <c r="A1936" s="0" t="inlineStr">
        <is>
          <t>New</t>
        </is>
      </c>
      <c r="B1936" s="0" t="inlineStr">
        <is>
          <t>Item</t>
        </is>
      </c>
      <c r="C1936" s="0" t="inlineStr">
        <is>
          <t>Acquired</t>
        </is>
      </c>
      <c r="D1936" s="0" t="inlineStr">
        <is>
          <t>:</t>
        </is>
      </c>
      <c r="E1936" s="0" t="inlineStr">
        <is>
          <t>75.00K</t>
        </is>
      </c>
      <c r="F1936" s="0" t="inlineStr">
        <is>
          <t>(6,</t>
        </is>
      </c>
      <c r="G1936" s="0" t="inlineStr">
        <is>
          <t>23)</t>
        </is>
      </c>
      <c r="K1936" s="0">
        <f>IF(H1935="1)",1,IF(H1935="2)",2,IF(H1935="3)",3,IF(H1935="4)",4,IF(H1935="5)",5,IF(H1935="6)",6,IF(H1935="7)",7,IF(H1935="8)",8,0))))))))</f>
        <v/>
      </c>
      <c r="L1936" s="0">
        <f>IF(H1935="1)",J1935,IF(H1935="2)",J1935,IF(H1935="3)",J1935,IF(H1935="4)",J1935,IF(H1935="5)",J1935,IF(H1935="6)",J1935,IF(H1935="7)",J1935,IF(H1935="8)",J1935,0))))))))</f>
        <v/>
      </c>
    </row>
    <row r="1937">
      <c r="A1937" s="0" t="inlineStr">
        <is>
          <t>New</t>
        </is>
      </c>
      <c r="B1937" s="0" t="inlineStr">
        <is>
          <t>Item</t>
        </is>
      </c>
      <c r="C1937" s="0" t="inlineStr">
        <is>
          <t>Acquired</t>
        </is>
      </c>
      <c r="D1937" s="0" t="inlineStr">
        <is>
          <t>:</t>
        </is>
      </c>
      <c r="E1937" s="0" t="inlineStr">
        <is>
          <t>120.00K</t>
        </is>
      </c>
      <c r="F1937" s="0" t="inlineStr">
        <is>
          <t>(8,</t>
        </is>
      </c>
      <c r="G1937" s="0" t="inlineStr">
        <is>
          <t>24)</t>
        </is>
      </c>
      <c r="K1937" s="0">
        <f>IF(H1936="1)",1,IF(H1936="2)",2,IF(H1936="3)",3,IF(H1936="4)",4,IF(H1936="5)",5,IF(H1936="6)",6,IF(H1936="7)",7,IF(H1936="8)",8,0))))))))</f>
        <v/>
      </c>
      <c r="L1937" s="0">
        <f>IF(H1936="1)",J1936,IF(H1936="2)",J1936,IF(H1936="3)",J1936,IF(H1936="4)",J1936,IF(H1936="5)",J1936,IF(H1936="6)",J1936,IF(H1936="7)",J1936,IF(H1936="8)",J1936,0))))))))</f>
        <v/>
      </c>
    </row>
    <row r="1938">
      <c r="A1938" s="0" t="inlineStr">
        <is>
          <t>New</t>
        </is>
      </c>
      <c r="B1938" s="0" t="inlineStr">
        <is>
          <t>Item</t>
        </is>
      </c>
      <c r="C1938" s="0" t="inlineStr">
        <is>
          <t>Acquired</t>
        </is>
      </c>
      <c r="D1938" s="0" t="inlineStr">
        <is>
          <t>:</t>
        </is>
      </c>
      <c r="E1938" s="0" t="inlineStr">
        <is>
          <t>45.00K</t>
        </is>
      </c>
      <c r="F1938" s="0" t="inlineStr">
        <is>
          <t>(3,</t>
        </is>
      </c>
      <c r="G1938" s="0" t="inlineStr">
        <is>
          <t>11)</t>
        </is>
      </c>
      <c r="K1938" s="0">
        <f>IF(H1937="1)",1,IF(H1937="2)",2,IF(H1937="3)",3,IF(H1937="4)",4,IF(H1937="5)",5,IF(H1937="6)",6,IF(H1937="7)",7,IF(H1937="8)",8,0))))))))</f>
        <v/>
      </c>
      <c r="L1938" s="0">
        <f>IF(H1937="1)",J1937,IF(H1937="2)",J1937,IF(H1937="3)",J1937,IF(H1937="4)",J1937,IF(H1937="5)",J1937,IF(H1937="6)",J1937,IF(H1937="7)",J1937,IF(H1937="8)",J1937,0))))))))</f>
        <v/>
      </c>
    </row>
    <row r="1939">
      <c r="A1939" s="0" t="inlineStr">
        <is>
          <t>New</t>
        </is>
      </c>
      <c r="B1939" s="0" t="inlineStr">
        <is>
          <t>Item</t>
        </is>
      </c>
      <c r="C1939" s="0" t="inlineStr">
        <is>
          <t>Acquired</t>
        </is>
      </c>
      <c r="D1939" s="0" t="inlineStr">
        <is>
          <t>:</t>
        </is>
      </c>
      <c r="E1939" s="0" t="inlineStr">
        <is>
          <t>62.50K</t>
        </is>
      </c>
      <c r="F1939" s="0" t="inlineStr">
        <is>
          <t>(2,</t>
        </is>
      </c>
      <c r="G1939" s="0" t="inlineStr">
        <is>
          <t>11)</t>
        </is>
      </c>
      <c r="K1939" s="0">
        <f>IF(H1938="1)",1,IF(H1938="2)",2,IF(H1938="3)",3,IF(H1938="4)",4,IF(H1938="5)",5,IF(H1938="6)",6,IF(H1938="7)",7,IF(H1938="8)",8,0))))))))</f>
        <v/>
      </c>
      <c r="L1939" s="0">
        <f>IF(H1938="1)",J1938,IF(H1938="2)",J1938,IF(H1938="3)",J1938,IF(H1938="4)",J1938,IF(H1938="5)",J1938,IF(H1938="6)",J1938,IF(H1938="7)",J1938,IF(H1938="8)",J1938,0))))))))</f>
        <v/>
      </c>
    </row>
    <row r="1940">
      <c r="A1940" s="0" t="inlineStr">
        <is>
          <t>New</t>
        </is>
      </c>
      <c r="B1940" s="0" t="inlineStr">
        <is>
          <t>Item</t>
        </is>
      </c>
      <c r="C1940" s="0" t="inlineStr">
        <is>
          <t>Acquired</t>
        </is>
      </c>
      <c r="D1940" s="0" t="inlineStr">
        <is>
          <t>:</t>
        </is>
      </c>
      <c r="E1940" s="0" t="inlineStr">
        <is>
          <t>120.00K</t>
        </is>
      </c>
      <c r="F1940" s="0" t="inlineStr">
        <is>
          <t>(8,</t>
        </is>
      </c>
      <c r="G1940" s="0" t="inlineStr">
        <is>
          <t>12)</t>
        </is>
      </c>
      <c r="K1940" s="0">
        <f>IF(H1939="1)",1,IF(H1939="2)",2,IF(H1939="3)",3,IF(H1939="4)",4,IF(H1939="5)",5,IF(H1939="6)",6,IF(H1939="7)",7,IF(H1939="8)",8,0))))))))</f>
        <v/>
      </c>
      <c r="L1940" s="0">
        <f>IF(H1939="1)",J1939,IF(H1939="2)",J1939,IF(H1939="3)",J1939,IF(H1939="4)",J1939,IF(H1939="5)",J1939,IF(H1939="6)",J1939,IF(H1939="7)",J1939,IF(H1939="8)",J1939,0))))))))</f>
        <v/>
      </c>
    </row>
    <row r="1941">
      <c r="A1941" s="0" t="inlineStr">
        <is>
          <t>New</t>
        </is>
      </c>
      <c r="B1941" s="0" t="inlineStr">
        <is>
          <t>Item</t>
        </is>
      </c>
      <c r="C1941" s="0" t="inlineStr">
        <is>
          <t>Acquired</t>
        </is>
      </c>
      <c r="D1941" s="0" t="inlineStr">
        <is>
          <t>:</t>
        </is>
      </c>
      <c r="E1941" s="0" t="inlineStr">
        <is>
          <t>112.50K</t>
        </is>
      </c>
      <c r="F1941" s="0" t="inlineStr">
        <is>
          <t>(5,</t>
        </is>
      </c>
      <c r="G1941" s="0" t="inlineStr">
        <is>
          <t>3)</t>
        </is>
      </c>
      <c r="K1941" s="0">
        <f>IF(H1940="1)",1,IF(H1940="2)",2,IF(H1940="3)",3,IF(H1940="4)",4,IF(H1940="5)",5,IF(H1940="6)",6,IF(H1940="7)",7,IF(H1940="8)",8,0))))))))</f>
        <v/>
      </c>
      <c r="L1941" s="0">
        <f>IF(H1940="1)",J1940,IF(H1940="2)",J1940,IF(H1940="3)",J1940,IF(H1940="4)",J1940,IF(H1940="5)",J1940,IF(H1940="6)",J1940,IF(H1940="7)",J1940,IF(H1940="8)",J1940,0))))))))</f>
        <v/>
      </c>
    </row>
    <row r="1942">
      <c r="A1942" s="0" t="inlineStr">
        <is>
          <t>New</t>
        </is>
      </c>
      <c r="B1942" s="0" t="inlineStr">
        <is>
          <t>Item</t>
        </is>
      </c>
      <c r="C1942" s="0" t="inlineStr">
        <is>
          <t>Acquired</t>
        </is>
      </c>
      <c r="D1942" s="0" t="inlineStr">
        <is>
          <t>:</t>
        </is>
      </c>
      <c r="E1942" s="0" t="inlineStr">
        <is>
          <t>45.00K</t>
        </is>
      </c>
      <c r="F1942" s="0" t="inlineStr">
        <is>
          <t>(3,</t>
        </is>
      </c>
      <c r="G1942" s="0" t="inlineStr">
        <is>
          <t>23)</t>
        </is>
      </c>
      <c r="K1942" s="0">
        <f>IF(H1941="1)",1,IF(H1941="2)",2,IF(H1941="3)",3,IF(H1941="4)",4,IF(H1941="5)",5,IF(H1941="6)",6,IF(H1941="7)",7,IF(H1941="8)",8,0))))))))</f>
        <v/>
      </c>
      <c r="L1942" s="0">
        <f>IF(H1941="1)",J1941,IF(H1941="2)",J1941,IF(H1941="3)",J1941,IF(H1941="4)",J1941,IF(H1941="5)",J1941,IF(H1941="6)",J1941,IF(H1941="7)",J1941,IF(H1941="8)",J1941,0))))))))</f>
        <v/>
      </c>
    </row>
    <row r="1943">
      <c r="A1943" s="0" t="inlineStr">
        <is>
          <t>New</t>
        </is>
      </c>
      <c r="B1943" s="0" t="inlineStr">
        <is>
          <t>Item</t>
        </is>
      </c>
      <c r="C1943" s="0" t="inlineStr">
        <is>
          <t>Acquired</t>
        </is>
      </c>
      <c r="D1943" s="0" t="inlineStr">
        <is>
          <t>:</t>
        </is>
      </c>
      <c r="E1943" s="0" t="inlineStr">
        <is>
          <t>67.50K</t>
        </is>
      </c>
      <c r="F1943" s="0" t="inlineStr">
        <is>
          <t>(5,</t>
        </is>
      </c>
      <c r="G1943" s="0" t="inlineStr">
        <is>
          <t>22)</t>
        </is>
      </c>
      <c r="K1943" s="0">
        <f>IF(H1942="1)",1,IF(H1942="2)",2,IF(H1942="3)",3,IF(H1942="4)",4,IF(H1942="5)",5,IF(H1942="6)",6,IF(H1942="7)",7,IF(H1942="8)",8,0))))))))</f>
        <v/>
      </c>
      <c r="L1943" s="0">
        <f>IF(H1942="1)",J1942,IF(H1942="2)",J1942,IF(H1942="3)",J1942,IF(H1942="4)",J1942,IF(H1942="5)",J1942,IF(H1942="6)",J1942,IF(H1942="7)",J1942,IF(H1942="8)",J1942,0))))))))</f>
        <v/>
      </c>
    </row>
    <row r="1944">
      <c r="A1944" s="0" t="inlineStr">
        <is>
          <t>New</t>
        </is>
      </c>
      <c r="B1944" s="0" t="inlineStr">
        <is>
          <t>Item</t>
        </is>
      </c>
      <c r="C1944" s="0" t="inlineStr">
        <is>
          <t>Acquired</t>
        </is>
      </c>
      <c r="D1944" s="0" t="inlineStr">
        <is>
          <t>:</t>
        </is>
      </c>
      <c r="E1944" s="0" t="inlineStr">
        <is>
          <t>90.00K</t>
        </is>
      </c>
      <c r="F1944" s="0" t="inlineStr">
        <is>
          <t>(7,</t>
        </is>
      </c>
      <c r="G1944" s="0" t="inlineStr">
        <is>
          <t>7)</t>
        </is>
      </c>
      <c r="K1944" s="0">
        <f>IF(H1943="1)",1,IF(H1943="2)",2,IF(H1943="3)",3,IF(H1943="4)",4,IF(H1943="5)",5,IF(H1943="6)",6,IF(H1943="7)",7,IF(H1943="8)",8,0))))))))</f>
        <v/>
      </c>
      <c r="L1944" s="0">
        <f>IF(H1943="1)",J1943,IF(H1943="2)",J1943,IF(H1943="3)",J1943,IF(H1943="4)",J1943,IF(H1943="5)",J1943,IF(H1943="6)",J1943,IF(H1943="7)",J1943,IF(H1943="8)",J1943,0))))))))</f>
        <v/>
      </c>
    </row>
    <row r="1945">
      <c r="A1945" s="0" t="inlineStr">
        <is>
          <t>New</t>
        </is>
      </c>
      <c r="B1945" s="0" t="inlineStr">
        <is>
          <t>Item</t>
        </is>
      </c>
      <c r="C1945" s="0" t="inlineStr">
        <is>
          <t>Acquired</t>
        </is>
      </c>
      <c r="D1945" s="0" t="inlineStr">
        <is>
          <t>:</t>
        </is>
      </c>
      <c r="E1945" s="0" t="inlineStr">
        <is>
          <t>Mini</t>
        </is>
      </c>
      <c r="F1945" s="0" t="inlineStr">
        <is>
          <t>(5,</t>
        </is>
      </c>
      <c r="G1945" s="0" t="inlineStr">
        <is>
          <t>7)</t>
        </is>
      </c>
      <c r="K1945" s="0">
        <f>IF(H1944="1)",1,IF(H1944="2)",2,IF(H1944="3)",3,IF(H1944="4)",4,IF(H1944="5)",5,IF(H1944="6)",6,IF(H1944="7)",7,IF(H1944="8)",8,0))))))))</f>
        <v/>
      </c>
      <c r="L1945" s="0">
        <f>IF(H1944="1)",J1944,IF(H1944="2)",J1944,IF(H1944="3)",J1944,IF(H1944="4)",J1944,IF(H1944="5)",J1944,IF(H1944="6)",J1944,IF(H1944="7)",J1944,IF(H1944="8)",J1944,0))))))))</f>
        <v/>
      </c>
    </row>
    <row r="1946">
      <c r="A1946" s="0" t="inlineStr">
        <is>
          <t>New</t>
        </is>
      </c>
      <c r="B1946" s="0" t="inlineStr">
        <is>
          <t>Item</t>
        </is>
      </c>
      <c r="C1946" s="0" t="inlineStr">
        <is>
          <t>Acquired</t>
        </is>
      </c>
      <c r="D1946" s="0" t="inlineStr">
        <is>
          <t>:</t>
        </is>
      </c>
      <c r="E1946" s="0" t="inlineStr">
        <is>
          <t>67.50K</t>
        </is>
      </c>
      <c r="F1946" s="0" t="inlineStr">
        <is>
          <t>(5,</t>
        </is>
      </c>
      <c r="G1946" s="0" t="inlineStr">
        <is>
          <t>24)</t>
        </is>
      </c>
      <c r="K1946" s="0">
        <f>IF(H1945="1)",1,IF(H1945="2)",2,IF(H1945="3)",3,IF(H1945="4)",4,IF(H1945="5)",5,IF(H1945="6)",6,IF(H1945="7)",7,IF(H1945="8)",8,0))))))))</f>
        <v/>
      </c>
      <c r="L1946" s="0">
        <f>IF(H1945="1)",J1945,IF(H1945="2)",J1945,IF(H1945="3)",J1945,IF(H1945="4)",J1945,IF(H1945="5)",J1945,IF(H1945="6)",J1945,IF(H1945="7)",J1945,IF(H1945="8)",J1945,0))))))))</f>
        <v/>
      </c>
    </row>
    <row r="1947">
      <c r="A1947" s="0" t="inlineStr">
        <is>
          <t>New</t>
        </is>
      </c>
      <c r="B1947" s="0" t="inlineStr">
        <is>
          <t>Item</t>
        </is>
      </c>
      <c r="C1947" s="0" t="inlineStr">
        <is>
          <t>Acquired</t>
        </is>
      </c>
      <c r="D1947" s="0" t="inlineStr">
        <is>
          <t>:</t>
        </is>
      </c>
      <c r="E1947" s="0" t="inlineStr">
        <is>
          <t>67.50K</t>
        </is>
      </c>
      <c r="F1947" s="0" t="inlineStr">
        <is>
          <t>(5,</t>
        </is>
      </c>
      <c r="G1947" s="0" t="inlineStr">
        <is>
          <t>14)</t>
        </is>
      </c>
      <c r="K1947" s="0">
        <f>IF(H1946="1)",1,IF(H1946="2)",2,IF(H1946="3)",3,IF(H1946="4)",4,IF(H1946="5)",5,IF(H1946="6)",6,IF(H1946="7)",7,IF(H1946="8)",8,0))))))))</f>
        <v/>
      </c>
      <c r="L1947" s="0">
        <f>IF(H1946="1)",J1946,IF(H1946="2)",J1946,IF(H1946="3)",J1946,IF(H1946="4)",J1946,IF(H1946="5)",J1946,IF(H1946="6)",J1946,IF(H1946="7)",J1946,IF(H1946="8)",J1946,0))))))))</f>
        <v/>
      </c>
    </row>
    <row r="1948">
      <c r="A1948" s="0" t="inlineStr">
        <is>
          <t>New</t>
        </is>
      </c>
      <c r="B1948" s="0" t="inlineStr">
        <is>
          <t>Item</t>
        </is>
      </c>
      <c r="C1948" s="0" t="inlineStr">
        <is>
          <t>Acquired</t>
        </is>
      </c>
      <c r="D1948" s="0" t="inlineStr">
        <is>
          <t>:</t>
        </is>
      </c>
      <c r="E1948" s="0" t="inlineStr">
        <is>
          <t>120.00K</t>
        </is>
      </c>
      <c r="F1948" s="0" t="inlineStr">
        <is>
          <t>(8,</t>
        </is>
      </c>
      <c r="G1948" s="0" t="inlineStr">
        <is>
          <t>16)</t>
        </is>
      </c>
      <c r="K1948" s="0">
        <f>IF(H1947="1)",1,IF(H1947="2)",2,IF(H1947="3)",3,IF(H1947="4)",4,IF(H1947="5)",5,IF(H1947="6)",6,IF(H1947="7)",7,IF(H1947="8)",8,0))))))))</f>
        <v/>
      </c>
      <c r="L1948" s="0">
        <f>IF(H1947="1)",J1947,IF(H1947="2)",J1947,IF(H1947="3)",J1947,IF(H1947="4)",J1947,IF(H1947="5)",J1947,IF(H1947="6)",J1947,IF(H1947="7)",J1947,IF(H1947="8)",J1947,0))))))))</f>
        <v/>
      </c>
    </row>
    <row r="1949">
      <c r="A1949" s="0" t="inlineStr">
        <is>
          <t>Item</t>
        </is>
      </c>
      <c r="B1949" s="0" t="inlineStr">
        <is>
          <t>ReSelect</t>
        </is>
      </c>
      <c r="C1949" s="0" t="inlineStr">
        <is>
          <t>Failed</t>
        </is>
      </c>
      <c r="D1949" s="0" t="inlineStr">
        <is>
          <t>:</t>
        </is>
      </c>
      <c r="E1949" s="0" t="inlineStr">
        <is>
          <t>Attempt</t>
        </is>
      </c>
      <c r="F1949" s="0" t="inlineStr">
        <is>
          <t>Count</t>
        </is>
      </c>
      <c r="G1949" s="0" t="inlineStr">
        <is>
          <t>-</t>
        </is>
      </c>
      <c r="H1949" s="0" t="n">
        <v>3</v>
      </c>
      <c r="K1949" s="0">
        <f>IF(H1948="1)",1,IF(H1948="2)",2,IF(H1948="3)",3,IF(H1948="4)",4,IF(H1948="5)",5,IF(H1948="6)",6,IF(H1948="7)",7,IF(H1948="8)",8,0))))))))</f>
        <v/>
      </c>
      <c r="L1949" s="0">
        <f>IF(H1948="1)",J1948,IF(H1948="2)",J1948,IF(H1948="3)",J1948,IF(H1948="4)",J1948,IF(H1948="5)",J1948,IF(H1948="6)",J1948,IF(H1948="7)",J1948,IF(H1948="8)",J1948,0))))))))</f>
        <v/>
      </c>
    </row>
    <row r="1950">
      <c r="A1950" s="0" t="inlineStr">
        <is>
          <t>New</t>
        </is>
      </c>
      <c r="B1950" s="0" t="inlineStr">
        <is>
          <t>Item</t>
        </is>
      </c>
      <c r="C1950" s="0" t="inlineStr">
        <is>
          <t>Acquired</t>
        </is>
      </c>
      <c r="D1950" s="0" t="inlineStr">
        <is>
          <t>:</t>
        </is>
      </c>
      <c r="E1950" s="0" t="inlineStr">
        <is>
          <t>70.00K</t>
        </is>
      </c>
      <c r="F1950" s="0" t="inlineStr">
        <is>
          <t>(1,</t>
        </is>
      </c>
      <c r="G1950" s="0" t="inlineStr">
        <is>
          <t>8)</t>
        </is>
      </c>
      <c r="K1950" s="0">
        <f>IF(H1949="1)",1,IF(H1949="2)",2,IF(H1949="3)",3,IF(H1949="4)",4,IF(H1949="5)",5,IF(H1949="6)",6,IF(H1949="7)",7,IF(H1949="8)",8,0))))))))</f>
        <v/>
      </c>
      <c r="L1950" s="0">
        <f>IF(H1949="1)",J1949,IF(H1949="2)",J1949,IF(H1949="3)",J1949,IF(H1949="4)",J1949,IF(H1949="5)",J1949,IF(H1949="6)",J1949,IF(H1949="7)",J1949,IF(H1949="8)",J1949,0))))))))</f>
        <v/>
      </c>
    </row>
    <row r="1951">
      <c r="A1951" s="0" t="inlineStr">
        <is>
          <t>Line</t>
        </is>
      </c>
      <c r="B1951" s="0" t="inlineStr">
        <is>
          <t>Prize</t>
        </is>
      </c>
      <c r="C1951" s="0" t="inlineStr">
        <is>
          <t>Acquired</t>
        </is>
      </c>
      <c r="D1951" s="0" t="inlineStr">
        <is>
          <t>:</t>
        </is>
      </c>
      <c r="E1951" s="0" t="inlineStr">
        <is>
          <t>290.00K</t>
        </is>
      </c>
      <c r="F1951" s="0" t="inlineStr">
        <is>
          <t>(Stage</t>
        </is>
      </c>
      <c r="G1951" s="0" t="inlineStr">
        <is>
          <t>:</t>
        </is>
      </c>
      <c r="H1951" s="0" t="inlineStr">
        <is>
          <t>1)</t>
        </is>
      </c>
      <c r="I1951" s="0" t="inlineStr">
        <is>
          <t>-</t>
        </is>
      </c>
      <c r="J1951" s="0" t="n">
        <v>290000</v>
      </c>
      <c r="K1951" s="0">
        <f>IF(H1950="1)",1,IF(H1950="2)",2,IF(H1950="3)",3,IF(H1950="4)",4,IF(H1950="5)",5,IF(H1950="6)",6,IF(H1950="7)",7,IF(H1950="8)",8,0))))))))</f>
        <v/>
      </c>
      <c r="L1951" s="0">
        <f>IF(H1950="1)",J1950,IF(H1950="2)",J1950,IF(H1950="3)",J1950,IF(H1950="4)",J1950,IF(H1950="5)",J1950,IF(H1950="6)",J1950,IF(H1950="7)",J1950,IF(H1950="8)",J1950,0))))))))</f>
        <v/>
      </c>
    </row>
    <row r="1952">
      <c r="A1952" s="0" t="inlineStr">
        <is>
          <t>Clear</t>
        </is>
      </c>
      <c r="B1952" s="0" t="inlineStr">
        <is>
          <t>Gem</t>
        </is>
      </c>
      <c r="C1952" s="0" t="inlineStr">
        <is>
          <t>Acquired</t>
        </is>
      </c>
      <c r="D1952" s="0" t="inlineStr">
        <is>
          <t>:</t>
        </is>
      </c>
      <c r="E1952" s="0" t="n">
        <v>11800</v>
      </c>
      <c r="F1952" s="0" t="inlineStr">
        <is>
          <t>-&gt;</t>
        </is>
      </c>
      <c r="G1952" s="0" t="n">
        <v>11900</v>
      </c>
      <c r="H1952" s="0" t="inlineStr">
        <is>
          <t>(Stage</t>
        </is>
      </c>
      <c r="I1952" s="0" t="inlineStr">
        <is>
          <t>:</t>
        </is>
      </c>
      <c r="J1952" s="0" t="inlineStr">
        <is>
          <t>1)</t>
        </is>
      </c>
      <c r="K1952" s="0">
        <f>IF(H1951="1)",1,IF(H1951="2)",2,IF(H1951="3)",3,IF(H1951="4)",4,IF(H1951="5)",5,IF(H1951="6)",6,IF(H1951="7)",7,IF(H1951="8)",8,0))))))))</f>
        <v/>
      </c>
      <c r="L1952" s="0">
        <f>IF(H1951="1)",J1951,IF(H1951="2)",J1951,IF(H1951="3)",J1951,IF(H1951="4)",J1951,IF(H1951="5)",J1951,IF(H1951="6)",J1951,IF(H1951="7)",J1951,IF(H1951="8)",J1951,0))))))))</f>
        <v/>
      </c>
    </row>
    <row r="1953">
      <c r="A1953" s="0" t="inlineStr">
        <is>
          <t>New</t>
        </is>
      </c>
      <c r="B1953" s="0" t="inlineStr">
        <is>
          <t>Item</t>
        </is>
      </c>
      <c r="C1953" s="0" t="inlineStr">
        <is>
          <t>Acquired</t>
        </is>
      </c>
      <c r="D1953" s="0" t="inlineStr">
        <is>
          <t>:</t>
        </is>
      </c>
      <c r="E1953" s="0" t="inlineStr">
        <is>
          <t>30.00K</t>
        </is>
      </c>
      <c r="F1953" s="0" t="inlineStr">
        <is>
          <t>(1,</t>
        </is>
      </c>
      <c r="G1953" s="0" t="inlineStr">
        <is>
          <t>18)</t>
        </is>
      </c>
      <c r="K1953" s="0">
        <f>IF(H1952="1)",1,IF(H1952="2)",2,IF(H1952="3)",3,IF(H1952="4)",4,IF(H1952="5)",5,IF(H1952="6)",6,IF(H1952="7)",7,IF(H1952="8)",8,0))))))))</f>
        <v/>
      </c>
      <c r="L1953" s="0">
        <f>IF(H1952="1)",J1952,IF(H1952="2)",J1952,IF(H1952="3)",J1952,IF(H1952="4)",J1952,IF(H1952="5)",J1952,IF(H1952="6)",J1952,IF(H1952="7)",J1952,IF(H1952="8)",J1952,0))))))))</f>
        <v/>
      </c>
    </row>
    <row r="1954">
      <c r="A1954" s="0" t="inlineStr">
        <is>
          <t>New</t>
        </is>
      </c>
      <c r="B1954" s="0" t="inlineStr">
        <is>
          <t>Item</t>
        </is>
      </c>
      <c r="C1954" s="0" t="inlineStr">
        <is>
          <t>Acquired</t>
        </is>
      </c>
      <c r="D1954" s="0" t="inlineStr">
        <is>
          <t>:</t>
        </is>
      </c>
      <c r="E1954" s="0" t="inlineStr">
        <is>
          <t>67.50K</t>
        </is>
      </c>
      <c r="F1954" s="0" t="inlineStr">
        <is>
          <t>(5,</t>
        </is>
      </c>
      <c r="G1954" s="0" t="inlineStr">
        <is>
          <t>18)</t>
        </is>
      </c>
      <c r="K1954" s="0">
        <f>IF(H1953="1)",1,IF(H1953="2)",2,IF(H1953="3)",3,IF(H1953="4)",4,IF(H1953="5)",5,IF(H1953="6)",6,IF(H1953="7)",7,IF(H1953="8)",8,0))))))))</f>
        <v/>
      </c>
      <c r="L1954" s="0">
        <f>IF(H1953="1)",J1953,IF(H1953="2)",J1953,IF(H1953="3)",J1953,IF(H1953="4)",J1953,IF(H1953="5)",J1953,IF(H1953="6)",J1953,IF(H1953="7)",J1953,IF(H1953="8)",J1953,0))))))))</f>
        <v/>
      </c>
    </row>
    <row r="1955">
      <c r="A1955" s="0" t="inlineStr">
        <is>
          <t>New</t>
        </is>
      </c>
      <c r="B1955" s="0" t="inlineStr">
        <is>
          <t>Item</t>
        </is>
      </c>
      <c r="C1955" s="0" t="inlineStr">
        <is>
          <t>Acquired</t>
        </is>
      </c>
      <c r="D1955" s="0" t="inlineStr">
        <is>
          <t>:</t>
        </is>
      </c>
      <c r="E1955" s="0" t="inlineStr">
        <is>
          <t>87.50K</t>
        </is>
      </c>
      <c r="F1955" s="0" t="inlineStr">
        <is>
          <t>(2,</t>
        </is>
      </c>
      <c r="G1955" s="0" t="inlineStr">
        <is>
          <t>5)</t>
        </is>
      </c>
      <c r="K1955" s="0">
        <f>IF(H1954="1)",1,IF(H1954="2)",2,IF(H1954="3)",3,IF(H1954="4)",4,IF(H1954="5)",5,IF(H1954="6)",6,IF(H1954="7)",7,IF(H1954="8)",8,0))))))))</f>
        <v/>
      </c>
      <c r="L1955" s="0">
        <f>IF(H1954="1)",J1954,IF(H1954="2)",J1954,IF(H1954="3)",J1954,IF(H1954="4)",J1954,IF(H1954="5)",J1954,IF(H1954="6)",J1954,IF(H1954="7)",J1954,IF(H1954="8)",J1954,0))))))))</f>
        <v/>
      </c>
    </row>
    <row r="1956">
      <c r="A1956" s="0" t="inlineStr">
        <is>
          <t>Line</t>
        </is>
      </c>
      <c r="B1956" s="0" t="inlineStr">
        <is>
          <t>Prize</t>
        </is>
      </c>
      <c r="C1956" s="0" t="inlineStr">
        <is>
          <t>Acquired</t>
        </is>
      </c>
      <c r="D1956" s="0" t="inlineStr">
        <is>
          <t>:</t>
        </is>
      </c>
      <c r="E1956" s="0" t="inlineStr">
        <is>
          <t>675.00K</t>
        </is>
      </c>
      <c r="F1956" s="0" t="inlineStr">
        <is>
          <t>(Stage</t>
        </is>
      </c>
      <c r="G1956" s="0" t="inlineStr">
        <is>
          <t>:</t>
        </is>
      </c>
      <c r="H1956" s="0" t="inlineStr">
        <is>
          <t>2)</t>
        </is>
      </c>
      <c r="I1956" s="0" t="inlineStr">
        <is>
          <t>-</t>
        </is>
      </c>
      <c r="J1956" s="0" t="n">
        <v>675000</v>
      </c>
      <c r="K1956" s="0">
        <f>IF(H1955="1)",1,IF(H1955="2)",2,IF(H1955="3)",3,IF(H1955="4)",4,IF(H1955="5)",5,IF(H1955="6)",6,IF(H1955="7)",7,IF(H1955="8)",8,0))))))))</f>
        <v/>
      </c>
      <c r="L1956" s="0">
        <f>IF(H1955="1)",J1955,IF(H1955="2)",J1955,IF(H1955="3)",J1955,IF(H1955="4)",J1955,IF(H1955="5)",J1955,IF(H1955="6)",J1955,IF(H1955="7)",J1955,IF(H1955="8)",J1955,0))))))))</f>
        <v/>
      </c>
    </row>
    <row r="1957">
      <c r="A1957" s="0" t="inlineStr">
        <is>
          <t>Clear</t>
        </is>
      </c>
      <c r="B1957" s="0" t="inlineStr">
        <is>
          <t>Gem</t>
        </is>
      </c>
      <c r="C1957" s="0" t="inlineStr">
        <is>
          <t>Acquired</t>
        </is>
      </c>
      <c r="D1957" s="0" t="inlineStr">
        <is>
          <t>:</t>
        </is>
      </c>
      <c r="E1957" s="0" t="n">
        <v>11900</v>
      </c>
      <c r="F1957" s="0" t="inlineStr">
        <is>
          <t>-&gt;</t>
        </is>
      </c>
      <c r="G1957" s="0" t="n">
        <v>12000</v>
      </c>
      <c r="H1957" s="0" t="inlineStr">
        <is>
          <t>(Stage</t>
        </is>
      </c>
      <c r="I1957" s="0" t="inlineStr">
        <is>
          <t>:</t>
        </is>
      </c>
      <c r="J1957" s="0" t="inlineStr">
        <is>
          <t>2)</t>
        </is>
      </c>
      <c r="K1957" s="0">
        <f>IF(H1956="1)",1,IF(H1956="2)",2,IF(H1956="3)",3,IF(H1956="4)",4,IF(H1956="5)",5,IF(H1956="6)",6,IF(H1956="7)",7,IF(H1956="8)",8,0))))))))</f>
        <v/>
      </c>
      <c r="L1957" s="0">
        <f>IF(H1956="1)",J1956,IF(H1956="2)",J1956,IF(H1956="3)",J1956,IF(H1956="4)",J1956,IF(H1956="5)",J1956,IF(H1956="6)",J1956,IF(H1956="7)",J1956,IF(H1956="8)",J1956,0))))))))</f>
        <v/>
      </c>
    </row>
    <row r="1958">
      <c r="A1958" s="0" t="inlineStr">
        <is>
          <t>New</t>
        </is>
      </c>
      <c r="B1958" s="0" t="inlineStr">
        <is>
          <t>Item</t>
        </is>
      </c>
      <c r="C1958" s="0" t="inlineStr">
        <is>
          <t>Acquired</t>
        </is>
      </c>
      <c r="D1958" s="0" t="inlineStr">
        <is>
          <t>:</t>
        </is>
      </c>
      <c r="E1958" s="0" t="inlineStr">
        <is>
          <t>62.50K</t>
        </is>
      </c>
      <c r="F1958" s="0" t="inlineStr">
        <is>
          <t>(2,</t>
        </is>
      </c>
      <c r="G1958" s="0" t="inlineStr">
        <is>
          <t>19)</t>
        </is>
      </c>
      <c r="K1958" s="0">
        <f>IF(H1957="1)",1,IF(H1957="2)",2,IF(H1957="3)",3,IF(H1957="4)",4,IF(H1957="5)",5,IF(H1957="6)",6,IF(H1957="7)",7,IF(H1957="8)",8,0))))))))</f>
        <v/>
      </c>
      <c r="L1958" s="0">
        <f>IF(H1957="1)",J1957,IF(H1957="2)",J1957,IF(H1957="3)",J1957,IF(H1957="4)",J1957,IF(H1957="5)",J1957,IF(H1957="6)",J1957,IF(H1957="7)",J1957,IF(H1957="8)",J1957,0))))))))</f>
        <v/>
      </c>
    </row>
    <row r="1959">
      <c r="A1959" s="0" t="inlineStr">
        <is>
          <t>New</t>
        </is>
      </c>
      <c r="B1959" s="0" t="inlineStr">
        <is>
          <t>Item</t>
        </is>
      </c>
      <c r="C1959" s="0" t="inlineStr">
        <is>
          <t>Acquired</t>
        </is>
      </c>
      <c r="D1959" s="0" t="inlineStr">
        <is>
          <t>:</t>
        </is>
      </c>
      <c r="E1959" s="0" t="inlineStr">
        <is>
          <t>Mini</t>
        </is>
      </c>
      <c r="F1959" s="0" t="inlineStr">
        <is>
          <t>(6,</t>
        </is>
      </c>
      <c r="G1959" s="0" t="inlineStr">
        <is>
          <t>14)</t>
        </is>
      </c>
      <c r="K1959" s="0">
        <f>IF(H1958="1)",1,IF(H1958="2)",2,IF(H1958="3)",3,IF(H1958="4)",4,IF(H1958="5)",5,IF(H1958="6)",6,IF(H1958="7)",7,IF(H1958="8)",8,0))))))))</f>
        <v/>
      </c>
      <c r="L1959" s="0">
        <f>IF(H1958="1)",J1958,IF(H1958="2)",J1958,IF(H1958="3)",J1958,IF(H1958="4)",J1958,IF(H1958="5)",J1958,IF(H1958="6)",J1958,IF(H1958="7)",J1958,IF(H1958="8)",J1958,0))))))))</f>
        <v/>
      </c>
    </row>
    <row r="1960">
      <c r="A1960" s="0" t="inlineStr">
        <is>
          <t>New</t>
        </is>
      </c>
      <c r="B1960" s="0" t="inlineStr">
        <is>
          <t>Item</t>
        </is>
      </c>
      <c r="C1960" s="0" t="inlineStr">
        <is>
          <t>Acquired</t>
        </is>
      </c>
      <c r="D1960" s="0" t="inlineStr">
        <is>
          <t>:</t>
        </is>
      </c>
      <c r="E1960" s="0" t="inlineStr">
        <is>
          <t>67.50K</t>
        </is>
      </c>
      <c r="F1960" s="0" t="inlineStr">
        <is>
          <t>(5,</t>
        </is>
      </c>
      <c r="G1960" s="0" t="inlineStr">
        <is>
          <t>1)</t>
        </is>
      </c>
      <c r="K1960" s="0">
        <f>IF(H1959="1)",1,IF(H1959="2)",2,IF(H1959="3)",3,IF(H1959="4)",4,IF(H1959="5)",5,IF(H1959="6)",6,IF(H1959="7)",7,IF(H1959="8)",8,0))))))))</f>
        <v/>
      </c>
      <c r="L1960" s="0">
        <f>IF(H1959="1)",J1959,IF(H1959="2)",J1959,IF(H1959="3)",J1959,IF(H1959="4)",J1959,IF(H1959="5)",J1959,IF(H1959="6)",J1959,IF(H1959="7)",J1959,IF(H1959="8)",J1959,0))))))))</f>
        <v/>
      </c>
    </row>
    <row r="1961">
      <c r="A1961" s="0" t="inlineStr">
        <is>
          <t>New</t>
        </is>
      </c>
      <c r="B1961" s="0" t="inlineStr">
        <is>
          <t>Item</t>
        </is>
      </c>
      <c r="C1961" s="0" t="inlineStr">
        <is>
          <t>Acquired</t>
        </is>
      </c>
      <c r="D1961" s="0" t="inlineStr">
        <is>
          <t>:</t>
        </is>
      </c>
      <c r="E1961" s="0" t="inlineStr">
        <is>
          <t>30.00K</t>
        </is>
      </c>
      <c r="F1961" s="0" t="inlineStr">
        <is>
          <t>(1,</t>
        </is>
      </c>
      <c r="G1961" s="0" t="inlineStr">
        <is>
          <t>17)</t>
        </is>
      </c>
      <c r="K1961" s="0">
        <f>IF(H1960="1)",1,IF(H1960="2)",2,IF(H1960="3)",3,IF(H1960="4)",4,IF(H1960="5)",5,IF(H1960="6)",6,IF(H1960="7)",7,IF(H1960="8)",8,0))))))))</f>
        <v/>
      </c>
      <c r="L1961" s="0">
        <f>IF(H1960="1)",J1960,IF(H1960="2)",J1960,IF(H1960="3)",J1960,IF(H1960="4)",J1960,IF(H1960="5)",J1960,IF(H1960="6)",J1960,IF(H1960="7)",J1960,IF(H1960="8)",J1960,0))))))))</f>
        <v/>
      </c>
    </row>
    <row r="1962">
      <c r="A1962" s="0" t="inlineStr">
        <is>
          <t>New</t>
        </is>
      </c>
      <c r="B1962" s="0" t="inlineStr">
        <is>
          <t>Item</t>
        </is>
      </c>
      <c r="C1962" s="0" t="inlineStr">
        <is>
          <t>Acquired</t>
        </is>
      </c>
      <c r="D1962" s="0" t="inlineStr">
        <is>
          <t>:</t>
        </is>
      </c>
      <c r="E1962" s="0" t="inlineStr">
        <is>
          <t>150.00K</t>
        </is>
      </c>
      <c r="F1962" s="0" t="inlineStr">
        <is>
          <t>(7,</t>
        </is>
      </c>
      <c r="G1962" s="0" t="inlineStr">
        <is>
          <t>15)</t>
        </is>
      </c>
      <c r="K1962" s="0">
        <f>IF(H1961="1)",1,IF(H1961="2)",2,IF(H1961="3)",3,IF(H1961="4)",4,IF(H1961="5)",5,IF(H1961="6)",6,IF(H1961="7)",7,IF(H1961="8)",8,0))))))))</f>
        <v/>
      </c>
      <c r="L1962" s="0">
        <f>IF(H1961="1)",J1961,IF(H1961="2)",J1961,IF(H1961="3)",J1961,IF(H1961="4)",J1961,IF(H1961="5)",J1961,IF(H1961="6)",J1961,IF(H1961="7)",J1961,IF(H1961="8)",J1961,0))))))))</f>
        <v/>
      </c>
    </row>
    <row r="1963">
      <c r="A1963" s="0" t="inlineStr">
        <is>
          <t>New</t>
        </is>
      </c>
      <c r="B1963" s="0" t="inlineStr">
        <is>
          <t>Item</t>
        </is>
      </c>
      <c r="C1963" s="0" t="inlineStr">
        <is>
          <t>Acquired</t>
        </is>
      </c>
      <c r="D1963" s="0" t="inlineStr">
        <is>
          <t>:</t>
        </is>
      </c>
      <c r="E1963" s="0" t="inlineStr">
        <is>
          <t>30.00K</t>
        </is>
      </c>
      <c r="F1963" s="0" t="inlineStr">
        <is>
          <t>(1,</t>
        </is>
      </c>
      <c r="G1963" s="0" t="inlineStr">
        <is>
          <t>4)</t>
        </is>
      </c>
      <c r="K1963" s="0">
        <f>IF(H1962="1)",1,IF(H1962="2)",2,IF(H1962="3)",3,IF(H1962="4)",4,IF(H1962="5)",5,IF(H1962="6)",6,IF(H1962="7)",7,IF(H1962="8)",8,0))))))))</f>
        <v/>
      </c>
      <c r="L1963" s="0">
        <f>IF(H1962="1)",J1962,IF(H1962="2)",J1962,IF(H1962="3)",J1962,IF(H1962="4)",J1962,IF(H1962="5)",J1962,IF(H1962="6)",J1962,IF(H1962="7)",J1962,IF(H1962="8)",J1962,0))))))))</f>
        <v/>
      </c>
    </row>
    <row r="1964">
      <c r="A1964" s="0" t="inlineStr">
        <is>
          <t>New</t>
        </is>
      </c>
      <c r="B1964" s="0" t="inlineStr">
        <is>
          <t>Item</t>
        </is>
      </c>
      <c r="C1964" s="0" t="inlineStr">
        <is>
          <t>Acquired</t>
        </is>
      </c>
      <c r="D1964" s="0" t="inlineStr">
        <is>
          <t>:</t>
        </is>
      </c>
      <c r="E1964" s="0" t="inlineStr">
        <is>
          <t>37.50K</t>
        </is>
      </c>
      <c r="F1964" s="0" t="inlineStr">
        <is>
          <t>(2,</t>
        </is>
      </c>
      <c r="G1964" s="0" t="inlineStr">
        <is>
          <t>23)</t>
        </is>
      </c>
      <c r="K1964" s="0">
        <f>IF(H1963="1)",1,IF(H1963="2)",2,IF(H1963="3)",3,IF(H1963="4)",4,IF(H1963="5)",5,IF(H1963="6)",6,IF(H1963="7)",7,IF(H1963="8)",8,0))))))))</f>
        <v/>
      </c>
      <c r="L1964" s="0">
        <f>IF(H1963="1)",J1963,IF(H1963="2)",J1963,IF(H1963="3)",J1963,IF(H1963="4)",J1963,IF(H1963="5)",J1963,IF(H1963="6)",J1963,IF(H1963="7)",J1963,IF(H1963="8)",J1963,0))))))))</f>
        <v/>
      </c>
    </row>
    <row r="1965">
      <c r="A1965" s="0" t="inlineStr">
        <is>
          <t>New</t>
        </is>
      </c>
      <c r="B1965" s="0" t="inlineStr">
        <is>
          <t>Item</t>
        </is>
      </c>
      <c r="C1965" s="0" t="inlineStr">
        <is>
          <t>Acquired</t>
        </is>
      </c>
      <c r="D1965" s="0" t="inlineStr">
        <is>
          <t>:</t>
        </is>
      </c>
      <c r="E1965" s="0" t="inlineStr">
        <is>
          <t>75.00K</t>
        </is>
      </c>
      <c r="F1965" s="0" t="inlineStr">
        <is>
          <t>(4,</t>
        </is>
      </c>
      <c r="G1965" s="0" t="inlineStr">
        <is>
          <t>4)</t>
        </is>
      </c>
      <c r="K1965" s="0">
        <f>IF(H1964="1)",1,IF(H1964="2)",2,IF(H1964="3)",3,IF(H1964="4)",4,IF(H1964="5)",5,IF(H1964="6)",6,IF(H1964="7)",7,IF(H1964="8)",8,0))))))))</f>
        <v/>
      </c>
      <c r="L1965" s="0">
        <f>IF(H1964="1)",J1964,IF(H1964="2)",J1964,IF(H1964="3)",J1964,IF(H1964="4)",J1964,IF(H1964="5)",J1964,IF(H1964="6)",J1964,IF(H1964="7)",J1964,IF(H1964="8)",J1964,0))))))))</f>
        <v/>
      </c>
    </row>
    <row r="1966">
      <c r="A1966" s="0" t="inlineStr">
        <is>
          <t>New</t>
        </is>
      </c>
      <c r="B1966" s="0" t="inlineStr">
        <is>
          <t>Item</t>
        </is>
      </c>
      <c r="C1966" s="0" t="inlineStr">
        <is>
          <t>Acquired</t>
        </is>
      </c>
      <c r="D1966" s="0" t="inlineStr">
        <is>
          <t>:</t>
        </is>
      </c>
      <c r="E1966" s="0" t="inlineStr">
        <is>
          <t>70.00K</t>
        </is>
      </c>
      <c r="F1966" s="0" t="inlineStr">
        <is>
          <t>(1,</t>
        </is>
      </c>
      <c r="G1966" s="0" t="inlineStr">
        <is>
          <t>11)</t>
        </is>
      </c>
      <c r="K1966" s="0">
        <f>IF(H1965="1)",1,IF(H1965="2)",2,IF(H1965="3)",3,IF(H1965="4)",4,IF(H1965="5)",5,IF(H1965="6)",6,IF(H1965="7)",7,IF(H1965="8)",8,0))))))))</f>
        <v/>
      </c>
      <c r="L1966" s="0">
        <f>IF(H1965="1)",J1965,IF(H1965="2)",J1965,IF(H1965="3)",J1965,IF(H1965="4)",J1965,IF(H1965="5)",J1965,IF(H1965="6)",J1965,IF(H1965="7)",J1965,IF(H1965="8)",J1965,0))))))))</f>
        <v/>
      </c>
    </row>
    <row r="1967">
      <c r="A1967" s="0" t="inlineStr">
        <is>
          <t>New</t>
        </is>
      </c>
      <c r="B1967" s="0" t="inlineStr">
        <is>
          <t>Item</t>
        </is>
      </c>
      <c r="C1967" s="0" t="inlineStr">
        <is>
          <t>Acquired</t>
        </is>
      </c>
      <c r="D1967" s="0" t="inlineStr">
        <is>
          <t>:</t>
        </is>
      </c>
      <c r="E1967" s="0" t="inlineStr">
        <is>
          <t>75.00K</t>
        </is>
      </c>
      <c r="F1967" s="0" t="inlineStr">
        <is>
          <t>(3,</t>
        </is>
      </c>
      <c r="G1967" s="0" t="inlineStr">
        <is>
          <t>12)</t>
        </is>
      </c>
      <c r="K1967" s="0">
        <f>IF(H1966="1)",1,IF(H1966="2)",2,IF(H1966="3)",3,IF(H1966="4)",4,IF(H1966="5)",5,IF(H1966="6)",6,IF(H1966="7)",7,IF(H1966="8)",8,0))))))))</f>
        <v/>
      </c>
      <c r="L1967" s="0">
        <f>IF(H1966="1)",J1966,IF(H1966="2)",J1966,IF(H1966="3)",J1966,IF(H1966="4)",J1966,IF(H1966="5)",J1966,IF(H1966="6)",J1966,IF(H1966="7)",J1966,IF(H1966="8)",J1966,0))))))))</f>
        <v/>
      </c>
    </row>
    <row r="1968">
      <c r="A1968" s="0" t="inlineStr">
        <is>
          <t>New</t>
        </is>
      </c>
      <c r="B1968" s="0" t="inlineStr">
        <is>
          <t>Item</t>
        </is>
      </c>
      <c r="C1968" s="0" t="inlineStr">
        <is>
          <t>Acquired</t>
        </is>
      </c>
      <c r="D1968" s="0" t="inlineStr">
        <is>
          <t>:</t>
        </is>
      </c>
      <c r="E1968" s="0" t="inlineStr">
        <is>
          <t>Mini</t>
        </is>
      </c>
      <c r="F1968" s="0" t="inlineStr">
        <is>
          <t>(6,</t>
        </is>
      </c>
      <c r="G1968" s="0" t="inlineStr">
        <is>
          <t>5)</t>
        </is>
      </c>
      <c r="K1968" s="0">
        <f>IF(H1967="1)",1,IF(H1967="2)",2,IF(H1967="3)",3,IF(H1967="4)",4,IF(H1967="5)",5,IF(H1967="6)",6,IF(H1967="7)",7,IF(H1967="8)",8,0))))))))</f>
        <v/>
      </c>
      <c r="L1968" s="0">
        <f>IF(H1967="1)",J1967,IF(H1967="2)",J1967,IF(H1967="3)",J1967,IF(H1967="4)",J1967,IF(H1967="5)",J1967,IF(H1967="6)",J1967,IF(H1967="7)",J1967,IF(H1967="8)",J1967,0))))))))</f>
        <v/>
      </c>
    </row>
    <row r="1969">
      <c r="A1969" s="0" t="inlineStr">
        <is>
          <t>New</t>
        </is>
      </c>
      <c r="B1969" s="0" t="inlineStr">
        <is>
          <t>Item</t>
        </is>
      </c>
      <c r="C1969" s="0" t="inlineStr">
        <is>
          <t>Acquired</t>
        </is>
      </c>
      <c r="D1969" s="0" t="inlineStr">
        <is>
          <t>:</t>
        </is>
      </c>
      <c r="E1969" s="0" t="inlineStr">
        <is>
          <t>50.00K</t>
        </is>
      </c>
      <c r="F1969" s="0" t="inlineStr">
        <is>
          <t>(1,</t>
        </is>
      </c>
      <c r="G1969" s="0" t="inlineStr">
        <is>
          <t>3)</t>
        </is>
      </c>
      <c r="K1969" s="0">
        <f>IF(H1968="1)",1,IF(H1968="2)",2,IF(H1968="3)",3,IF(H1968="4)",4,IF(H1968="5)",5,IF(H1968="6)",6,IF(H1968="7)",7,IF(H1968="8)",8,0))))))))</f>
        <v/>
      </c>
      <c r="L1969" s="0">
        <f>IF(H1968="1)",J1968,IF(H1968="2)",J1968,IF(H1968="3)",J1968,IF(H1968="4)",J1968,IF(H1968="5)",J1968,IF(H1968="6)",J1968,IF(H1968="7)",J1968,IF(H1968="8)",J1968,0))))))))</f>
        <v/>
      </c>
    </row>
    <row r="1970">
      <c r="A1970" s="0" t="inlineStr">
        <is>
          <t>New</t>
        </is>
      </c>
      <c r="B1970" s="0" t="inlineStr">
        <is>
          <t>Item</t>
        </is>
      </c>
      <c r="C1970" s="0" t="inlineStr">
        <is>
          <t>Acquired</t>
        </is>
      </c>
      <c r="D1970" s="0" t="inlineStr">
        <is>
          <t>:</t>
        </is>
      </c>
      <c r="E1970" s="0" t="inlineStr">
        <is>
          <t>30.00K</t>
        </is>
      </c>
      <c r="F1970" s="0" t="inlineStr">
        <is>
          <t>(1,</t>
        </is>
      </c>
      <c r="G1970" s="0" t="inlineStr">
        <is>
          <t>14)</t>
        </is>
      </c>
      <c r="K1970" s="0">
        <f>IF(H1969="1)",1,IF(H1969="2)",2,IF(H1969="3)",3,IF(H1969="4)",4,IF(H1969="5)",5,IF(H1969="6)",6,IF(H1969="7)",7,IF(H1969="8)",8,0))))))))</f>
        <v/>
      </c>
      <c r="L1970" s="0">
        <f>IF(H1969="1)",J1969,IF(H1969="2)",J1969,IF(H1969="3)",J1969,IF(H1969="4)",J1969,IF(H1969="5)",J1969,IF(H1969="6)",J1969,IF(H1969="7)",J1969,IF(H1969="8)",J1969,0))))))))</f>
        <v/>
      </c>
    </row>
    <row r="1971">
      <c r="A1971" s="0" t="inlineStr">
        <is>
          <t>New</t>
        </is>
      </c>
      <c r="B1971" s="0" t="inlineStr">
        <is>
          <t>Item</t>
        </is>
      </c>
      <c r="C1971" s="0" t="inlineStr">
        <is>
          <t>Acquired</t>
        </is>
      </c>
      <c r="D1971" s="0" t="inlineStr">
        <is>
          <t>:</t>
        </is>
      </c>
      <c r="E1971" s="0" t="inlineStr">
        <is>
          <t>70.00K</t>
        </is>
      </c>
      <c r="F1971" s="0" t="inlineStr">
        <is>
          <t>(1,</t>
        </is>
      </c>
      <c r="G1971" s="0" t="inlineStr">
        <is>
          <t>5)</t>
        </is>
      </c>
      <c r="K1971" s="0">
        <f>IF(H1970="1)",1,IF(H1970="2)",2,IF(H1970="3)",3,IF(H1970="4)",4,IF(H1970="5)",5,IF(H1970="6)",6,IF(H1970="7)",7,IF(H1970="8)",8,0))))))))</f>
        <v/>
      </c>
      <c r="L1971" s="0">
        <f>IF(H1970="1)",J1970,IF(H1970="2)",J1970,IF(H1970="3)",J1970,IF(H1970="4)",J1970,IF(H1970="5)",J1970,IF(H1970="6)",J1970,IF(H1970="7)",J1970,IF(H1970="8)",J1970,0))))))))</f>
        <v/>
      </c>
    </row>
    <row r="1972">
      <c r="A1972" s="0" t="inlineStr">
        <is>
          <t>New</t>
        </is>
      </c>
      <c r="B1972" s="0" t="inlineStr">
        <is>
          <t>Item</t>
        </is>
      </c>
      <c r="C1972" s="0" t="inlineStr">
        <is>
          <t>Acquired</t>
        </is>
      </c>
      <c r="D1972" s="0" t="inlineStr">
        <is>
          <t>:</t>
        </is>
      </c>
      <c r="E1972" s="0" t="inlineStr">
        <is>
          <t>75.00K</t>
        </is>
      </c>
      <c r="F1972" s="0" t="inlineStr">
        <is>
          <t>(6,</t>
        </is>
      </c>
      <c r="G1972" s="0" t="inlineStr">
        <is>
          <t>22)</t>
        </is>
      </c>
      <c r="K1972" s="0">
        <f>IF(H1971="1)",1,IF(H1971="2)",2,IF(H1971="3)",3,IF(H1971="4)",4,IF(H1971="5)",5,IF(H1971="6)",6,IF(H1971="7)",7,IF(H1971="8)",8,0))))))))</f>
        <v/>
      </c>
      <c r="L1972" s="0">
        <f>IF(H1971="1)",J1971,IF(H1971="2)",J1971,IF(H1971="3)",J1971,IF(H1971="4)",J1971,IF(H1971="5)",J1971,IF(H1971="6)",J1971,IF(H1971="7)",J1971,IF(H1971="8)",J1971,0))))))))</f>
        <v/>
      </c>
    </row>
    <row r="1973">
      <c r="A1973" s="0" t="inlineStr">
        <is>
          <t>New</t>
        </is>
      </c>
      <c r="B1973" s="0" t="inlineStr">
        <is>
          <t>Item</t>
        </is>
      </c>
      <c r="C1973" s="0" t="inlineStr">
        <is>
          <t>Acquired</t>
        </is>
      </c>
      <c r="D1973" s="0" t="inlineStr">
        <is>
          <t>:</t>
        </is>
      </c>
      <c r="E1973" s="0" t="inlineStr">
        <is>
          <t>125.00K</t>
        </is>
      </c>
      <c r="F1973" s="0" t="inlineStr">
        <is>
          <t>(6,</t>
        </is>
      </c>
      <c r="G1973" s="0" t="inlineStr">
        <is>
          <t>9)</t>
        </is>
      </c>
      <c r="K1973" s="0">
        <f>IF(H1972="1)",1,IF(H1972="2)",2,IF(H1972="3)",3,IF(H1972="4)",4,IF(H1972="5)",5,IF(H1972="6)",6,IF(H1972="7)",7,IF(H1972="8)",8,0))))))))</f>
        <v/>
      </c>
      <c r="L1973" s="0">
        <f>IF(H1972="1)",J1972,IF(H1972="2)",J1972,IF(H1972="3)",J1972,IF(H1972="4)",J1972,IF(H1972="5)",J1972,IF(H1972="6)",J1972,IF(H1972="7)",J1972,IF(H1972="8)",J1972,0))))))))</f>
        <v/>
      </c>
    </row>
    <row r="1974">
      <c r="A1974" s="0" t="inlineStr">
        <is>
          <t>New</t>
        </is>
      </c>
      <c r="B1974" s="0" t="inlineStr">
        <is>
          <t>Item</t>
        </is>
      </c>
      <c r="C1974" s="0" t="inlineStr">
        <is>
          <t>Acquired</t>
        </is>
      </c>
      <c r="D1974" s="0" t="inlineStr">
        <is>
          <t>:</t>
        </is>
      </c>
      <c r="E1974" s="0" t="inlineStr">
        <is>
          <t>60.00K</t>
        </is>
      </c>
      <c r="F1974" s="0" t="inlineStr">
        <is>
          <t>(4,</t>
        </is>
      </c>
      <c r="G1974" s="0" t="inlineStr">
        <is>
          <t>16)</t>
        </is>
      </c>
      <c r="K1974" s="0">
        <f>IF(H1973="1)",1,IF(H1973="2)",2,IF(H1973="3)",3,IF(H1973="4)",4,IF(H1973="5)",5,IF(H1973="6)",6,IF(H1973="7)",7,IF(H1973="8)",8,0))))))))</f>
        <v/>
      </c>
      <c r="L1974" s="0">
        <f>IF(H1973="1)",J1973,IF(H1973="2)",J1973,IF(H1973="3)",J1973,IF(H1973="4)",J1973,IF(H1973="5)",J1973,IF(H1973="6)",J1973,IF(H1973="7)",J1973,IF(H1973="8)",J1973,0))))))))</f>
        <v/>
      </c>
    </row>
    <row r="1975">
      <c r="A1975" s="0" t="inlineStr">
        <is>
          <t>New</t>
        </is>
      </c>
      <c r="B1975" s="0" t="inlineStr">
        <is>
          <t>Item</t>
        </is>
      </c>
      <c r="C1975" s="0" t="inlineStr">
        <is>
          <t>Acquired</t>
        </is>
      </c>
      <c r="D1975" s="0" t="inlineStr">
        <is>
          <t>:</t>
        </is>
      </c>
      <c r="E1975" s="0" t="inlineStr">
        <is>
          <t>60.00K</t>
        </is>
      </c>
      <c r="F1975" s="0" t="inlineStr">
        <is>
          <t>(4,</t>
        </is>
      </c>
      <c r="G1975" s="0" t="inlineStr">
        <is>
          <t>21)</t>
        </is>
      </c>
      <c r="K1975" s="0">
        <f>IF(H1974="1)",1,IF(H1974="2)",2,IF(H1974="3)",3,IF(H1974="4)",4,IF(H1974="5)",5,IF(H1974="6)",6,IF(H1974="7)",7,IF(H1974="8)",8,0))))))))</f>
        <v/>
      </c>
      <c r="L1975" s="0">
        <f>IF(H1974="1)",J1974,IF(H1974="2)",J1974,IF(H1974="3)",J1974,IF(H1974="4)",J1974,IF(H1974="5)",J1974,IF(H1974="6)",J1974,IF(H1974="7)",J1974,IF(H1974="8)",J1974,0))))))))</f>
        <v/>
      </c>
    </row>
    <row r="1976">
      <c r="A1976" s="0" t="inlineStr">
        <is>
          <t>New</t>
        </is>
      </c>
      <c r="B1976" s="0" t="inlineStr">
        <is>
          <t>Item</t>
        </is>
      </c>
      <c r="C1976" s="0" t="inlineStr">
        <is>
          <t>Acquired</t>
        </is>
      </c>
      <c r="D1976" s="0" t="inlineStr">
        <is>
          <t>:</t>
        </is>
      </c>
      <c r="E1976" s="0" t="inlineStr">
        <is>
          <t>45.00K</t>
        </is>
      </c>
      <c r="F1976" s="0" t="inlineStr">
        <is>
          <t>(3,</t>
        </is>
      </c>
      <c r="G1976" s="0" t="inlineStr">
        <is>
          <t>10)</t>
        </is>
      </c>
      <c r="K1976" s="0">
        <f>IF(H1975="1)",1,IF(H1975="2)",2,IF(H1975="3)",3,IF(H1975="4)",4,IF(H1975="5)",5,IF(H1975="6)",6,IF(H1975="7)",7,IF(H1975="8)",8,0))))))))</f>
        <v/>
      </c>
      <c r="L1976" s="0">
        <f>IF(H1975="1)",J1975,IF(H1975="2)",J1975,IF(H1975="3)",J1975,IF(H1975="4)",J1975,IF(H1975="5)",J1975,IF(H1975="6)",J1975,IF(H1975="7)",J1975,IF(H1975="8)",J1975,0))))))))</f>
        <v/>
      </c>
    </row>
    <row r="1977">
      <c r="A1977" s="0" t="inlineStr">
        <is>
          <t>New</t>
        </is>
      </c>
      <c r="B1977" s="0" t="inlineStr">
        <is>
          <t>Item</t>
        </is>
      </c>
      <c r="C1977" s="0" t="inlineStr">
        <is>
          <t>Acquired</t>
        </is>
      </c>
      <c r="D1977" s="0" t="inlineStr">
        <is>
          <t>:</t>
        </is>
      </c>
      <c r="E1977" s="0" t="inlineStr">
        <is>
          <t>37.50K</t>
        </is>
      </c>
      <c r="F1977" s="0" t="inlineStr">
        <is>
          <t>(2,</t>
        </is>
      </c>
      <c r="G1977" s="0" t="inlineStr">
        <is>
          <t>2)</t>
        </is>
      </c>
      <c r="K1977" s="0">
        <f>IF(H1976="1)",1,IF(H1976="2)",2,IF(H1976="3)",3,IF(H1976="4)",4,IF(H1976="5)",5,IF(H1976="6)",6,IF(H1976="7)",7,IF(H1976="8)",8,0))))))))</f>
        <v/>
      </c>
      <c r="L1977" s="0">
        <f>IF(H1976="1)",J1976,IF(H1976="2)",J1976,IF(H1976="3)",J1976,IF(H1976="4)",J1976,IF(H1976="5)",J1976,IF(H1976="6)",J1976,IF(H1976="7)",J1976,IF(H1976="8)",J1976,0))))))))</f>
        <v/>
      </c>
    </row>
    <row r="1978">
      <c r="A1978" s="0" t="inlineStr">
        <is>
          <t>New</t>
        </is>
      </c>
      <c r="B1978" s="0" t="inlineStr">
        <is>
          <t>Item</t>
        </is>
      </c>
      <c r="C1978" s="0" t="inlineStr">
        <is>
          <t>Acquired</t>
        </is>
      </c>
      <c r="D1978" s="0" t="inlineStr">
        <is>
          <t>:</t>
        </is>
      </c>
      <c r="E1978" s="0" t="inlineStr">
        <is>
          <t>45.00K</t>
        </is>
      </c>
      <c r="F1978" s="0" t="inlineStr">
        <is>
          <t>(3,</t>
        </is>
      </c>
      <c r="G1978" s="0" t="inlineStr">
        <is>
          <t>16)</t>
        </is>
      </c>
      <c r="K1978" s="0">
        <f>IF(H1977="1)",1,IF(H1977="2)",2,IF(H1977="3)",3,IF(H1977="4)",4,IF(H1977="5)",5,IF(H1977="6)",6,IF(H1977="7)",7,IF(H1977="8)",8,0))))))))</f>
        <v/>
      </c>
      <c r="L1978" s="0">
        <f>IF(H1977="1)",J1977,IF(H1977="2)",J1977,IF(H1977="3)",J1977,IF(H1977="4)",J1977,IF(H1977="5)",J1977,IF(H1977="6)",J1977,IF(H1977="7)",J1977,IF(H1977="8)",J1977,0))))))))</f>
        <v/>
      </c>
    </row>
    <row r="1979">
      <c r="A1979" s="0" t="inlineStr">
        <is>
          <t>New</t>
        </is>
      </c>
      <c r="B1979" s="0" t="inlineStr">
        <is>
          <t>Item</t>
        </is>
      </c>
      <c r="C1979" s="0" t="inlineStr">
        <is>
          <t>Acquired</t>
        </is>
      </c>
      <c r="D1979" s="0" t="inlineStr">
        <is>
          <t>:</t>
        </is>
      </c>
      <c r="E1979" s="0" t="inlineStr">
        <is>
          <t>120.00K</t>
        </is>
      </c>
      <c r="F1979" s="0" t="inlineStr">
        <is>
          <t>(8,</t>
        </is>
      </c>
      <c r="G1979" s="0" t="inlineStr">
        <is>
          <t>4)</t>
        </is>
      </c>
      <c r="K1979" s="0">
        <f>IF(H1978="1)",1,IF(H1978="2)",2,IF(H1978="3)",3,IF(H1978="4)",4,IF(H1978="5)",5,IF(H1978="6)",6,IF(H1978="7)",7,IF(H1978="8)",8,0))))))))</f>
        <v/>
      </c>
      <c r="L1979" s="0">
        <f>IF(H1978="1)",J1978,IF(H1978="2)",J1978,IF(H1978="3)",J1978,IF(H1978="4)",J1978,IF(H1978="5)",J1978,IF(H1978="6)",J1978,IF(H1978="7)",J1978,IF(H1978="8)",J1978,0))))))))</f>
        <v/>
      </c>
    </row>
    <row r="1980">
      <c r="A1980" s="0" t="inlineStr">
        <is>
          <t>New</t>
        </is>
      </c>
      <c r="B1980" s="0" t="inlineStr">
        <is>
          <t>Item</t>
        </is>
      </c>
      <c r="C1980" s="0" t="inlineStr">
        <is>
          <t>Acquired</t>
        </is>
      </c>
      <c r="D1980" s="0" t="inlineStr">
        <is>
          <t>:</t>
        </is>
      </c>
      <c r="E1980" s="0" t="inlineStr">
        <is>
          <t>112.50K</t>
        </is>
      </c>
      <c r="F1980" s="0" t="inlineStr">
        <is>
          <t>(5,</t>
        </is>
      </c>
      <c r="G1980" s="0" t="inlineStr">
        <is>
          <t>10)</t>
        </is>
      </c>
      <c r="K1980" s="0">
        <f>IF(H1979="1)",1,IF(H1979="2)",2,IF(H1979="3)",3,IF(H1979="4)",4,IF(H1979="5)",5,IF(H1979="6)",6,IF(H1979="7)",7,IF(H1979="8)",8,0))))))))</f>
        <v/>
      </c>
      <c r="L1980" s="0">
        <f>IF(H1979="1)",J1979,IF(H1979="2)",J1979,IF(H1979="3)",J1979,IF(H1979="4)",J1979,IF(H1979="5)",J1979,IF(H1979="6)",J1979,IF(H1979="7)",J1979,IF(H1979="8)",J1979,0))))))))</f>
        <v/>
      </c>
    </row>
    <row r="1981">
      <c r="A1981" s="0" t="inlineStr">
        <is>
          <t>New</t>
        </is>
      </c>
      <c r="B1981" s="0" t="inlineStr">
        <is>
          <t>Item</t>
        </is>
      </c>
      <c r="C1981" s="0" t="inlineStr">
        <is>
          <t>Acquired</t>
        </is>
      </c>
      <c r="D1981" s="0" t="inlineStr">
        <is>
          <t>:</t>
        </is>
      </c>
      <c r="E1981" s="0" t="inlineStr">
        <is>
          <t>67.50K</t>
        </is>
      </c>
      <c r="F1981" s="0" t="inlineStr">
        <is>
          <t>(5,</t>
        </is>
      </c>
      <c r="G1981" s="0" t="inlineStr">
        <is>
          <t>25)</t>
        </is>
      </c>
      <c r="K1981" s="0">
        <f>IF(H1980="1)",1,IF(H1980="2)",2,IF(H1980="3)",3,IF(H1980="4)",4,IF(H1980="5)",5,IF(H1980="6)",6,IF(H1980="7)",7,IF(H1980="8)",8,0))))))))</f>
        <v/>
      </c>
      <c r="L1981" s="0">
        <f>IF(H1980="1)",J1980,IF(H1980="2)",J1980,IF(H1980="3)",J1980,IF(H1980="4)",J1980,IF(H1980="5)",J1980,IF(H1980="6)",J1980,IF(H1980="7)",J1980,IF(H1980="8)",J1980,0))))))))</f>
        <v/>
      </c>
    </row>
    <row r="1982">
      <c r="A1982" s="0" t="inlineStr">
        <is>
          <t>New</t>
        </is>
      </c>
      <c r="B1982" s="0" t="inlineStr">
        <is>
          <t>Item</t>
        </is>
      </c>
      <c r="C1982" s="0" t="inlineStr">
        <is>
          <t>Acquired</t>
        </is>
      </c>
      <c r="D1982" s="0" t="inlineStr">
        <is>
          <t>:</t>
        </is>
      </c>
      <c r="E1982" s="0" t="inlineStr">
        <is>
          <t>37.50K</t>
        </is>
      </c>
      <c r="F1982" s="0" t="inlineStr">
        <is>
          <t>(2,</t>
        </is>
      </c>
      <c r="G1982" s="0" t="inlineStr">
        <is>
          <t>4)</t>
        </is>
      </c>
      <c r="K1982" s="0">
        <f>IF(H1981="1)",1,IF(H1981="2)",2,IF(H1981="3)",3,IF(H1981="4)",4,IF(H1981="5)",5,IF(H1981="6)",6,IF(H1981="7)",7,IF(H1981="8)",8,0))))))))</f>
        <v/>
      </c>
      <c r="L1982" s="0">
        <f>IF(H1981="1)",J1981,IF(H1981="2)",J1981,IF(H1981="3)",J1981,IF(H1981="4)",J1981,IF(H1981="5)",J1981,IF(H1981="6)",J1981,IF(H1981="7)",J1981,IF(H1981="8)",J1981,0))))))))</f>
        <v/>
      </c>
    </row>
    <row r="1983">
      <c r="A1983" s="0" t="inlineStr">
        <is>
          <t>New</t>
        </is>
      </c>
      <c r="B1983" s="0" t="inlineStr">
        <is>
          <t>Item</t>
        </is>
      </c>
      <c r="C1983" s="0" t="inlineStr">
        <is>
          <t>Acquired</t>
        </is>
      </c>
      <c r="D1983" s="0" t="inlineStr">
        <is>
          <t>:</t>
        </is>
      </c>
      <c r="E1983" s="0" t="inlineStr">
        <is>
          <t>62.50K</t>
        </is>
      </c>
      <c r="F1983" s="0" t="inlineStr">
        <is>
          <t>(2,</t>
        </is>
      </c>
      <c r="G1983" s="0" t="inlineStr">
        <is>
          <t>10)</t>
        </is>
      </c>
      <c r="K1983" s="0">
        <f>IF(H1982="1)",1,IF(H1982="2)",2,IF(H1982="3)",3,IF(H1982="4)",4,IF(H1982="5)",5,IF(H1982="6)",6,IF(H1982="7)",7,IF(H1982="8)",8,0))))))))</f>
        <v/>
      </c>
      <c r="L1983" s="0">
        <f>IF(H1982="1)",J1982,IF(H1982="2)",J1982,IF(H1982="3)",J1982,IF(H1982="4)",J1982,IF(H1982="5)",J1982,IF(H1982="6)",J1982,IF(H1982="7)",J1982,IF(H1982="8)",J1982,0))))))))</f>
        <v/>
      </c>
    </row>
    <row r="1984">
      <c r="A1984" s="0" t="inlineStr">
        <is>
          <t>New</t>
        </is>
      </c>
      <c r="B1984" s="0" t="inlineStr">
        <is>
          <t>Item</t>
        </is>
      </c>
      <c r="C1984" s="0" t="inlineStr">
        <is>
          <t>Acquired</t>
        </is>
      </c>
      <c r="D1984" s="0" t="inlineStr">
        <is>
          <t>:</t>
        </is>
      </c>
      <c r="E1984" s="0" t="inlineStr">
        <is>
          <t>75.00K</t>
        </is>
      </c>
      <c r="F1984" s="0" t="inlineStr">
        <is>
          <t>(6,</t>
        </is>
      </c>
      <c r="G1984" s="0" t="inlineStr">
        <is>
          <t>10)</t>
        </is>
      </c>
      <c r="K1984" s="0">
        <f>IF(H1983="1)",1,IF(H1983="2)",2,IF(H1983="3)",3,IF(H1983="4)",4,IF(H1983="5)",5,IF(H1983="6)",6,IF(H1983="7)",7,IF(H1983="8)",8,0))))))))</f>
        <v/>
      </c>
      <c r="L1984" s="0">
        <f>IF(H1983="1)",J1983,IF(H1983="2)",J1983,IF(H1983="3)",J1983,IF(H1983="4)",J1983,IF(H1983="5)",J1983,IF(H1983="6)",J1983,IF(H1983="7)",J1983,IF(H1983="8)",J1983,0))))))))</f>
        <v/>
      </c>
    </row>
    <row r="1985">
      <c r="A1985" s="0" t="inlineStr">
        <is>
          <t>Line</t>
        </is>
      </c>
      <c r="B1985" s="0" t="inlineStr">
        <is>
          <t>Prize</t>
        </is>
      </c>
      <c r="C1985" s="0" t="inlineStr">
        <is>
          <t>Acquired</t>
        </is>
      </c>
      <c r="D1985" s="0" t="inlineStr">
        <is>
          <t>:</t>
        </is>
      </c>
      <c r="E1985" s="0" t="inlineStr">
        <is>
          <t>950.00K</t>
        </is>
      </c>
      <c r="F1985" s="0" t="inlineStr">
        <is>
          <t>(Stage</t>
        </is>
      </c>
      <c r="G1985" s="0" t="inlineStr">
        <is>
          <t>:</t>
        </is>
      </c>
      <c r="H1985" s="0" t="inlineStr">
        <is>
          <t>6)</t>
        </is>
      </c>
      <c r="I1985" s="0" t="inlineStr">
        <is>
          <t>-</t>
        </is>
      </c>
      <c r="J1985" s="0" t="n">
        <v>950000</v>
      </c>
      <c r="K1985" s="0">
        <f>IF(H1984="1)",1,IF(H1984="2)",2,IF(H1984="3)",3,IF(H1984="4)",4,IF(H1984="5)",5,IF(H1984="6)",6,IF(H1984="7)",7,IF(H1984="8)",8,0))))))))</f>
        <v/>
      </c>
      <c r="L1985" s="0">
        <f>IF(H1984="1)",J1984,IF(H1984="2)",J1984,IF(H1984="3)",J1984,IF(H1984="4)",J1984,IF(H1984="5)",J1984,IF(H1984="6)",J1984,IF(H1984="7)",J1984,IF(H1984="8)",J1984,0))))))))</f>
        <v/>
      </c>
    </row>
    <row r="1986">
      <c r="A1986" s="0" t="inlineStr">
        <is>
          <t>Clear</t>
        </is>
      </c>
      <c r="B1986" s="0" t="inlineStr">
        <is>
          <t>Gem</t>
        </is>
      </c>
      <c r="C1986" s="0" t="inlineStr">
        <is>
          <t>Acquired</t>
        </is>
      </c>
      <c r="D1986" s="0" t="inlineStr">
        <is>
          <t>:</t>
        </is>
      </c>
      <c r="E1986" s="0" t="n">
        <v>12000</v>
      </c>
      <c r="F1986" s="0" t="inlineStr">
        <is>
          <t>-&gt;</t>
        </is>
      </c>
      <c r="G1986" s="0" t="n">
        <v>12100</v>
      </c>
      <c r="H1986" s="0" t="inlineStr">
        <is>
          <t>(Stage</t>
        </is>
      </c>
      <c r="I1986" s="0" t="inlineStr">
        <is>
          <t>:</t>
        </is>
      </c>
      <c r="J1986" s="0" t="inlineStr">
        <is>
          <t>6)</t>
        </is>
      </c>
      <c r="K1986" s="0">
        <f>IF(H1985="1)",1,IF(H1985="2)",2,IF(H1985="3)",3,IF(H1985="4)",4,IF(H1985="5)",5,IF(H1985="6)",6,IF(H1985="7)",7,IF(H1985="8)",8,0))))))))</f>
        <v/>
      </c>
      <c r="L1986" s="0">
        <f>IF(H1985="1)",J1985,IF(H1985="2)",J1985,IF(H1985="3)",J1985,IF(H1985="4)",J1985,IF(H1985="5)",J1985,IF(H1985="6)",J1985,IF(H1985="7)",J1985,IF(H1985="8)",J1985,0))))))))</f>
        <v/>
      </c>
    </row>
    <row r="1987">
      <c r="A1987" s="0" t="inlineStr">
        <is>
          <t>New</t>
        </is>
      </c>
      <c r="B1987" s="0" t="inlineStr">
        <is>
          <t>Item</t>
        </is>
      </c>
      <c r="C1987" s="0" t="inlineStr">
        <is>
          <t>Acquired</t>
        </is>
      </c>
      <c r="D1987" s="0" t="inlineStr">
        <is>
          <t>:</t>
        </is>
      </c>
      <c r="E1987" s="0" t="inlineStr">
        <is>
          <t>Major</t>
        </is>
      </c>
      <c r="F1987" s="0" t="inlineStr">
        <is>
          <t>(5,</t>
        </is>
      </c>
      <c r="G1987" s="0" t="inlineStr">
        <is>
          <t>20)</t>
        </is>
      </c>
      <c r="K1987" s="0">
        <f>IF(H1986="1)",1,IF(H1986="2)",2,IF(H1986="3)",3,IF(H1986="4)",4,IF(H1986="5)",5,IF(H1986="6)",6,IF(H1986="7)",7,IF(H1986="8)",8,0))))))))</f>
        <v/>
      </c>
      <c r="L1987" s="0">
        <f>IF(H1986="1)",J1986,IF(H1986="2)",J1986,IF(H1986="3)",J1986,IF(H1986="4)",J1986,IF(H1986="5)",J1986,IF(H1986="6)",J1986,IF(H1986="7)",J1986,IF(H1986="8)",J1986,0))))))))</f>
        <v/>
      </c>
    </row>
    <row r="1988">
      <c r="A1988" s="0" t="inlineStr">
        <is>
          <t>New</t>
        </is>
      </c>
      <c r="B1988" s="0" t="inlineStr">
        <is>
          <t>Item</t>
        </is>
      </c>
      <c r="C1988" s="0" t="inlineStr">
        <is>
          <t>Acquired</t>
        </is>
      </c>
      <c r="D1988" s="0" t="inlineStr">
        <is>
          <t>:</t>
        </is>
      </c>
      <c r="E1988" s="0" t="inlineStr">
        <is>
          <t>30.00K</t>
        </is>
      </c>
      <c r="F1988" s="0" t="inlineStr">
        <is>
          <t>(1,</t>
        </is>
      </c>
      <c r="G1988" s="0" t="inlineStr">
        <is>
          <t>15)</t>
        </is>
      </c>
      <c r="K1988" s="0">
        <f>IF(H1987="1)",1,IF(H1987="2)",2,IF(H1987="3)",3,IF(H1987="4)",4,IF(H1987="5)",5,IF(H1987="6)",6,IF(H1987="7)",7,IF(H1987="8)",8,0))))))))</f>
        <v/>
      </c>
      <c r="L1988" s="0">
        <f>IF(H1987="1)",J1987,IF(H1987="2)",J1987,IF(H1987="3)",J1987,IF(H1987="4)",J1987,IF(H1987="5)",J1987,IF(H1987="6)",J1987,IF(H1987="7)",J1987,IF(H1987="8)",J1987,0))))))))</f>
        <v/>
      </c>
    </row>
    <row r="1989">
      <c r="A1989" s="0" t="inlineStr">
        <is>
          <t>New</t>
        </is>
      </c>
      <c r="B1989" s="0" t="inlineStr">
        <is>
          <t>Item</t>
        </is>
      </c>
      <c r="C1989" s="0" t="inlineStr">
        <is>
          <t>Acquired</t>
        </is>
      </c>
      <c r="D1989" s="0" t="inlineStr">
        <is>
          <t>:</t>
        </is>
      </c>
      <c r="E1989" s="0" t="inlineStr">
        <is>
          <t>105.00K</t>
        </is>
      </c>
      <c r="F1989" s="0" t="inlineStr">
        <is>
          <t>(4,</t>
        </is>
      </c>
      <c r="G1989" s="0" t="inlineStr">
        <is>
          <t>14)</t>
        </is>
      </c>
      <c r="K1989" s="0">
        <f>IF(H1988="1)",1,IF(H1988="2)",2,IF(H1988="3)",3,IF(H1988="4)",4,IF(H1988="5)",5,IF(H1988="6)",6,IF(H1988="7)",7,IF(H1988="8)",8,0))))))))</f>
        <v/>
      </c>
      <c r="L1989" s="0">
        <f>IF(H1988="1)",J1988,IF(H1988="2)",J1988,IF(H1988="3)",J1988,IF(H1988="4)",J1988,IF(H1988="5)",J1988,IF(H1988="6)",J1988,IF(H1988="7)",J1988,IF(H1988="8)",J1988,0))))))))</f>
        <v/>
      </c>
    </row>
    <row r="1990">
      <c r="A1990" s="0" t="inlineStr">
        <is>
          <t>New</t>
        </is>
      </c>
      <c r="B1990" s="0" t="inlineStr">
        <is>
          <t>Item</t>
        </is>
      </c>
      <c r="C1990" s="0" t="inlineStr">
        <is>
          <t>Acquired</t>
        </is>
      </c>
      <c r="D1990" s="0" t="inlineStr">
        <is>
          <t>:</t>
        </is>
      </c>
      <c r="E1990" s="0" t="inlineStr">
        <is>
          <t>67.50K</t>
        </is>
      </c>
      <c r="F1990" s="0" t="inlineStr">
        <is>
          <t>(5,</t>
        </is>
      </c>
      <c r="G1990" s="0" t="inlineStr">
        <is>
          <t>16)</t>
        </is>
      </c>
      <c r="K1990" s="0">
        <f>IF(H1989="1)",1,IF(H1989="2)",2,IF(H1989="3)",3,IF(H1989="4)",4,IF(H1989="5)",5,IF(H1989="6)",6,IF(H1989="7)",7,IF(H1989="8)",8,0))))))))</f>
        <v/>
      </c>
      <c r="L1990" s="0">
        <f>IF(H1989="1)",J1989,IF(H1989="2)",J1989,IF(H1989="3)",J1989,IF(H1989="4)",J1989,IF(H1989="5)",J1989,IF(H1989="6)",J1989,IF(H1989="7)",J1989,IF(H1989="8)",J1989,0))))))))</f>
        <v/>
      </c>
    </row>
    <row r="1991">
      <c r="A1991" s="0" t="inlineStr">
        <is>
          <t>New</t>
        </is>
      </c>
      <c r="B1991" s="0" t="inlineStr">
        <is>
          <t>Item</t>
        </is>
      </c>
      <c r="C1991" s="0" t="inlineStr">
        <is>
          <t>Acquired</t>
        </is>
      </c>
      <c r="D1991" s="0" t="inlineStr">
        <is>
          <t>:</t>
        </is>
      </c>
      <c r="E1991" s="0" t="inlineStr">
        <is>
          <t>75.00K</t>
        </is>
      </c>
      <c r="F1991" s="0" t="inlineStr">
        <is>
          <t>(4,</t>
        </is>
      </c>
      <c r="G1991" s="0" t="inlineStr">
        <is>
          <t>11)</t>
        </is>
      </c>
      <c r="K1991" s="0">
        <f>IF(H1990="1)",1,IF(H1990="2)",2,IF(H1990="3)",3,IF(H1990="4)",4,IF(H1990="5)",5,IF(H1990="6)",6,IF(H1990="7)",7,IF(H1990="8)",8,0))))))))</f>
        <v/>
      </c>
      <c r="L1991" s="0">
        <f>IF(H1990="1)",J1990,IF(H1990="2)",J1990,IF(H1990="3)",J1990,IF(H1990="4)",J1990,IF(H1990="5)",J1990,IF(H1990="6)",J1990,IF(H1990="7)",J1990,IF(H1990="8)",J1990,0))))))))</f>
        <v/>
      </c>
    </row>
    <row r="1992">
      <c r="A1992" s="0" t="inlineStr">
        <is>
          <t>Line</t>
        </is>
      </c>
      <c r="B1992" s="0" t="inlineStr">
        <is>
          <t>Prize</t>
        </is>
      </c>
      <c r="C1992" s="0" t="inlineStr">
        <is>
          <t>Acquired</t>
        </is>
      </c>
      <c r="D1992" s="0" t="inlineStr">
        <is>
          <t>:</t>
        </is>
      </c>
      <c r="E1992" s="0" t="inlineStr">
        <is>
          <t>1.10M</t>
        </is>
      </c>
      <c r="F1992" s="0" t="inlineStr">
        <is>
          <t>(Stage</t>
        </is>
      </c>
      <c r="G1992" s="0" t="inlineStr">
        <is>
          <t>:</t>
        </is>
      </c>
      <c r="H1992" s="0" t="inlineStr">
        <is>
          <t>4)</t>
        </is>
      </c>
      <c r="I1992" s="0" t="inlineStr">
        <is>
          <t>-</t>
        </is>
      </c>
      <c r="J1992" s="0" t="n">
        <v>1100000</v>
      </c>
      <c r="K1992" s="0">
        <f>IF(H1991="1)",1,IF(H1991="2)",2,IF(H1991="3)",3,IF(H1991="4)",4,IF(H1991="5)",5,IF(H1991="6)",6,IF(H1991="7)",7,IF(H1991="8)",8,0))))))))</f>
        <v/>
      </c>
      <c r="L1992" s="0">
        <f>IF(H1991="1)",J1991,IF(H1991="2)",J1991,IF(H1991="3)",J1991,IF(H1991="4)",J1991,IF(H1991="5)",J1991,IF(H1991="6)",J1991,IF(H1991="7)",J1991,IF(H1991="8)",J1991,0))))))))</f>
        <v/>
      </c>
    </row>
    <row r="1993">
      <c r="A1993" s="0" t="inlineStr">
        <is>
          <t>Clear</t>
        </is>
      </c>
      <c r="B1993" s="0" t="inlineStr">
        <is>
          <t>Gem</t>
        </is>
      </c>
      <c r="C1993" s="0" t="inlineStr">
        <is>
          <t>Acquired</t>
        </is>
      </c>
      <c r="D1993" s="0" t="inlineStr">
        <is>
          <t>:</t>
        </is>
      </c>
      <c r="E1993" s="0" t="n">
        <v>12100</v>
      </c>
      <c r="F1993" s="0" t="inlineStr">
        <is>
          <t>-&gt;</t>
        </is>
      </c>
      <c r="G1993" s="0" t="n">
        <v>12200</v>
      </c>
      <c r="H1993" s="0" t="inlineStr">
        <is>
          <t>(Stage</t>
        </is>
      </c>
      <c r="I1993" s="0" t="inlineStr">
        <is>
          <t>:</t>
        </is>
      </c>
      <c r="J1993" s="0" t="inlineStr">
        <is>
          <t>4)</t>
        </is>
      </c>
      <c r="K1993" s="0">
        <f>IF(H1992="1)",1,IF(H1992="2)",2,IF(H1992="3)",3,IF(H1992="4)",4,IF(H1992="5)",5,IF(H1992="6)",6,IF(H1992="7)",7,IF(H1992="8)",8,0))))))))</f>
        <v/>
      </c>
      <c r="L1993" s="0">
        <f>IF(H1992="1)",J1992,IF(H1992="2)",J1992,IF(H1992="3)",J1992,IF(H1992="4)",J1992,IF(H1992="5)",J1992,IF(H1992="6)",J1992,IF(H1992="7)",J1992,IF(H1992="8)",J1992,0))))))))</f>
        <v/>
      </c>
    </row>
    <row r="1994">
      <c r="A1994" s="0" t="inlineStr">
        <is>
          <t>New</t>
        </is>
      </c>
      <c r="B1994" s="0" t="inlineStr">
        <is>
          <t>Item</t>
        </is>
      </c>
      <c r="C1994" s="0" t="inlineStr">
        <is>
          <t>Acquired</t>
        </is>
      </c>
      <c r="D1994" s="0" t="inlineStr">
        <is>
          <t>:</t>
        </is>
      </c>
      <c r="E1994" s="0" t="inlineStr">
        <is>
          <t>30.00K</t>
        </is>
      </c>
      <c r="F1994" s="0" t="inlineStr">
        <is>
          <t>(1,</t>
        </is>
      </c>
      <c r="G1994" s="0" t="inlineStr">
        <is>
          <t>24)</t>
        </is>
      </c>
      <c r="K1994" s="0">
        <f>IF(H1993="1)",1,IF(H1993="2)",2,IF(H1993="3)",3,IF(H1993="4)",4,IF(H1993="5)",5,IF(H1993="6)",6,IF(H1993="7)",7,IF(H1993="8)",8,0))))))))</f>
        <v/>
      </c>
      <c r="L1994" s="0">
        <f>IF(H1993="1)",J1993,IF(H1993="2)",J1993,IF(H1993="3)",J1993,IF(H1993="4)",J1993,IF(H1993="5)",J1993,IF(H1993="6)",J1993,IF(H1993="7)",J1993,IF(H1993="8)",J1993,0))))))))</f>
        <v/>
      </c>
    </row>
    <row r="1995">
      <c r="A1995" s="0" t="inlineStr">
        <is>
          <t>New</t>
        </is>
      </c>
      <c r="B1995" s="0" t="inlineStr">
        <is>
          <t>Item</t>
        </is>
      </c>
      <c r="C1995" s="0" t="inlineStr">
        <is>
          <t>Acquired</t>
        </is>
      </c>
      <c r="D1995" s="0" t="inlineStr">
        <is>
          <t>:</t>
        </is>
      </c>
      <c r="E1995" s="0" t="inlineStr">
        <is>
          <t>150.00K</t>
        </is>
      </c>
      <c r="F1995" s="0" t="inlineStr">
        <is>
          <t>(7,</t>
        </is>
      </c>
      <c r="G1995" s="0" t="inlineStr">
        <is>
          <t>11)</t>
        </is>
      </c>
      <c r="K1995" s="0">
        <f>IF(H1994="1)",1,IF(H1994="2)",2,IF(H1994="3)",3,IF(H1994="4)",4,IF(H1994="5)",5,IF(H1994="6)",6,IF(H1994="7)",7,IF(H1994="8)",8,0))))))))</f>
        <v/>
      </c>
      <c r="L1995" s="0">
        <f>IF(H1994="1)",J1994,IF(H1994="2)",J1994,IF(H1994="3)",J1994,IF(H1994="4)",J1994,IF(H1994="5)",J1994,IF(H1994="6)",J1994,IF(H1994="7)",J1994,IF(H1994="8)",J1994,0))))))))</f>
        <v/>
      </c>
    </row>
    <row r="1996">
      <c r="A1996" s="0" t="inlineStr">
        <is>
          <t>New</t>
        </is>
      </c>
      <c r="B1996" s="0" t="inlineStr">
        <is>
          <t>Item</t>
        </is>
      </c>
      <c r="C1996" s="0" t="inlineStr">
        <is>
          <t>Acquired</t>
        </is>
      </c>
      <c r="D1996" s="0" t="inlineStr">
        <is>
          <t>:</t>
        </is>
      </c>
      <c r="E1996" s="0" t="inlineStr">
        <is>
          <t>75.00K</t>
        </is>
      </c>
      <c r="F1996" s="0" t="inlineStr">
        <is>
          <t>(6,</t>
        </is>
      </c>
      <c r="G1996" s="0" t="inlineStr">
        <is>
          <t>23)</t>
        </is>
      </c>
      <c r="K1996" s="0">
        <f>IF(H1995="1)",1,IF(H1995="2)",2,IF(H1995="3)",3,IF(H1995="4)",4,IF(H1995="5)",5,IF(H1995="6)",6,IF(H1995="7)",7,IF(H1995="8)",8,0))))))))</f>
        <v/>
      </c>
      <c r="L1996" s="0">
        <f>IF(H1995="1)",J1995,IF(H1995="2)",J1995,IF(H1995="3)",J1995,IF(H1995="4)",J1995,IF(H1995="5)",J1995,IF(H1995="6)",J1995,IF(H1995="7)",J1995,IF(H1995="8)",J1995,0))))))))</f>
        <v/>
      </c>
    </row>
    <row r="1997">
      <c r="A1997" s="0" t="inlineStr">
        <is>
          <t>New</t>
        </is>
      </c>
      <c r="B1997" s="0" t="inlineStr">
        <is>
          <t>Item</t>
        </is>
      </c>
      <c r="C1997" s="0" t="inlineStr">
        <is>
          <t>Acquired</t>
        </is>
      </c>
      <c r="D1997" s="0" t="inlineStr">
        <is>
          <t>:</t>
        </is>
      </c>
      <c r="E1997" s="0" t="inlineStr">
        <is>
          <t>Minor</t>
        </is>
      </c>
      <c r="F1997" s="0" t="inlineStr">
        <is>
          <t>(3,</t>
        </is>
      </c>
      <c r="G1997" s="0" t="inlineStr">
        <is>
          <t>14)</t>
        </is>
      </c>
      <c r="K1997" s="0">
        <f>IF(H1996="1)",1,IF(H1996="2)",2,IF(H1996="3)",3,IF(H1996="4)",4,IF(H1996="5)",5,IF(H1996="6)",6,IF(H1996="7)",7,IF(H1996="8)",8,0))))))))</f>
        <v/>
      </c>
      <c r="L1997" s="0">
        <f>IF(H1996="1)",J1996,IF(H1996="2)",J1996,IF(H1996="3)",J1996,IF(H1996="4)",J1996,IF(H1996="5)",J1996,IF(H1996="6)",J1996,IF(H1996="7)",J1996,IF(H1996="8)",J1996,0))))))))</f>
        <v/>
      </c>
    </row>
    <row r="1998">
      <c r="A1998" s="0" t="inlineStr">
        <is>
          <t>New</t>
        </is>
      </c>
      <c r="B1998" s="0" t="inlineStr">
        <is>
          <t>Item</t>
        </is>
      </c>
      <c r="C1998" s="0" t="inlineStr">
        <is>
          <t>Acquired</t>
        </is>
      </c>
      <c r="D1998" s="0" t="inlineStr">
        <is>
          <t>:</t>
        </is>
      </c>
      <c r="E1998" s="0" t="inlineStr">
        <is>
          <t>87.50K</t>
        </is>
      </c>
      <c r="F1998" s="0" t="inlineStr">
        <is>
          <t>(2,</t>
        </is>
      </c>
      <c r="G1998" s="0" t="inlineStr">
        <is>
          <t>24)</t>
        </is>
      </c>
      <c r="K1998" s="0">
        <f>IF(H1997="1)",1,IF(H1997="2)",2,IF(H1997="3)",3,IF(H1997="4)",4,IF(H1997="5)",5,IF(H1997="6)",6,IF(H1997="7)",7,IF(H1997="8)",8,0))))))))</f>
        <v/>
      </c>
      <c r="L1998" s="0">
        <f>IF(H1997="1)",J1997,IF(H1997="2)",J1997,IF(H1997="3)",J1997,IF(H1997="4)",J1997,IF(H1997="5)",J1997,IF(H1997="6)",J1997,IF(H1997="7)",J1997,IF(H1997="8)",J1997,0))))))))</f>
        <v/>
      </c>
    </row>
    <row r="1999">
      <c r="A1999" s="0" t="inlineStr">
        <is>
          <t>New</t>
        </is>
      </c>
      <c r="B1999" s="0" t="inlineStr">
        <is>
          <t>Item</t>
        </is>
      </c>
      <c r="C1999" s="0" t="inlineStr">
        <is>
          <t>Acquired</t>
        </is>
      </c>
      <c r="D1999" s="0" t="inlineStr">
        <is>
          <t>:</t>
        </is>
      </c>
      <c r="E1999" s="0" t="inlineStr">
        <is>
          <t>75.00K</t>
        </is>
      </c>
      <c r="F1999" s="0" t="inlineStr">
        <is>
          <t>(4,</t>
        </is>
      </c>
      <c r="G1999" s="0" t="inlineStr">
        <is>
          <t>8)</t>
        </is>
      </c>
      <c r="K1999" s="0">
        <f>IF(H1998="1)",1,IF(H1998="2)",2,IF(H1998="3)",3,IF(H1998="4)",4,IF(H1998="5)",5,IF(H1998="6)",6,IF(H1998="7)",7,IF(H1998="8)",8,0))))))))</f>
        <v/>
      </c>
      <c r="L1999" s="0">
        <f>IF(H1998="1)",J1998,IF(H1998="2)",J1998,IF(H1998="3)",J1998,IF(H1998="4)",J1998,IF(H1998="5)",J1998,IF(H1998="6)",J1998,IF(H1998="7)",J1998,IF(H1998="8)",J1998,0))))))))</f>
        <v/>
      </c>
    </row>
    <row r="2000">
      <c r="A2000" s="0" t="inlineStr">
        <is>
          <t>New</t>
        </is>
      </c>
      <c r="B2000" s="0" t="inlineStr">
        <is>
          <t>Item</t>
        </is>
      </c>
      <c r="C2000" s="0" t="inlineStr">
        <is>
          <t>Acquired</t>
        </is>
      </c>
      <c r="D2000" s="0" t="inlineStr">
        <is>
          <t>:</t>
        </is>
      </c>
      <c r="E2000" s="0" t="inlineStr">
        <is>
          <t>105.00K</t>
        </is>
      </c>
      <c r="F2000" s="0" t="inlineStr">
        <is>
          <t>(4,</t>
        </is>
      </c>
      <c r="G2000" s="0" t="inlineStr">
        <is>
          <t>15)</t>
        </is>
      </c>
      <c r="K2000" s="0">
        <f>IF(H1999="1)",1,IF(H1999="2)",2,IF(H1999="3)",3,IF(H1999="4)",4,IF(H1999="5)",5,IF(H1999="6)",6,IF(H1999="7)",7,IF(H1999="8)",8,0))))))))</f>
        <v/>
      </c>
      <c r="L2000" s="0">
        <f>IF(H1999="1)",J1999,IF(H1999="2)",J1999,IF(H1999="3)",J1999,IF(H1999="4)",J1999,IF(H1999="5)",J1999,IF(H1999="6)",J1999,IF(H1999="7)",J1999,IF(H1999="8)",J1999,0))))))))</f>
        <v/>
      </c>
    </row>
    <row r="2001">
      <c r="A2001" s="0" t="inlineStr">
        <is>
          <t>New</t>
        </is>
      </c>
      <c r="B2001" s="0" t="inlineStr">
        <is>
          <t>Item</t>
        </is>
      </c>
      <c r="C2001" s="0" t="inlineStr">
        <is>
          <t>Acquired</t>
        </is>
      </c>
      <c r="D2001" s="0" t="inlineStr">
        <is>
          <t>:</t>
        </is>
      </c>
      <c r="E2001" s="0" t="inlineStr">
        <is>
          <t>112.50K</t>
        </is>
      </c>
      <c r="F2001" s="0" t="inlineStr">
        <is>
          <t>(5,</t>
        </is>
      </c>
      <c r="G2001" s="0" t="inlineStr">
        <is>
          <t>9)</t>
        </is>
      </c>
      <c r="K2001" s="0">
        <f>IF(H2000="1)",1,IF(H2000="2)",2,IF(H2000="3)",3,IF(H2000="4)",4,IF(H2000="5)",5,IF(H2000="6)",6,IF(H2000="7)",7,IF(H2000="8)",8,0))))))))</f>
        <v/>
      </c>
      <c r="L2001" s="0">
        <f>IF(H2000="1)",J2000,IF(H2000="2)",J2000,IF(H2000="3)",J2000,IF(H2000="4)",J2000,IF(H2000="5)",J2000,IF(H2000="6)",J2000,IF(H2000="7)",J2000,IF(H2000="8)",J2000,0))))))))</f>
        <v/>
      </c>
    </row>
    <row r="2002">
      <c r="A2002" s="0" t="inlineStr">
        <is>
          <t>New</t>
        </is>
      </c>
      <c r="B2002" s="0" t="inlineStr">
        <is>
          <t>Item</t>
        </is>
      </c>
      <c r="C2002" s="0" t="inlineStr">
        <is>
          <t>Acquired</t>
        </is>
      </c>
      <c r="D2002" s="0" t="inlineStr">
        <is>
          <t>:</t>
        </is>
      </c>
      <c r="E2002" s="0" t="inlineStr">
        <is>
          <t>37.50K</t>
        </is>
      </c>
      <c r="F2002" s="0" t="inlineStr">
        <is>
          <t>(2,</t>
        </is>
      </c>
      <c r="G2002" s="0" t="inlineStr">
        <is>
          <t>12)</t>
        </is>
      </c>
      <c r="K2002" s="0">
        <f>IF(H2001="1)",1,IF(H2001="2)",2,IF(H2001="3)",3,IF(H2001="4)",4,IF(H2001="5)",5,IF(H2001="6)",6,IF(H2001="7)",7,IF(H2001="8)",8,0))))))))</f>
        <v/>
      </c>
      <c r="L2002" s="0">
        <f>IF(H2001="1)",J2001,IF(H2001="2)",J2001,IF(H2001="3)",J2001,IF(H2001="4)",J2001,IF(H2001="5)",J2001,IF(H2001="6)",J2001,IF(H2001="7)",J2001,IF(H2001="8)",J2001,0))))))))</f>
        <v/>
      </c>
    </row>
    <row r="2003">
      <c r="A2003" s="0" t="inlineStr">
        <is>
          <t>New</t>
        </is>
      </c>
      <c r="B2003" s="0" t="inlineStr">
        <is>
          <t>Item</t>
        </is>
      </c>
      <c r="C2003" s="0" t="inlineStr">
        <is>
          <t>Acquired</t>
        </is>
      </c>
      <c r="D2003" s="0" t="inlineStr">
        <is>
          <t>:</t>
        </is>
      </c>
      <c r="E2003" s="0" t="inlineStr">
        <is>
          <t>200.00K</t>
        </is>
      </c>
      <c r="F2003" s="0" t="inlineStr">
        <is>
          <t>(8,</t>
        </is>
      </c>
      <c r="G2003" s="0" t="inlineStr">
        <is>
          <t>22)</t>
        </is>
      </c>
      <c r="K2003" s="0">
        <f>IF(H2002="1)",1,IF(H2002="2)",2,IF(H2002="3)",3,IF(H2002="4)",4,IF(H2002="5)",5,IF(H2002="6)",6,IF(H2002="7)",7,IF(H2002="8)",8,0))))))))</f>
        <v/>
      </c>
      <c r="L2003" s="0">
        <f>IF(H2002="1)",J2002,IF(H2002="2)",J2002,IF(H2002="3)",J2002,IF(H2002="4)",J2002,IF(H2002="5)",J2002,IF(H2002="6)",J2002,IF(H2002="7)",J2002,IF(H2002="8)",J2002,0))))))))</f>
        <v/>
      </c>
    </row>
    <row r="2004">
      <c r="A2004" s="0" t="inlineStr">
        <is>
          <t>New</t>
        </is>
      </c>
      <c r="B2004" s="0" t="inlineStr">
        <is>
          <t>Item</t>
        </is>
      </c>
      <c r="C2004" s="0" t="inlineStr">
        <is>
          <t>Acquired</t>
        </is>
      </c>
      <c r="D2004" s="0" t="inlineStr">
        <is>
          <t>:</t>
        </is>
      </c>
      <c r="E2004" s="0" t="inlineStr">
        <is>
          <t>67.50K</t>
        </is>
      </c>
      <c r="F2004" s="0" t="inlineStr">
        <is>
          <t>(5,</t>
        </is>
      </c>
      <c r="G2004" s="0" t="inlineStr">
        <is>
          <t>4)</t>
        </is>
      </c>
      <c r="K2004" s="0">
        <f>IF(H2003="1)",1,IF(H2003="2)",2,IF(H2003="3)",3,IF(H2003="4)",4,IF(H2003="5)",5,IF(H2003="6)",6,IF(H2003="7)",7,IF(H2003="8)",8,0))))))))</f>
        <v/>
      </c>
      <c r="L2004" s="0">
        <f>IF(H2003="1)",J2003,IF(H2003="2)",J2003,IF(H2003="3)",J2003,IF(H2003="4)",J2003,IF(H2003="5)",J2003,IF(H2003="6)",J2003,IF(H2003="7)",J2003,IF(H2003="8)",J2003,0))))))))</f>
        <v/>
      </c>
    </row>
    <row r="2005">
      <c r="A2005" s="0" t="inlineStr">
        <is>
          <t>New</t>
        </is>
      </c>
      <c r="B2005" s="0" t="inlineStr">
        <is>
          <t>Item</t>
        </is>
      </c>
      <c r="C2005" s="0" t="inlineStr">
        <is>
          <t>Acquired</t>
        </is>
      </c>
      <c r="D2005" s="0" t="inlineStr">
        <is>
          <t>:</t>
        </is>
      </c>
      <c r="E2005" s="0" t="inlineStr">
        <is>
          <t>60.00K</t>
        </is>
      </c>
      <c r="F2005" s="0" t="inlineStr">
        <is>
          <t>(4,</t>
        </is>
      </c>
      <c r="G2005" s="0" t="inlineStr">
        <is>
          <t>14)</t>
        </is>
      </c>
      <c r="K2005" s="0">
        <f>IF(H2004="1)",1,IF(H2004="2)",2,IF(H2004="3)",3,IF(H2004="4)",4,IF(H2004="5)",5,IF(H2004="6)",6,IF(H2004="7)",7,IF(H2004="8)",8,0))))))))</f>
        <v/>
      </c>
      <c r="L2005" s="0">
        <f>IF(H2004="1)",J2004,IF(H2004="2)",J2004,IF(H2004="3)",J2004,IF(H2004="4)",J2004,IF(H2004="5)",J2004,IF(H2004="6)",J2004,IF(H2004="7)",J2004,IF(H2004="8)",J2004,0))))))))</f>
        <v/>
      </c>
    </row>
    <row r="2006">
      <c r="A2006" s="0" t="inlineStr">
        <is>
          <t>New</t>
        </is>
      </c>
      <c r="B2006" s="0" t="inlineStr">
        <is>
          <t>Item</t>
        </is>
      </c>
      <c r="C2006" s="0" t="inlineStr">
        <is>
          <t>Acquired</t>
        </is>
      </c>
      <c r="D2006" s="0" t="inlineStr">
        <is>
          <t>:</t>
        </is>
      </c>
      <c r="E2006" s="0" t="inlineStr">
        <is>
          <t>75.00K</t>
        </is>
      </c>
      <c r="F2006" s="0" t="inlineStr">
        <is>
          <t>(6,</t>
        </is>
      </c>
      <c r="G2006" s="0" t="inlineStr">
        <is>
          <t>9)</t>
        </is>
      </c>
      <c r="K2006" s="0">
        <f>IF(H2005="1)",1,IF(H2005="2)",2,IF(H2005="3)",3,IF(H2005="4)",4,IF(H2005="5)",5,IF(H2005="6)",6,IF(H2005="7)",7,IF(H2005="8)",8,0))))))))</f>
        <v/>
      </c>
      <c r="L2006" s="0">
        <f>IF(H2005="1)",J2005,IF(H2005="2)",J2005,IF(H2005="3)",J2005,IF(H2005="4)",J2005,IF(H2005="5)",J2005,IF(H2005="6)",J2005,IF(H2005="7)",J2005,IF(H2005="8)",J2005,0))))))))</f>
        <v/>
      </c>
    </row>
    <row r="2007">
      <c r="A2007" s="0" t="inlineStr">
        <is>
          <t>New</t>
        </is>
      </c>
      <c r="B2007" s="0" t="inlineStr">
        <is>
          <t>Item</t>
        </is>
      </c>
      <c r="C2007" s="0" t="inlineStr">
        <is>
          <t>Acquired</t>
        </is>
      </c>
      <c r="D2007" s="0" t="inlineStr">
        <is>
          <t>:</t>
        </is>
      </c>
      <c r="E2007" s="0" t="inlineStr">
        <is>
          <t>105.00K</t>
        </is>
      </c>
      <c r="F2007" s="0" t="inlineStr">
        <is>
          <t>(3,</t>
        </is>
      </c>
      <c r="G2007" s="0" t="inlineStr">
        <is>
          <t>18)</t>
        </is>
      </c>
      <c r="K2007" s="0">
        <f>IF(H2006="1)",1,IF(H2006="2)",2,IF(H2006="3)",3,IF(H2006="4)",4,IF(H2006="5)",5,IF(H2006="6)",6,IF(H2006="7)",7,IF(H2006="8)",8,0))))))))</f>
        <v/>
      </c>
      <c r="L2007" s="0">
        <f>IF(H2006="1)",J2006,IF(H2006="2)",J2006,IF(H2006="3)",J2006,IF(H2006="4)",J2006,IF(H2006="5)",J2006,IF(H2006="6)",J2006,IF(H2006="7)",J2006,IF(H2006="8)",J2006,0))))))))</f>
        <v/>
      </c>
    </row>
    <row r="2008">
      <c r="A2008" s="0" t="inlineStr">
        <is>
          <t>New</t>
        </is>
      </c>
      <c r="B2008" s="0" t="inlineStr">
        <is>
          <t>Item</t>
        </is>
      </c>
      <c r="C2008" s="0" t="inlineStr">
        <is>
          <t>Acquired</t>
        </is>
      </c>
      <c r="D2008" s="0" t="inlineStr">
        <is>
          <t>:</t>
        </is>
      </c>
      <c r="E2008" s="0" t="inlineStr">
        <is>
          <t>75.00K</t>
        </is>
      </c>
      <c r="F2008" s="0" t="inlineStr">
        <is>
          <t>(6,</t>
        </is>
      </c>
      <c r="G2008" s="0" t="inlineStr">
        <is>
          <t>2)</t>
        </is>
      </c>
      <c r="K2008" s="0">
        <f>IF(H2007="1)",1,IF(H2007="2)",2,IF(H2007="3)",3,IF(H2007="4)",4,IF(H2007="5)",5,IF(H2007="6)",6,IF(H2007="7)",7,IF(H2007="8)",8,0))))))))</f>
        <v/>
      </c>
      <c r="L2008" s="0">
        <f>IF(H2007="1)",J2007,IF(H2007="2)",J2007,IF(H2007="3)",J2007,IF(H2007="4)",J2007,IF(H2007="5)",J2007,IF(H2007="6)",J2007,IF(H2007="7)",J2007,IF(H2007="8)",J2007,0))))))))</f>
        <v/>
      </c>
    </row>
    <row r="2009">
      <c r="A2009" s="0" t="inlineStr">
        <is>
          <t>New</t>
        </is>
      </c>
      <c r="B2009" s="0" t="inlineStr">
        <is>
          <t>Item</t>
        </is>
      </c>
      <c r="C2009" s="0" t="inlineStr">
        <is>
          <t>Acquired</t>
        </is>
      </c>
      <c r="D2009" s="0" t="inlineStr">
        <is>
          <t>:</t>
        </is>
      </c>
      <c r="E2009" s="0" t="inlineStr">
        <is>
          <t>175.00K</t>
        </is>
      </c>
      <c r="F2009" s="0" t="inlineStr">
        <is>
          <t>(6,</t>
        </is>
      </c>
      <c r="G2009" s="0" t="inlineStr">
        <is>
          <t>6)</t>
        </is>
      </c>
      <c r="K2009" s="0">
        <f>IF(H2008="1)",1,IF(H2008="2)",2,IF(H2008="3)",3,IF(H2008="4)",4,IF(H2008="5)",5,IF(H2008="6)",6,IF(H2008="7)",7,IF(H2008="8)",8,0))))))))</f>
        <v/>
      </c>
      <c r="L2009" s="0">
        <f>IF(H2008="1)",J2008,IF(H2008="2)",J2008,IF(H2008="3)",J2008,IF(H2008="4)",J2008,IF(H2008="5)",J2008,IF(H2008="6)",J2008,IF(H2008="7)",J2008,IF(H2008="8)",J2008,0))))))))</f>
        <v/>
      </c>
    </row>
    <row r="2010">
      <c r="A2010" s="0" t="inlineStr">
        <is>
          <t>New</t>
        </is>
      </c>
      <c r="B2010" s="0" t="inlineStr">
        <is>
          <t>Item</t>
        </is>
      </c>
      <c r="C2010" s="0" t="inlineStr">
        <is>
          <t>Acquired</t>
        </is>
      </c>
      <c r="D2010" s="0" t="inlineStr">
        <is>
          <t>:</t>
        </is>
      </c>
      <c r="E2010" s="0" t="inlineStr">
        <is>
          <t>90.00K</t>
        </is>
      </c>
      <c r="F2010" s="0" t="inlineStr">
        <is>
          <t>(7,</t>
        </is>
      </c>
      <c r="G2010" s="0" t="inlineStr">
        <is>
          <t>8)</t>
        </is>
      </c>
      <c r="K2010" s="0">
        <f>IF(H2009="1)",1,IF(H2009="2)",2,IF(H2009="3)",3,IF(H2009="4)",4,IF(H2009="5)",5,IF(H2009="6)",6,IF(H2009="7)",7,IF(H2009="8)",8,0))))))))</f>
        <v/>
      </c>
      <c r="L2010" s="0">
        <f>IF(H2009="1)",J2009,IF(H2009="2)",J2009,IF(H2009="3)",J2009,IF(H2009="4)",J2009,IF(H2009="5)",J2009,IF(H2009="6)",J2009,IF(H2009="7)",J2009,IF(H2009="8)",J2009,0))))))))</f>
        <v/>
      </c>
    </row>
    <row r="2011">
      <c r="A2011" s="0" t="inlineStr">
        <is>
          <t>Line</t>
        </is>
      </c>
      <c r="B2011" s="0" t="inlineStr">
        <is>
          <t>Prize</t>
        </is>
      </c>
      <c r="C2011" s="0" t="inlineStr">
        <is>
          <t>Acquired</t>
        </is>
      </c>
      <c r="D2011" s="0" t="inlineStr">
        <is>
          <t>:</t>
        </is>
      </c>
      <c r="E2011" s="0" t="inlineStr">
        <is>
          <t>570.00K</t>
        </is>
      </c>
      <c r="F2011" s="0" t="inlineStr">
        <is>
          <t>(Stage</t>
        </is>
      </c>
      <c r="G2011" s="0" t="inlineStr">
        <is>
          <t>:</t>
        </is>
      </c>
      <c r="H2011" s="0" t="inlineStr">
        <is>
          <t>7)</t>
        </is>
      </c>
      <c r="I2011" s="0" t="inlineStr">
        <is>
          <t>-</t>
        </is>
      </c>
      <c r="J2011" s="0" t="n">
        <v>570000</v>
      </c>
      <c r="K2011" s="0">
        <f>IF(H2010="1)",1,IF(H2010="2)",2,IF(H2010="3)",3,IF(H2010="4)",4,IF(H2010="5)",5,IF(H2010="6)",6,IF(H2010="7)",7,IF(H2010="8)",8,0))))))))</f>
        <v/>
      </c>
      <c r="L2011" s="0">
        <f>IF(H2010="1)",J2010,IF(H2010="2)",J2010,IF(H2010="3)",J2010,IF(H2010="4)",J2010,IF(H2010="5)",J2010,IF(H2010="6)",J2010,IF(H2010="7)",J2010,IF(H2010="8)",J2010,0))))))))</f>
        <v/>
      </c>
    </row>
    <row r="2012">
      <c r="A2012" s="0" t="inlineStr">
        <is>
          <t>Clear</t>
        </is>
      </c>
      <c r="B2012" s="0" t="inlineStr">
        <is>
          <t>Gem</t>
        </is>
      </c>
      <c r="C2012" s="0" t="inlineStr">
        <is>
          <t>Acquired</t>
        </is>
      </c>
      <c r="D2012" s="0" t="inlineStr">
        <is>
          <t>:</t>
        </is>
      </c>
      <c r="E2012" s="0" t="n">
        <v>12200</v>
      </c>
      <c r="F2012" s="0" t="inlineStr">
        <is>
          <t>-&gt;</t>
        </is>
      </c>
      <c r="G2012" s="0" t="n">
        <v>12300</v>
      </c>
      <c r="H2012" s="0" t="inlineStr">
        <is>
          <t>(Stage</t>
        </is>
      </c>
      <c r="I2012" s="0" t="inlineStr">
        <is>
          <t>:</t>
        </is>
      </c>
      <c r="J2012" s="0" t="inlineStr">
        <is>
          <t>7)</t>
        </is>
      </c>
      <c r="K2012" s="0">
        <f>IF(H2011="1)",1,IF(H2011="2)",2,IF(H2011="3)",3,IF(H2011="4)",4,IF(H2011="5)",5,IF(H2011="6)",6,IF(H2011="7)",7,IF(H2011="8)",8,0))))))))</f>
        <v/>
      </c>
      <c r="L2012" s="0">
        <f>IF(H2011="1)",J2011,IF(H2011="2)",J2011,IF(H2011="3)",J2011,IF(H2011="4)",J2011,IF(H2011="5)",J2011,IF(H2011="6)",J2011,IF(H2011="7)",J2011,IF(H2011="8)",J2011,0))))))))</f>
        <v/>
      </c>
    </row>
    <row r="2013">
      <c r="A2013" s="0" t="inlineStr">
        <is>
          <t>New</t>
        </is>
      </c>
      <c r="B2013" s="0" t="inlineStr">
        <is>
          <t>Item</t>
        </is>
      </c>
      <c r="C2013" s="0" t="inlineStr">
        <is>
          <t>Acquired</t>
        </is>
      </c>
      <c r="D2013" s="0" t="inlineStr">
        <is>
          <t>:</t>
        </is>
      </c>
      <c r="E2013" s="0" t="inlineStr">
        <is>
          <t>210.00K</t>
        </is>
      </c>
      <c r="F2013" s="0" t="inlineStr">
        <is>
          <t>(7,</t>
        </is>
      </c>
      <c r="G2013" s="0" t="inlineStr">
        <is>
          <t>23)</t>
        </is>
      </c>
      <c r="K2013" s="0">
        <f>IF(H2012="1)",1,IF(H2012="2)",2,IF(H2012="3)",3,IF(H2012="4)",4,IF(H2012="5)",5,IF(H2012="6)",6,IF(H2012="7)",7,IF(H2012="8)",8,0))))))))</f>
        <v/>
      </c>
      <c r="L2013" s="0">
        <f>IF(H2012="1)",J2012,IF(H2012="2)",J2012,IF(H2012="3)",J2012,IF(H2012="4)",J2012,IF(H2012="5)",J2012,IF(H2012="6)",J2012,IF(H2012="7)",J2012,IF(H2012="8)",J2012,0))))))))</f>
        <v/>
      </c>
    </row>
    <row r="2014">
      <c r="A2014" s="0" t="inlineStr">
        <is>
          <t>New</t>
        </is>
      </c>
      <c r="B2014" s="0" t="inlineStr">
        <is>
          <t>Item</t>
        </is>
      </c>
      <c r="C2014" s="0" t="inlineStr">
        <is>
          <t>Acquired</t>
        </is>
      </c>
      <c r="D2014" s="0" t="inlineStr">
        <is>
          <t>:</t>
        </is>
      </c>
      <c r="E2014" s="0" t="inlineStr">
        <is>
          <t>120.00K</t>
        </is>
      </c>
      <c r="F2014" s="0" t="inlineStr">
        <is>
          <t>(8,</t>
        </is>
      </c>
      <c r="G2014" s="0" t="inlineStr">
        <is>
          <t>17)</t>
        </is>
      </c>
      <c r="K2014" s="0">
        <f>IF(H2013="1)",1,IF(H2013="2)",2,IF(H2013="3)",3,IF(H2013="4)",4,IF(H2013="5)",5,IF(H2013="6)",6,IF(H2013="7)",7,IF(H2013="8)",8,0))))))))</f>
        <v/>
      </c>
      <c r="L2014" s="0">
        <f>IF(H2013="1)",J2013,IF(H2013="2)",J2013,IF(H2013="3)",J2013,IF(H2013="4)",J2013,IF(H2013="5)",J2013,IF(H2013="6)",J2013,IF(H2013="7)",J2013,IF(H2013="8)",J2013,0))))))))</f>
        <v/>
      </c>
    </row>
    <row r="2015">
      <c r="A2015" s="0" t="inlineStr">
        <is>
          <t>New</t>
        </is>
      </c>
      <c r="B2015" s="0" t="inlineStr">
        <is>
          <t>Item</t>
        </is>
      </c>
      <c r="C2015" s="0" t="inlineStr">
        <is>
          <t>Acquired</t>
        </is>
      </c>
      <c r="D2015" s="0" t="inlineStr">
        <is>
          <t>:</t>
        </is>
      </c>
      <c r="E2015" s="0" t="inlineStr">
        <is>
          <t>120.00K</t>
        </is>
      </c>
      <c r="F2015" s="0" t="inlineStr">
        <is>
          <t>(8,</t>
        </is>
      </c>
      <c r="G2015" s="0" t="inlineStr">
        <is>
          <t>11)</t>
        </is>
      </c>
      <c r="K2015" s="0">
        <f>IF(H2014="1)",1,IF(H2014="2)",2,IF(H2014="3)",3,IF(H2014="4)",4,IF(H2014="5)",5,IF(H2014="6)",6,IF(H2014="7)",7,IF(H2014="8)",8,0))))))))</f>
        <v/>
      </c>
      <c r="L2015" s="0">
        <f>IF(H2014="1)",J2014,IF(H2014="2)",J2014,IF(H2014="3)",J2014,IF(H2014="4)",J2014,IF(H2014="5)",J2014,IF(H2014="6)",J2014,IF(H2014="7)",J2014,IF(H2014="8)",J2014,0))))))))</f>
        <v/>
      </c>
    </row>
    <row r="2016">
      <c r="A2016" s="0" t="inlineStr">
        <is>
          <t>New</t>
        </is>
      </c>
      <c r="B2016" s="0" t="inlineStr">
        <is>
          <t>Item</t>
        </is>
      </c>
      <c r="C2016" s="0" t="inlineStr">
        <is>
          <t>Acquired</t>
        </is>
      </c>
      <c r="D2016" s="0" t="inlineStr">
        <is>
          <t>:</t>
        </is>
      </c>
      <c r="E2016" s="0" t="inlineStr">
        <is>
          <t>87.50K</t>
        </is>
      </c>
      <c r="F2016" s="0" t="inlineStr">
        <is>
          <t>(2,</t>
        </is>
      </c>
      <c r="G2016" s="0" t="inlineStr">
        <is>
          <t>15)</t>
        </is>
      </c>
      <c r="K2016" s="0">
        <f>IF(H2015="1)",1,IF(H2015="2)",2,IF(H2015="3)",3,IF(H2015="4)",4,IF(H2015="5)",5,IF(H2015="6)",6,IF(H2015="7)",7,IF(H2015="8)",8,0))))))))</f>
        <v/>
      </c>
      <c r="L2016" s="0">
        <f>IF(H2015="1)",J2015,IF(H2015="2)",J2015,IF(H2015="3)",J2015,IF(H2015="4)",J2015,IF(H2015="5)",J2015,IF(H2015="6)",J2015,IF(H2015="7)",J2015,IF(H2015="8)",J2015,0))))))))</f>
        <v/>
      </c>
    </row>
    <row r="2017">
      <c r="A2017" s="0" t="inlineStr">
        <is>
          <t>New</t>
        </is>
      </c>
      <c r="B2017" s="0" t="inlineStr">
        <is>
          <t>Item</t>
        </is>
      </c>
      <c r="C2017" s="0" t="inlineStr">
        <is>
          <t>Acquired</t>
        </is>
      </c>
      <c r="D2017" s="0" t="inlineStr">
        <is>
          <t>:</t>
        </is>
      </c>
      <c r="E2017" s="0" t="inlineStr">
        <is>
          <t>30.00K</t>
        </is>
      </c>
      <c r="F2017" s="0" t="inlineStr">
        <is>
          <t>(1,</t>
        </is>
      </c>
      <c r="G2017" s="0" t="inlineStr">
        <is>
          <t>2)</t>
        </is>
      </c>
      <c r="K2017" s="0">
        <f>IF(H2016="1)",1,IF(H2016="2)",2,IF(H2016="3)",3,IF(H2016="4)",4,IF(H2016="5)",5,IF(H2016="6)",6,IF(H2016="7)",7,IF(H2016="8)",8,0))))))))</f>
        <v/>
      </c>
      <c r="L2017" s="0">
        <f>IF(H2016="1)",J2016,IF(H2016="2)",J2016,IF(H2016="3)",J2016,IF(H2016="4)",J2016,IF(H2016="5)",J2016,IF(H2016="6)",J2016,IF(H2016="7)",J2016,IF(H2016="8)",J2016,0))))))))</f>
        <v/>
      </c>
    </row>
    <row r="2018">
      <c r="A2018" s="0" t="inlineStr">
        <is>
          <t>New</t>
        </is>
      </c>
      <c r="B2018" s="0" t="inlineStr">
        <is>
          <t>Item</t>
        </is>
      </c>
      <c r="C2018" s="0" t="inlineStr">
        <is>
          <t>Acquired</t>
        </is>
      </c>
      <c r="D2018" s="0" t="inlineStr">
        <is>
          <t>:</t>
        </is>
      </c>
      <c r="E2018" s="0" t="inlineStr">
        <is>
          <t>50.00K</t>
        </is>
      </c>
      <c r="F2018" s="0" t="inlineStr">
        <is>
          <t>(1,</t>
        </is>
      </c>
      <c r="G2018" s="0" t="inlineStr">
        <is>
          <t>23)</t>
        </is>
      </c>
      <c r="K2018" s="0">
        <f>IF(H2017="1)",1,IF(H2017="2)",2,IF(H2017="3)",3,IF(H2017="4)",4,IF(H2017="5)",5,IF(H2017="6)",6,IF(H2017="7)",7,IF(H2017="8)",8,0))))))))</f>
        <v/>
      </c>
      <c r="L2018" s="0">
        <f>IF(H2017="1)",J2017,IF(H2017="2)",J2017,IF(H2017="3)",J2017,IF(H2017="4)",J2017,IF(H2017="5)",J2017,IF(H2017="6)",J2017,IF(H2017="7)",J2017,IF(H2017="8)",J2017,0))))))))</f>
        <v/>
      </c>
    </row>
    <row r="2019">
      <c r="A2019" s="0" t="inlineStr">
        <is>
          <t>New</t>
        </is>
      </c>
      <c r="B2019" s="0" t="inlineStr">
        <is>
          <t>Item</t>
        </is>
      </c>
      <c r="C2019" s="0" t="inlineStr">
        <is>
          <t>Acquired</t>
        </is>
      </c>
      <c r="D2019" s="0" t="inlineStr">
        <is>
          <t>:</t>
        </is>
      </c>
      <c r="E2019" s="0" t="inlineStr">
        <is>
          <t>Mini</t>
        </is>
      </c>
      <c r="F2019" s="0" t="inlineStr">
        <is>
          <t>(6,</t>
        </is>
      </c>
      <c r="G2019" s="0" t="inlineStr">
        <is>
          <t>3)</t>
        </is>
      </c>
      <c r="K2019" s="0">
        <f>IF(H2018="1)",1,IF(H2018="2)",2,IF(H2018="3)",3,IF(H2018="4)",4,IF(H2018="5)",5,IF(H2018="6)",6,IF(H2018="7)",7,IF(H2018="8)",8,0))))))))</f>
        <v/>
      </c>
      <c r="L2019" s="0">
        <f>IF(H2018="1)",J2018,IF(H2018="2)",J2018,IF(H2018="3)",J2018,IF(H2018="4)",J2018,IF(H2018="5)",J2018,IF(H2018="6)",J2018,IF(H2018="7)",J2018,IF(H2018="8)",J2018,0))))))))</f>
        <v/>
      </c>
    </row>
    <row r="2020">
      <c r="A2020" s="0" t="inlineStr">
        <is>
          <t>New</t>
        </is>
      </c>
      <c r="B2020" s="0" t="inlineStr">
        <is>
          <t>Item</t>
        </is>
      </c>
      <c r="C2020" s="0" t="inlineStr">
        <is>
          <t>Acquired</t>
        </is>
      </c>
      <c r="D2020" s="0" t="inlineStr">
        <is>
          <t>:</t>
        </is>
      </c>
      <c r="E2020" s="0" t="inlineStr">
        <is>
          <t>90.00K</t>
        </is>
      </c>
      <c r="F2020" s="0" t="inlineStr">
        <is>
          <t>(7,</t>
        </is>
      </c>
      <c r="G2020" s="0" t="inlineStr">
        <is>
          <t>6)</t>
        </is>
      </c>
      <c r="K2020" s="0">
        <f>IF(H2019="1)",1,IF(H2019="2)",2,IF(H2019="3)",3,IF(H2019="4)",4,IF(H2019="5)",5,IF(H2019="6)",6,IF(H2019="7)",7,IF(H2019="8)",8,0))))))))</f>
        <v/>
      </c>
      <c r="L2020" s="0">
        <f>IF(H2019="1)",J2019,IF(H2019="2)",J2019,IF(H2019="3)",J2019,IF(H2019="4)",J2019,IF(H2019="5)",J2019,IF(H2019="6)",J2019,IF(H2019="7)",J2019,IF(H2019="8)",J2019,0))))))))</f>
        <v/>
      </c>
    </row>
    <row r="2021">
      <c r="A2021" s="0" t="inlineStr">
        <is>
          <t>New</t>
        </is>
      </c>
      <c r="B2021" s="0" t="inlineStr">
        <is>
          <t>Item</t>
        </is>
      </c>
      <c r="C2021" s="0" t="inlineStr">
        <is>
          <t>Acquired</t>
        </is>
      </c>
      <c r="D2021" s="0" t="inlineStr">
        <is>
          <t>:</t>
        </is>
      </c>
      <c r="E2021" s="0" t="inlineStr">
        <is>
          <t>45.00K</t>
        </is>
      </c>
      <c r="F2021" s="0" t="inlineStr">
        <is>
          <t>(3,</t>
        </is>
      </c>
      <c r="G2021" s="0" t="inlineStr">
        <is>
          <t>24)</t>
        </is>
      </c>
      <c r="K2021" s="0">
        <f>IF(H2020="1)",1,IF(H2020="2)",2,IF(H2020="3)",3,IF(H2020="4)",4,IF(H2020="5)",5,IF(H2020="6)",6,IF(H2020="7)",7,IF(H2020="8)",8,0))))))))</f>
        <v/>
      </c>
      <c r="L2021" s="0">
        <f>IF(H2020="1)",J2020,IF(H2020="2)",J2020,IF(H2020="3)",J2020,IF(H2020="4)",J2020,IF(H2020="5)",J2020,IF(H2020="6)",J2020,IF(H2020="7)",J2020,IF(H2020="8)",J2020,0))))))))</f>
        <v/>
      </c>
    </row>
    <row r="2022">
      <c r="A2022" s="0" t="inlineStr">
        <is>
          <t>New</t>
        </is>
      </c>
      <c r="B2022" s="0" t="inlineStr">
        <is>
          <t>Item</t>
        </is>
      </c>
      <c r="C2022" s="0" t="inlineStr">
        <is>
          <t>Acquired</t>
        </is>
      </c>
      <c r="D2022" s="0" t="inlineStr">
        <is>
          <t>:</t>
        </is>
      </c>
      <c r="E2022" s="0" t="inlineStr">
        <is>
          <t>75.00K</t>
        </is>
      </c>
      <c r="F2022" s="0" t="inlineStr">
        <is>
          <t>(6,</t>
        </is>
      </c>
      <c r="G2022" s="0" t="inlineStr">
        <is>
          <t>17)</t>
        </is>
      </c>
      <c r="K2022" s="0">
        <f>IF(H2021="1)",1,IF(H2021="2)",2,IF(H2021="3)",3,IF(H2021="4)",4,IF(H2021="5)",5,IF(H2021="6)",6,IF(H2021="7)",7,IF(H2021="8)",8,0))))))))</f>
        <v/>
      </c>
      <c r="L2022" s="0">
        <f>IF(H2021="1)",J2021,IF(H2021="2)",J2021,IF(H2021="3)",J2021,IF(H2021="4)",J2021,IF(H2021="5)",J2021,IF(H2021="6)",J2021,IF(H2021="7)",J2021,IF(H2021="8)",J2021,0))))))))</f>
        <v/>
      </c>
    </row>
    <row r="2023">
      <c r="A2023" s="0" t="inlineStr">
        <is>
          <t>New</t>
        </is>
      </c>
      <c r="B2023" s="0" t="inlineStr">
        <is>
          <t>Item</t>
        </is>
      </c>
      <c r="C2023" s="0" t="inlineStr">
        <is>
          <t>Acquired</t>
        </is>
      </c>
      <c r="D2023" s="0" t="inlineStr">
        <is>
          <t>:</t>
        </is>
      </c>
      <c r="E2023" s="0" t="inlineStr">
        <is>
          <t>60.00K</t>
        </is>
      </c>
      <c r="F2023" s="0" t="inlineStr">
        <is>
          <t>(4,</t>
        </is>
      </c>
      <c r="G2023" s="0" t="inlineStr">
        <is>
          <t>21)</t>
        </is>
      </c>
      <c r="K2023" s="0">
        <f>IF(H2022="1)",1,IF(H2022="2)",2,IF(H2022="3)",3,IF(H2022="4)",4,IF(H2022="5)",5,IF(H2022="6)",6,IF(H2022="7)",7,IF(H2022="8)",8,0))))))))</f>
        <v/>
      </c>
      <c r="L2023" s="0">
        <f>IF(H2022="1)",J2022,IF(H2022="2)",J2022,IF(H2022="3)",J2022,IF(H2022="4)",J2022,IF(H2022="5)",J2022,IF(H2022="6)",J2022,IF(H2022="7)",J2022,IF(H2022="8)",J2022,0))))))))</f>
        <v/>
      </c>
    </row>
    <row r="2024">
      <c r="A2024" s="0" t="inlineStr">
        <is>
          <t>New</t>
        </is>
      </c>
      <c r="B2024" s="0" t="inlineStr">
        <is>
          <t>Item</t>
        </is>
      </c>
      <c r="C2024" s="0" t="inlineStr">
        <is>
          <t>Acquired</t>
        </is>
      </c>
      <c r="D2024" s="0" t="inlineStr">
        <is>
          <t>:</t>
        </is>
      </c>
      <c r="E2024" s="0" t="inlineStr">
        <is>
          <t>200.00K</t>
        </is>
      </c>
      <c r="F2024" s="0" t="inlineStr">
        <is>
          <t>(8,</t>
        </is>
      </c>
      <c r="G2024" s="0" t="inlineStr">
        <is>
          <t>10)</t>
        </is>
      </c>
      <c r="K2024" s="0">
        <f>IF(H2023="1)",1,IF(H2023="2)",2,IF(H2023="3)",3,IF(H2023="4)",4,IF(H2023="5)",5,IF(H2023="6)",6,IF(H2023="7)",7,IF(H2023="8)",8,0))))))))</f>
        <v/>
      </c>
      <c r="L2024" s="0">
        <f>IF(H2023="1)",J2023,IF(H2023="2)",J2023,IF(H2023="3)",J2023,IF(H2023="4)",J2023,IF(H2023="5)",J2023,IF(H2023="6)",J2023,IF(H2023="7)",J2023,IF(H2023="8)",J2023,0))))))))</f>
        <v/>
      </c>
    </row>
    <row r="2025">
      <c r="A2025" s="0" t="inlineStr">
        <is>
          <t>New</t>
        </is>
      </c>
      <c r="B2025" s="0" t="inlineStr">
        <is>
          <t>Item</t>
        </is>
      </c>
      <c r="C2025" s="0" t="inlineStr">
        <is>
          <t>Acquired</t>
        </is>
      </c>
      <c r="D2025" s="0" t="inlineStr">
        <is>
          <t>:</t>
        </is>
      </c>
      <c r="E2025" s="0" t="inlineStr">
        <is>
          <t>Minor</t>
        </is>
      </c>
      <c r="F2025" s="0" t="inlineStr">
        <is>
          <t>(7,</t>
        </is>
      </c>
      <c r="G2025" s="0" t="inlineStr">
        <is>
          <t>14)</t>
        </is>
      </c>
      <c r="K2025" s="0">
        <f>IF(H2024="1)",1,IF(H2024="2)",2,IF(H2024="3)",3,IF(H2024="4)",4,IF(H2024="5)",5,IF(H2024="6)",6,IF(H2024="7)",7,IF(H2024="8)",8,0))))))))</f>
        <v/>
      </c>
      <c r="L2025" s="0">
        <f>IF(H2024="1)",J2024,IF(H2024="2)",J2024,IF(H2024="3)",J2024,IF(H2024="4)",J2024,IF(H2024="5)",J2024,IF(H2024="6)",J2024,IF(H2024="7)",J2024,IF(H2024="8)",J2024,0))))))))</f>
        <v/>
      </c>
    </row>
    <row r="2026">
      <c r="A2026" s="0" t="inlineStr">
        <is>
          <t>New</t>
        </is>
      </c>
      <c r="B2026" s="0" t="inlineStr">
        <is>
          <t>Item</t>
        </is>
      </c>
      <c r="C2026" s="0" t="inlineStr">
        <is>
          <t>Acquired</t>
        </is>
      </c>
      <c r="D2026" s="0" t="inlineStr">
        <is>
          <t>:</t>
        </is>
      </c>
      <c r="E2026" s="0" t="inlineStr">
        <is>
          <t>45.00K</t>
        </is>
      </c>
      <c r="F2026" s="0" t="inlineStr">
        <is>
          <t>(3,</t>
        </is>
      </c>
      <c r="G2026" s="0" t="inlineStr">
        <is>
          <t>9)</t>
        </is>
      </c>
      <c r="K2026" s="0">
        <f>IF(H2025="1)",1,IF(H2025="2)",2,IF(H2025="3)",3,IF(H2025="4)",4,IF(H2025="5)",5,IF(H2025="6)",6,IF(H2025="7)",7,IF(H2025="8)",8,0))))))))</f>
        <v/>
      </c>
      <c r="L2026" s="0">
        <f>IF(H2025="1)",J2025,IF(H2025="2)",J2025,IF(H2025="3)",J2025,IF(H2025="4)",J2025,IF(H2025="5)",J2025,IF(H2025="6)",J2025,IF(H2025="7)",J2025,IF(H2025="8)",J2025,0))))))))</f>
        <v/>
      </c>
    </row>
    <row r="2027">
      <c r="A2027" s="0" t="inlineStr">
        <is>
          <t>New</t>
        </is>
      </c>
      <c r="B2027" s="0" t="inlineStr">
        <is>
          <t>Item</t>
        </is>
      </c>
      <c r="C2027" s="0" t="inlineStr">
        <is>
          <t>Acquired</t>
        </is>
      </c>
      <c r="D2027" s="0" t="inlineStr">
        <is>
          <t>:</t>
        </is>
      </c>
      <c r="E2027" s="0" t="inlineStr">
        <is>
          <t>120.00K</t>
        </is>
      </c>
      <c r="F2027" s="0" t="inlineStr">
        <is>
          <t>(8,</t>
        </is>
      </c>
      <c r="G2027" s="0" t="inlineStr">
        <is>
          <t>20)</t>
        </is>
      </c>
      <c r="K2027" s="0">
        <f>IF(H2026="1)",1,IF(H2026="2)",2,IF(H2026="3)",3,IF(H2026="4)",4,IF(H2026="5)",5,IF(H2026="6)",6,IF(H2026="7)",7,IF(H2026="8)",8,0))))))))</f>
        <v/>
      </c>
      <c r="L2027" s="0">
        <f>IF(H2026="1)",J2026,IF(H2026="2)",J2026,IF(H2026="3)",J2026,IF(H2026="4)",J2026,IF(H2026="5)",J2026,IF(H2026="6)",J2026,IF(H2026="7)",J2026,IF(H2026="8)",J2026,0))))))))</f>
        <v/>
      </c>
    </row>
    <row r="2028">
      <c r="A2028" s="0" t="inlineStr">
        <is>
          <t>Line</t>
        </is>
      </c>
      <c r="B2028" s="0" t="inlineStr">
        <is>
          <t>Prize</t>
        </is>
      </c>
      <c r="C2028" s="0" t="inlineStr">
        <is>
          <t>Acquired</t>
        </is>
      </c>
      <c r="D2028" s="0" t="inlineStr">
        <is>
          <t>:</t>
        </is>
      </c>
      <c r="E2028" s="0" t="inlineStr">
        <is>
          <t>680.00K</t>
        </is>
      </c>
      <c r="F2028" s="0" t="inlineStr">
        <is>
          <t>(Stage</t>
        </is>
      </c>
      <c r="G2028" s="0" t="inlineStr">
        <is>
          <t>:</t>
        </is>
      </c>
      <c r="H2028" s="0" t="inlineStr">
        <is>
          <t>8)</t>
        </is>
      </c>
      <c r="I2028" s="0" t="inlineStr">
        <is>
          <t>-</t>
        </is>
      </c>
      <c r="J2028" s="0" t="n">
        <v>680000</v>
      </c>
      <c r="K2028" s="0">
        <f>IF(H2027="1)",1,IF(H2027="2)",2,IF(H2027="3)",3,IF(H2027="4)",4,IF(H2027="5)",5,IF(H2027="6)",6,IF(H2027="7)",7,IF(H2027="8)",8,0))))))))</f>
        <v/>
      </c>
      <c r="L2028" s="0">
        <f>IF(H2027="1)",J2027,IF(H2027="2)",J2027,IF(H2027="3)",J2027,IF(H2027="4)",J2027,IF(H2027="5)",J2027,IF(H2027="6)",J2027,IF(H2027="7)",J2027,IF(H2027="8)",J2027,0))))))))</f>
        <v/>
      </c>
    </row>
    <row r="2029">
      <c r="A2029" s="0" t="inlineStr">
        <is>
          <t>Clear</t>
        </is>
      </c>
      <c r="B2029" s="0" t="inlineStr">
        <is>
          <t>Gem</t>
        </is>
      </c>
      <c r="C2029" s="0" t="inlineStr">
        <is>
          <t>Acquired</t>
        </is>
      </c>
      <c r="D2029" s="0" t="inlineStr">
        <is>
          <t>:</t>
        </is>
      </c>
      <c r="E2029" s="0" t="n">
        <v>12300</v>
      </c>
      <c r="F2029" s="0" t="inlineStr">
        <is>
          <t>-&gt;</t>
        </is>
      </c>
      <c r="G2029" s="0" t="n">
        <v>12400</v>
      </c>
      <c r="H2029" s="0" t="inlineStr">
        <is>
          <t>(Stage</t>
        </is>
      </c>
      <c r="I2029" s="0" t="inlineStr">
        <is>
          <t>:</t>
        </is>
      </c>
      <c r="J2029" s="0" t="inlineStr">
        <is>
          <t>8)</t>
        </is>
      </c>
      <c r="K2029" s="0">
        <f>IF(H2028="1)",1,IF(H2028="2)",2,IF(H2028="3)",3,IF(H2028="4)",4,IF(H2028="5)",5,IF(H2028="6)",6,IF(H2028="7)",7,IF(H2028="8)",8,0))))))))</f>
        <v/>
      </c>
      <c r="L2029" s="0">
        <f>IF(H2028="1)",J2028,IF(H2028="2)",J2028,IF(H2028="3)",J2028,IF(H2028="4)",J2028,IF(H2028="5)",J2028,IF(H2028="6)",J2028,IF(H2028="7)",J2028,IF(H2028="8)",J2028,0))))))))</f>
        <v/>
      </c>
    </row>
    <row r="2030">
      <c r="A2030" s="0" t="inlineStr">
        <is>
          <t>Item</t>
        </is>
      </c>
      <c r="B2030" s="0" t="inlineStr">
        <is>
          <t>ReSelect</t>
        </is>
      </c>
      <c r="C2030" s="0" t="inlineStr">
        <is>
          <t>Failed</t>
        </is>
      </c>
      <c r="D2030" s="0" t="inlineStr">
        <is>
          <t>:</t>
        </is>
      </c>
      <c r="E2030" s="0" t="inlineStr">
        <is>
          <t>Attempt</t>
        </is>
      </c>
      <c r="F2030" s="0" t="inlineStr">
        <is>
          <t>Count</t>
        </is>
      </c>
      <c r="G2030" s="0" t="inlineStr">
        <is>
          <t>-</t>
        </is>
      </c>
      <c r="H2030" s="0" t="n">
        <v>3</v>
      </c>
      <c r="K2030" s="0">
        <f>IF(H2029="1)",1,IF(H2029="2)",2,IF(H2029="3)",3,IF(H2029="4)",4,IF(H2029="5)",5,IF(H2029="6)",6,IF(H2029="7)",7,IF(H2029="8)",8,0))))))))</f>
        <v/>
      </c>
      <c r="L2030" s="0">
        <f>IF(H2029="1)",J2029,IF(H2029="2)",J2029,IF(H2029="3)",J2029,IF(H2029="4)",J2029,IF(H2029="5)",J2029,IF(H2029="6)",J2029,IF(H2029="7)",J2029,IF(H2029="8)",J2029,0))))))))</f>
        <v/>
      </c>
    </row>
    <row r="2031">
      <c r="A2031" s="0" t="inlineStr">
        <is>
          <t>New</t>
        </is>
      </c>
      <c r="B2031" s="0" t="inlineStr">
        <is>
          <t>Item</t>
        </is>
      </c>
      <c r="C2031" s="0" t="inlineStr">
        <is>
          <t>Acquired</t>
        </is>
      </c>
      <c r="D2031" s="0" t="inlineStr">
        <is>
          <t>:</t>
        </is>
      </c>
      <c r="E2031" s="0" t="inlineStr">
        <is>
          <t>50.00K</t>
        </is>
      </c>
      <c r="F2031" s="0" t="inlineStr">
        <is>
          <t>(1,</t>
        </is>
      </c>
      <c r="G2031" s="0" t="inlineStr">
        <is>
          <t>19)</t>
        </is>
      </c>
      <c r="K2031" s="0">
        <f>IF(H2030="1)",1,IF(H2030="2)",2,IF(H2030="3)",3,IF(H2030="4)",4,IF(H2030="5)",5,IF(H2030="6)",6,IF(H2030="7)",7,IF(H2030="8)",8,0))))))))</f>
        <v/>
      </c>
      <c r="L2031" s="0">
        <f>IF(H2030="1)",J2030,IF(H2030="2)",J2030,IF(H2030="3)",J2030,IF(H2030="4)",J2030,IF(H2030="5)",J2030,IF(H2030="6)",J2030,IF(H2030="7)",J2030,IF(H2030="8)",J2030,0))))))))</f>
        <v/>
      </c>
    </row>
    <row r="2032">
      <c r="A2032" s="0" t="inlineStr">
        <is>
          <t>New</t>
        </is>
      </c>
      <c r="B2032" s="0" t="inlineStr">
        <is>
          <t>Item</t>
        </is>
      </c>
      <c r="C2032" s="0" t="inlineStr">
        <is>
          <t>Acquired</t>
        </is>
      </c>
      <c r="D2032" s="0" t="inlineStr">
        <is>
          <t>:</t>
        </is>
      </c>
      <c r="E2032" s="0" t="inlineStr">
        <is>
          <t>90.00K</t>
        </is>
      </c>
      <c r="F2032" s="0" t="inlineStr">
        <is>
          <t>(7,</t>
        </is>
      </c>
      <c r="G2032" s="0" t="inlineStr">
        <is>
          <t>5)</t>
        </is>
      </c>
      <c r="K2032" s="0">
        <f>IF(H2031="1)",1,IF(H2031="2)",2,IF(H2031="3)",3,IF(H2031="4)",4,IF(H2031="5)",5,IF(H2031="6)",6,IF(H2031="7)",7,IF(H2031="8)",8,0))))))))</f>
        <v/>
      </c>
      <c r="L2032" s="0">
        <f>IF(H2031="1)",J2031,IF(H2031="2)",J2031,IF(H2031="3)",J2031,IF(H2031="4)",J2031,IF(H2031="5)",J2031,IF(H2031="6)",J2031,IF(H2031="7)",J2031,IF(H2031="8)",J2031,0))))))))</f>
        <v/>
      </c>
    </row>
    <row r="2033">
      <c r="A2033" s="0" t="inlineStr">
        <is>
          <t>New</t>
        </is>
      </c>
      <c r="B2033" s="0" t="inlineStr">
        <is>
          <t>Item</t>
        </is>
      </c>
      <c r="C2033" s="0" t="inlineStr">
        <is>
          <t>Acquired</t>
        </is>
      </c>
      <c r="D2033" s="0" t="inlineStr">
        <is>
          <t>:</t>
        </is>
      </c>
      <c r="E2033" s="0" t="inlineStr">
        <is>
          <t>210.00K</t>
        </is>
      </c>
      <c r="F2033" s="0" t="inlineStr">
        <is>
          <t>(7,</t>
        </is>
      </c>
      <c r="G2033" s="0" t="inlineStr">
        <is>
          <t>15)</t>
        </is>
      </c>
      <c r="K2033" s="0">
        <f>IF(H2032="1)",1,IF(H2032="2)",2,IF(H2032="3)",3,IF(H2032="4)",4,IF(H2032="5)",5,IF(H2032="6)",6,IF(H2032="7)",7,IF(H2032="8)",8,0))))))))</f>
        <v/>
      </c>
      <c r="L2033" s="0">
        <f>IF(H2032="1)",J2032,IF(H2032="2)",J2032,IF(H2032="3)",J2032,IF(H2032="4)",J2032,IF(H2032="5)",J2032,IF(H2032="6)",J2032,IF(H2032="7)",J2032,IF(H2032="8)",J2032,0))))))))</f>
        <v/>
      </c>
    </row>
    <row r="2034">
      <c r="A2034" s="0" t="inlineStr">
        <is>
          <t>New</t>
        </is>
      </c>
      <c r="B2034" s="0" t="inlineStr">
        <is>
          <t>Item</t>
        </is>
      </c>
      <c r="C2034" s="0" t="inlineStr">
        <is>
          <t>Acquired</t>
        </is>
      </c>
      <c r="D2034" s="0" t="inlineStr">
        <is>
          <t>:</t>
        </is>
      </c>
      <c r="E2034" s="0" t="inlineStr">
        <is>
          <t>75.00K</t>
        </is>
      </c>
      <c r="F2034" s="0" t="inlineStr">
        <is>
          <t>(6,</t>
        </is>
      </c>
      <c r="G2034" s="0" t="inlineStr">
        <is>
          <t>24)</t>
        </is>
      </c>
      <c r="K2034" s="0">
        <f>IF(H2033="1)",1,IF(H2033="2)",2,IF(H2033="3)",3,IF(H2033="4)",4,IF(H2033="5)",5,IF(H2033="6)",6,IF(H2033="7)",7,IF(H2033="8)",8,0))))))))</f>
        <v/>
      </c>
      <c r="L2034" s="0">
        <f>IF(H2033="1)",J2033,IF(H2033="2)",J2033,IF(H2033="3)",J2033,IF(H2033="4)",J2033,IF(H2033="5)",J2033,IF(H2033="6)",J2033,IF(H2033="7)",J2033,IF(H2033="8)",J2033,0))))))))</f>
        <v/>
      </c>
    </row>
    <row r="2035">
      <c r="A2035" s="0" t="inlineStr">
        <is>
          <t>New</t>
        </is>
      </c>
      <c r="B2035" s="0" t="inlineStr">
        <is>
          <t>Item</t>
        </is>
      </c>
      <c r="C2035" s="0" t="inlineStr">
        <is>
          <t>Acquired</t>
        </is>
      </c>
      <c r="D2035" s="0" t="inlineStr">
        <is>
          <t>:</t>
        </is>
      </c>
      <c r="E2035" s="0" t="inlineStr">
        <is>
          <t>120.00K</t>
        </is>
      </c>
      <c r="F2035" s="0" t="inlineStr">
        <is>
          <t>(8,</t>
        </is>
      </c>
      <c r="G2035" s="0" t="inlineStr">
        <is>
          <t>23)</t>
        </is>
      </c>
      <c r="K2035" s="0">
        <f>IF(H2034="1)",1,IF(H2034="2)",2,IF(H2034="3)",3,IF(H2034="4)",4,IF(H2034="5)",5,IF(H2034="6)",6,IF(H2034="7)",7,IF(H2034="8)",8,0))))))))</f>
        <v/>
      </c>
      <c r="L2035" s="0">
        <f>IF(H2034="1)",J2034,IF(H2034="2)",J2034,IF(H2034="3)",J2034,IF(H2034="4)",J2034,IF(H2034="5)",J2034,IF(H2034="6)",J2034,IF(H2034="7)",J2034,IF(H2034="8)",J2034,0))))))))</f>
        <v/>
      </c>
    </row>
    <row r="2036">
      <c r="A2036" s="0" t="inlineStr">
        <is>
          <t>New</t>
        </is>
      </c>
      <c r="B2036" s="0" t="inlineStr">
        <is>
          <t>Item</t>
        </is>
      </c>
      <c r="C2036" s="0" t="inlineStr">
        <is>
          <t>Acquired</t>
        </is>
      </c>
      <c r="D2036" s="0" t="inlineStr">
        <is>
          <t>:</t>
        </is>
      </c>
      <c r="E2036" s="0" t="inlineStr">
        <is>
          <t>60.00K</t>
        </is>
      </c>
      <c r="F2036" s="0" t="inlineStr">
        <is>
          <t>(4,</t>
        </is>
      </c>
      <c r="G2036" s="0" t="inlineStr">
        <is>
          <t>10)</t>
        </is>
      </c>
      <c r="K2036" s="0">
        <f>IF(H2035="1)",1,IF(H2035="2)",2,IF(H2035="3)",3,IF(H2035="4)",4,IF(H2035="5)",5,IF(H2035="6)",6,IF(H2035="7)",7,IF(H2035="8)",8,0))))))))</f>
        <v/>
      </c>
      <c r="L2036" s="0">
        <f>IF(H2035="1)",J2035,IF(H2035="2)",J2035,IF(H2035="3)",J2035,IF(H2035="4)",J2035,IF(H2035="5)",J2035,IF(H2035="6)",J2035,IF(H2035="7)",J2035,IF(H2035="8)",J2035,0))))))))</f>
        <v/>
      </c>
    </row>
    <row r="2037">
      <c r="A2037" s="0" t="inlineStr">
        <is>
          <t>New</t>
        </is>
      </c>
      <c r="B2037" s="0" t="inlineStr">
        <is>
          <t>Item</t>
        </is>
      </c>
      <c r="C2037" s="0" t="inlineStr">
        <is>
          <t>Acquired</t>
        </is>
      </c>
      <c r="D2037" s="0" t="inlineStr">
        <is>
          <t>:</t>
        </is>
      </c>
      <c r="E2037" s="0" t="inlineStr">
        <is>
          <t>125.00K</t>
        </is>
      </c>
      <c r="F2037" s="0" t="inlineStr">
        <is>
          <t>(6,</t>
        </is>
      </c>
      <c r="G2037" s="0" t="inlineStr">
        <is>
          <t>16)</t>
        </is>
      </c>
      <c r="K2037" s="0">
        <f>IF(H2036="1)",1,IF(H2036="2)",2,IF(H2036="3)",3,IF(H2036="4)",4,IF(H2036="5)",5,IF(H2036="6)",6,IF(H2036="7)",7,IF(H2036="8)",8,0))))))))</f>
        <v/>
      </c>
      <c r="L2037" s="0">
        <f>IF(H2036="1)",J2036,IF(H2036="2)",J2036,IF(H2036="3)",J2036,IF(H2036="4)",J2036,IF(H2036="5)",J2036,IF(H2036="6)",J2036,IF(H2036="7)",J2036,IF(H2036="8)",J2036,0))))))))</f>
        <v/>
      </c>
    </row>
    <row r="2038">
      <c r="A2038" s="0" t="inlineStr">
        <is>
          <t>New</t>
        </is>
      </c>
      <c r="B2038" s="0" t="inlineStr">
        <is>
          <t>Item</t>
        </is>
      </c>
      <c r="C2038" s="0" t="inlineStr">
        <is>
          <t>Acquired</t>
        </is>
      </c>
      <c r="D2038" s="0" t="inlineStr">
        <is>
          <t>:</t>
        </is>
      </c>
      <c r="E2038" s="0" t="inlineStr">
        <is>
          <t>37.50K</t>
        </is>
      </c>
      <c r="F2038" s="0" t="inlineStr">
        <is>
          <t>(2,</t>
        </is>
      </c>
      <c r="G2038" s="0" t="inlineStr">
        <is>
          <t>7)</t>
        </is>
      </c>
      <c r="K2038" s="0">
        <f>IF(H2037="1)",1,IF(H2037="2)",2,IF(H2037="3)",3,IF(H2037="4)",4,IF(H2037="5)",5,IF(H2037="6)",6,IF(H2037="7)",7,IF(H2037="8)",8,0))))))))</f>
        <v/>
      </c>
      <c r="L2038" s="0">
        <f>IF(H2037="1)",J2037,IF(H2037="2)",J2037,IF(H2037="3)",J2037,IF(H2037="4)",J2037,IF(H2037="5)",J2037,IF(H2037="6)",J2037,IF(H2037="7)",J2037,IF(H2037="8)",J2037,0))))))))</f>
        <v/>
      </c>
    </row>
    <row r="2039">
      <c r="A2039" s="0" t="inlineStr">
        <is>
          <t>New</t>
        </is>
      </c>
      <c r="B2039" s="0" t="inlineStr">
        <is>
          <t>Item</t>
        </is>
      </c>
      <c r="C2039" s="0" t="inlineStr">
        <is>
          <t>Acquired</t>
        </is>
      </c>
      <c r="D2039" s="0" t="inlineStr">
        <is>
          <t>:</t>
        </is>
      </c>
      <c r="E2039" s="0" t="inlineStr">
        <is>
          <t>45.00K</t>
        </is>
      </c>
      <c r="F2039" s="0" t="inlineStr">
        <is>
          <t>(3,</t>
        </is>
      </c>
      <c r="G2039" s="0" t="inlineStr">
        <is>
          <t>3)</t>
        </is>
      </c>
      <c r="K2039" s="0">
        <f>IF(H2038="1)",1,IF(H2038="2)",2,IF(H2038="3)",3,IF(H2038="4)",4,IF(H2038="5)",5,IF(H2038="6)",6,IF(H2038="7)",7,IF(H2038="8)",8,0))))))))</f>
        <v/>
      </c>
      <c r="L2039" s="0">
        <f>IF(H2038="1)",J2038,IF(H2038="2)",J2038,IF(H2038="3)",J2038,IF(H2038="4)",J2038,IF(H2038="5)",J2038,IF(H2038="6)",J2038,IF(H2038="7)",J2038,IF(H2038="8)",J2038,0))))))))</f>
        <v/>
      </c>
    </row>
    <row r="2040">
      <c r="A2040" s="0" t="inlineStr">
        <is>
          <t>Line</t>
        </is>
      </c>
      <c r="B2040" s="0" t="inlineStr">
        <is>
          <t>Prize</t>
        </is>
      </c>
      <c r="C2040" s="0" t="inlineStr">
        <is>
          <t>Acquired</t>
        </is>
      </c>
      <c r="D2040" s="0" t="inlineStr">
        <is>
          <t>:</t>
        </is>
      </c>
      <c r="E2040" s="0" t="inlineStr">
        <is>
          <t>870.00K</t>
        </is>
      </c>
      <c r="F2040" s="0" t="inlineStr">
        <is>
          <t>(Stage</t>
        </is>
      </c>
      <c r="G2040" s="0" t="inlineStr">
        <is>
          <t>:</t>
        </is>
      </c>
      <c r="H2040" s="0" t="inlineStr">
        <is>
          <t>3)</t>
        </is>
      </c>
      <c r="I2040" s="0" t="inlineStr">
        <is>
          <t>-</t>
        </is>
      </c>
      <c r="J2040" s="0" t="n">
        <v>870000</v>
      </c>
      <c r="K2040" s="0">
        <f>IF(H2039="1)",1,IF(H2039="2)",2,IF(H2039="3)",3,IF(H2039="4)",4,IF(H2039="5)",5,IF(H2039="6)",6,IF(H2039="7)",7,IF(H2039="8)",8,0))))))))</f>
        <v/>
      </c>
      <c r="L2040" s="0">
        <f>IF(H2039="1)",J2039,IF(H2039="2)",J2039,IF(H2039="3)",J2039,IF(H2039="4)",J2039,IF(H2039="5)",J2039,IF(H2039="6)",J2039,IF(H2039="7)",J2039,IF(H2039="8)",J2039,0))))))))</f>
        <v/>
      </c>
    </row>
    <row r="2041">
      <c r="A2041" s="0" t="inlineStr">
        <is>
          <t>Clear</t>
        </is>
      </c>
      <c r="B2041" s="0" t="inlineStr">
        <is>
          <t>Gem</t>
        </is>
      </c>
      <c r="C2041" s="0" t="inlineStr">
        <is>
          <t>Acquired</t>
        </is>
      </c>
      <c r="D2041" s="0" t="inlineStr">
        <is>
          <t>:</t>
        </is>
      </c>
      <c r="E2041" s="0" t="n">
        <v>12400</v>
      </c>
      <c r="F2041" s="0" t="inlineStr">
        <is>
          <t>-&gt;</t>
        </is>
      </c>
      <c r="G2041" s="0" t="n">
        <v>12500</v>
      </c>
      <c r="H2041" s="0" t="inlineStr">
        <is>
          <t>(Stage</t>
        </is>
      </c>
      <c r="I2041" s="0" t="inlineStr">
        <is>
          <t>:</t>
        </is>
      </c>
      <c r="J2041" s="0" t="inlineStr">
        <is>
          <t>3)</t>
        </is>
      </c>
      <c r="K2041" s="0">
        <f>IF(H2040="1)",1,IF(H2040="2)",2,IF(H2040="3)",3,IF(H2040="4)",4,IF(H2040="5)",5,IF(H2040="6)",6,IF(H2040="7)",7,IF(H2040="8)",8,0))))))))</f>
        <v/>
      </c>
      <c r="L2041" s="0">
        <f>IF(H2040="1)",J2040,IF(H2040="2)",J2040,IF(H2040="3)",J2040,IF(H2040="4)",J2040,IF(H2040="5)",J2040,IF(H2040="6)",J2040,IF(H2040="7)",J2040,IF(H2040="8)",J2040,0))))))))</f>
        <v/>
      </c>
    </row>
    <row r="2042">
      <c r="A2042" s="0" t="inlineStr">
        <is>
          <t>New</t>
        </is>
      </c>
      <c r="B2042" s="0" t="inlineStr">
        <is>
          <t>Item</t>
        </is>
      </c>
      <c r="C2042" s="0" t="inlineStr">
        <is>
          <t>Acquired</t>
        </is>
      </c>
      <c r="D2042" s="0" t="inlineStr">
        <is>
          <t>:</t>
        </is>
      </c>
      <c r="E2042" s="0" t="inlineStr">
        <is>
          <t>62.50K</t>
        </is>
      </c>
      <c r="F2042" s="0" t="inlineStr">
        <is>
          <t>(2,</t>
        </is>
      </c>
      <c r="G2042" s="0" t="inlineStr">
        <is>
          <t>21)</t>
        </is>
      </c>
      <c r="K2042" s="0">
        <f>IF(H2041="1)",1,IF(H2041="2)",2,IF(H2041="3)",3,IF(H2041="4)",4,IF(H2041="5)",5,IF(H2041="6)",6,IF(H2041="7)",7,IF(H2041="8)",8,0))))))))</f>
        <v/>
      </c>
      <c r="L2042" s="0">
        <f>IF(H2041="1)",J2041,IF(H2041="2)",J2041,IF(H2041="3)",J2041,IF(H2041="4)",J2041,IF(H2041="5)",J2041,IF(H2041="6)",J2041,IF(H2041="7)",J2041,IF(H2041="8)",J2041,0))))))))</f>
        <v/>
      </c>
    </row>
    <row r="2043">
      <c r="A2043" s="0" t="inlineStr">
        <is>
          <t>New</t>
        </is>
      </c>
      <c r="B2043" s="0" t="inlineStr">
        <is>
          <t>Item</t>
        </is>
      </c>
      <c r="C2043" s="0" t="inlineStr">
        <is>
          <t>Acquired</t>
        </is>
      </c>
      <c r="D2043" s="0" t="inlineStr">
        <is>
          <t>:</t>
        </is>
      </c>
      <c r="E2043" s="0" t="inlineStr">
        <is>
          <t>Mini</t>
        </is>
      </c>
      <c r="F2043" s="0" t="inlineStr">
        <is>
          <t>(8,</t>
        </is>
      </c>
      <c r="G2043" s="0" t="inlineStr">
        <is>
          <t>6)</t>
        </is>
      </c>
      <c r="K2043" s="0">
        <f>IF(H2042="1)",1,IF(H2042="2)",2,IF(H2042="3)",3,IF(H2042="4)",4,IF(H2042="5)",5,IF(H2042="6)",6,IF(H2042="7)",7,IF(H2042="8)",8,0))))))))</f>
        <v/>
      </c>
      <c r="L2043" s="0">
        <f>IF(H2042="1)",J2042,IF(H2042="2)",J2042,IF(H2042="3)",J2042,IF(H2042="4)",J2042,IF(H2042="5)",J2042,IF(H2042="6)",J2042,IF(H2042="7)",J2042,IF(H2042="8)",J2042,0))))))))</f>
        <v/>
      </c>
    </row>
    <row r="2044">
      <c r="A2044" s="0" t="inlineStr">
        <is>
          <t>New</t>
        </is>
      </c>
      <c r="B2044" s="0" t="inlineStr">
        <is>
          <t>Item</t>
        </is>
      </c>
      <c r="C2044" s="0" t="inlineStr">
        <is>
          <t>Acquired</t>
        </is>
      </c>
      <c r="D2044" s="0" t="inlineStr">
        <is>
          <t>:</t>
        </is>
      </c>
      <c r="E2044" s="0" t="inlineStr">
        <is>
          <t>30.00K</t>
        </is>
      </c>
      <c r="F2044" s="0" t="inlineStr">
        <is>
          <t>(1,</t>
        </is>
      </c>
      <c r="G2044" s="0" t="inlineStr">
        <is>
          <t>6)</t>
        </is>
      </c>
      <c r="K2044" s="0">
        <f>IF(H2043="1)",1,IF(H2043="2)",2,IF(H2043="3)",3,IF(H2043="4)",4,IF(H2043="5)",5,IF(H2043="6)",6,IF(H2043="7)",7,IF(H2043="8)",8,0))))))))</f>
        <v/>
      </c>
      <c r="L2044" s="0">
        <f>IF(H2043="1)",J2043,IF(H2043="2)",J2043,IF(H2043="3)",J2043,IF(H2043="4)",J2043,IF(H2043="5)",J2043,IF(H2043="6)",J2043,IF(H2043="7)",J2043,IF(H2043="8)",J2043,0))))))))</f>
        <v/>
      </c>
    </row>
    <row r="2045">
      <c r="A2045" s="0" t="inlineStr">
        <is>
          <t>New</t>
        </is>
      </c>
      <c r="B2045" s="0" t="inlineStr">
        <is>
          <t>Item</t>
        </is>
      </c>
      <c r="C2045" s="0" t="inlineStr">
        <is>
          <t>Acquired</t>
        </is>
      </c>
      <c r="D2045" s="0" t="inlineStr">
        <is>
          <t>:</t>
        </is>
      </c>
      <c r="E2045" s="0" t="inlineStr">
        <is>
          <t>105.00K</t>
        </is>
      </c>
      <c r="F2045" s="0" t="inlineStr">
        <is>
          <t>(4,</t>
        </is>
      </c>
      <c r="G2045" s="0" t="inlineStr">
        <is>
          <t>19)</t>
        </is>
      </c>
      <c r="K2045" s="0">
        <f>IF(H2044="1)",1,IF(H2044="2)",2,IF(H2044="3)",3,IF(H2044="4)",4,IF(H2044="5)",5,IF(H2044="6)",6,IF(H2044="7)",7,IF(H2044="8)",8,0))))))))</f>
        <v/>
      </c>
      <c r="L2045" s="0">
        <f>IF(H2044="1)",J2044,IF(H2044="2)",J2044,IF(H2044="3)",J2044,IF(H2044="4)",J2044,IF(H2044="5)",J2044,IF(H2044="6)",J2044,IF(H2044="7)",J2044,IF(H2044="8)",J2044,0))))))))</f>
        <v/>
      </c>
    </row>
    <row r="2046">
      <c r="A2046" s="0" t="inlineStr">
        <is>
          <t>New</t>
        </is>
      </c>
      <c r="B2046" s="0" t="inlineStr">
        <is>
          <t>Item</t>
        </is>
      </c>
      <c r="C2046" s="0" t="inlineStr">
        <is>
          <t>Acquired</t>
        </is>
      </c>
      <c r="D2046" s="0" t="inlineStr">
        <is>
          <t>:</t>
        </is>
      </c>
      <c r="E2046" s="0" t="inlineStr">
        <is>
          <t>Mini</t>
        </is>
      </c>
      <c r="F2046" s="0" t="inlineStr">
        <is>
          <t>(6,</t>
        </is>
      </c>
      <c r="G2046" s="0" t="inlineStr">
        <is>
          <t>8)</t>
        </is>
      </c>
      <c r="K2046" s="0">
        <f>IF(H2045="1)",1,IF(H2045="2)",2,IF(H2045="3)",3,IF(H2045="4)",4,IF(H2045="5)",5,IF(H2045="6)",6,IF(H2045="7)",7,IF(H2045="8)",8,0))))))))</f>
        <v/>
      </c>
      <c r="L2046" s="0">
        <f>IF(H2045="1)",J2045,IF(H2045="2)",J2045,IF(H2045="3)",J2045,IF(H2045="4)",J2045,IF(H2045="5)",J2045,IF(H2045="6)",J2045,IF(H2045="7)",J2045,IF(H2045="8)",J2045,0))))))))</f>
        <v/>
      </c>
    </row>
    <row r="2047">
      <c r="A2047" s="0" t="inlineStr">
        <is>
          <t>New</t>
        </is>
      </c>
      <c r="B2047" s="0" t="inlineStr">
        <is>
          <t>Item</t>
        </is>
      </c>
      <c r="C2047" s="0" t="inlineStr">
        <is>
          <t>Acquired</t>
        </is>
      </c>
      <c r="D2047" s="0" t="inlineStr">
        <is>
          <t>:</t>
        </is>
      </c>
      <c r="E2047" s="0" t="inlineStr">
        <is>
          <t>30.00K</t>
        </is>
      </c>
      <c r="F2047" s="0" t="inlineStr">
        <is>
          <t>(1,</t>
        </is>
      </c>
      <c r="G2047" s="0" t="inlineStr">
        <is>
          <t>22)</t>
        </is>
      </c>
      <c r="K2047" s="0">
        <f>IF(H2046="1)",1,IF(H2046="2)",2,IF(H2046="3)",3,IF(H2046="4)",4,IF(H2046="5)",5,IF(H2046="6)",6,IF(H2046="7)",7,IF(H2046="8)",8,0))))))))</f>
        <v/>
      </c>
      <c r="L2047" s="0">
        <f>IF(H2046="1)",J2046,IF(H2046="2)",J2046,IF(H2046="3)",J2046,IF(H2046="4)",J2046,IF(H2046="5)",J2046,IF(H2046="6)",J2046,IF(H2046="7)",J2046,IF(H2046="8)",J2046,0))))))))</f>
        <v/>
      </c>
    </row>
    <row r="2048">
      <c r="A2048" s="0" t="inlineStr">
        <is>
          <t>New</t>
        </is>
      </c>
      <c r="B2048" s="0" t="inlineStr">
        <is>
          <t>Item</t>
        </is>
      </c>
      <c r="C2048" s="0" t="inlineStr">
        <is>
          <t>Acquired</t>
        </is>
      </c>
      <c r="D2048" s="0" t="inlineStr">
        <is>
          <t>:</t>
        </is>
      </c>
      <c r="E2048" s="0" t="inlineStr">
        <is>
          <t>105.00K</t>
        </is>
      </c>
      <c r="F2048" s="0" t="inlineStr">
        <is>
          <t>(3,</t>
        </is>
      </c>
      <c r="G2048" s="0" t="inlineStr">
        <is>
          <t>10)</t>
        </is>
      </c>
      <c r="K2048" s="0">
        <f>IF(H2047="1)",1,IF(H2047="2)",2,IF(H2047="3)",3,IF(H2047="4)",4,IF(H2047="5)",5,IF(H2047="6)",6,IF(H2047="7)",7,IF(H2047="8)",8,0))))))))</f>
        <v/>
      </c>
      <c r="L2048" s="0">
        <f>IF(H2047="1)",J2047,IF(H2047="2)",J2047,IF(H2047="3)",J2047,IF(H2047="4)",J2047,IF(H2047="5)",J2047,IF(H2047="6)",J2047,IF(H2047="7)",J2047,IF(H2047="8)",J2047,0))))))))</f>
        <v/>
      </c>
    </row>
    <row r="2049">
      <c r="A2049" s="0" t="inlineStr">
        <is>
          <t>New</t>
        </is>
      </c>
      <c r="B2049" s="0" t="inlineStr">
        <is>
          <t>Item</t>
        </is>
      </c>
      <c r="C2049" s="0" t="inlineStr">
        <is>
          <t>Acquired</t>
        </is>
      </c>
      <c r="D2049" s="0" t="inlineStr">
        <is>
          <t>:</t>
        </is>
      </c>
      <c r="E2049" s="0" t="inlineStr">
        <is>
          <t>175.00K</t>
        </is>
      </c>
      <c r="F2049" s="0" t="inlineStr">
        <is>
          <t>(6,</t>
        </is>
      </c>
      <c r="G2049" s="0" t="inlineStr">
        <is>
          <t>11)</t>
        </is>
      </c>
      <c r="K2049" s="0">
        <f>IF(H2048="1)",1,IF(H2048="2)",2,IF(H2048="3)",3,IF(H2048="4)",4,IF(H2048="5)",5,IF(H2048="6)",6,IF(H2048="7)",7,IF(H2048="8)",8,0))))))))</f>
        <v/>
      </c>
      <c r="L2049" s="0">
        <f>IF(H2048="1)",J2048,IF(H2048="2)",J2048,IF(H2048="3)",J2048,IF(H2048="4)",J2048,IF(H2048="5)",J2048,IF(H2048="6)",J2048,IF(H2048="7)",J2048,IF(H2048="8)",J2048,0))))))))</f>
        <v/>
      </c>
    </row>
    <row r="2050">
      <c r="A2050" s="0" t="inlineStr">
        <is>
          <t>New</t>
        </is>
      </c>
      <c r="B2050" s="0" t="inlineStr">
        <is>
          <t>Item</t>
        </is>
      </c>
      <c r="C2050" s="0" t="inlineStr">
        <is>
          <t>Acquired</t>
        </is>
      </c>
      <c r="D2050" s="0" t="inlineStr">
        <is>
          <t>:</t>
        </is>
      </c>
      <c r="E2050" s="0" t="inlineStr">
        <is>
          <t>280.00K</t>
        </is>
      </c>
      <c r="F2050" s="0" t="inlineStr">
        <is>
          <t>(8,</t>
        </is>
      </c>
      <c r="G2050" s="0" t="inlineStr">
        <is>
          <t>15)</t>
        </is>
      </c>
      <c r="K2050" s="0">
        <f>IF(H2049="1)",1,IF(H2049="2)",2,IF(H2049="3)",3,IF(H2049="4)",4,IF(H2049="5)",5,IF(H2049="6)",6,IF(H2049="7)",7,IF(H2049="8)",8,0))))))))</f>
        <v/>
      </c>
      <c r="L2050" s="0">
        <f>IF(H2049="1)",J2049,IF(H2049="2)",J2049,IF(H2049="3)",J2049,IF(H2049="4)",J2049,IF(H2049="5)",J2049,IF(H2049="6)",J2049,IF(H2049="7)",J2049,IF(H2049="8)",J2049,0))))))))</f>
        <v/>
      </c>
    </row>
    <row r="2051">
      <c r="A2051" s="0" t="inlineStr">
        <is>
          <t>New</t>
        </is>
      </c>
      <c r="B2051" s="0" t="inlineStr">
        <is>
          <t>Item</t>
        </is>
      </c>
      <c r="C2051" s="0" t="inlineStr">
        <is>
          <t>Acquired</t>
        </is>
      </c>
      <c r="D2051" s="0" t="inlineStr">
        <is>
          <t>:</t>
        </is>
      </c>
      <c r="E2051" s="0" t="inlineStr">
        <is>
          <t>30.00K</t>
        </is>
      </c>
      <c r="F2051" s="0" t="inlineStr">
        <is>
          <t>(1,</t>
        </is>
      </c>
      <c r="G2051" s="0" t="inlineStr">
        <is>
          <t>25)</t>
        </is>
      </c>
      <c r="K2051" s="0">
        <f>IF(H2050="1)",1,IF(H2050="2)",2,IF(H2050="3)",3,IF(H2050="4)",4,IF(H2050="5)",5,IF(H2050="6)",6,IF(H2050="7)",7,IF(H2050="8)",8,0))))))))</f>
        <v/>
      </c>
      <c r="L2051" s="0">
        <f>IF(H2050="1)",J2050,IF(H2050="2)",J2050,IF(H2050="3)",J2050,IF(H2050="4)",J2050,IF(H2050="5)",J2050,IF(H2050="6)",J2050,IF(H2050="7)",J2050,IF(H2050="8)",J2050,0))))))))</f>
        <v/>
      </c>
    </row>
    <row r="2052">
      <c r="A2052" s="0" t="inlineStr">
        <is>
          <t>New</t>
        </is>
      </c>
      <c r="B2052" s="0" t="inlineStr">
        <is>
          <t>Item</t>
        </is>
      </c>
      <c r="C2052" s="0" t="inlineStr">
        <is>
          <t>Acquired</t>
        </is>
      </c>
      <c r="D2052" s="0" t="inlineStr">
        <is>
          <t>:</t>
        </is>
      </c>
      <c r="E2052" s="0" t="inlineStr">
        <is>
          <t>90.00K</t>
        </is>
      </c>
      <c r="F2052" s="0" t="inlineStr">
        <is>
          <t>(7,</t>
        </is>
      </c>
      <c r="G2052" s="0" t="inlineStr">
        <is>
          <t>3)</t>
        </is>
      </c>
      <c r="K2052" s="0">
        <f>IF(H2051="1)",1,IF(H2051="2)",2,IF(H2051="3)",3,IF(H2051="4)",4,IF(H2051="5)",5,IF(H2051="6)",6,IF(H2051="7)",7,IF(H2051="8)",8,0))))))))</f>
        <v/>
      </c>
      <c r="L2052" s="0">
        <f>IF(H2051="1)",J2051,IF(H2051="2)",J2051,IF(H2051="3)",J2051,IF(H2051="4)",J2051,IF(H2051="5)",J2051,IF(H2051="6)",J2051,IF(H2051="7)",J2051,IF(H2051="8)",J2051,0))))))))</f>
        <v/>
      </c>
    </row>
    <row r="2053">
      <c r="A2053" s="0" t="inlineStr">
        <is>
          <t>New</t>
        </is>
      </c>
      <c r="B2053" s="0" t="inlineStr">
        <is>
          <t>Item</t>
        </is>
      </c>
      <c r="C2053" s="0" t="inlineStr">
        <is>
          <t>Acquired</t>
        </is>
      </c>
      <c r="D2053" s="0" t="inlineStr">
        <is>
          <t>:</t>
        </is>
      </c>
      <c r="E2053" s="0" t="inlineStr">
        <is>
          <t>90.00K</t>
        </is>
      </c>
      <c r="F2053" s="0" t="inlineStr">
        <is>
          <t>(7,</t>
        </is>
      </c>
      <c r="G2053" s="0" t="inlineStr">
        <is>
          <t>11)</t>
        </is>
      </c>
      <c r="K2053" s="0">
        <f>IF(H2052="1)",1,IF(H2052="2)",2,IF(H2052="3)",3,IF(H2052="4)",4,IF(H2052="5)",5,IF(H2052="6)",6,IF(H2052="7)",7,IF(H2052="8)",8,0))))))))</f>
        <v/>
      </c>
      <c r="L2053" s="0">
        <f>IF(H2052="1)",J2052,IF(H2052="2)",J2052,IF(H2052="3)",J2052,IF(H2052="4)",J2052,IF(H2052="5)",J2052,IF(H2052="6)",J2052,IF(H2052="7)",J2052,IF(H2052="8)",J2052,0))))))))</f>
        <v/>
      </c>
    </row>
    <row r="2054">
      <c r="A2054" s="0" t="inlineStr">
        <is>
          <t>New</t>
        </is>
      </c>
      <c r="B2054" s="0" t="inlineStr">
        <is>
          <t>Item</t>
        </is>
      </c>
      <c r="C2054" s="0" t="inlineStr">
        <is>
          <t>Acquired</t>
        </is>
      </c>
      <c r="D2054" s="0" t="inlineStr">
        <is>
          <t>:</t>
        </is>
      </c>
      <c r="E2054" s="0" t="inlineStr">
        <is>
          <t>60.00K</t>
        </is>
      </c>
      <c r="F2054" s="0" t="inlineStr">
        <is>
          <t>(4,</t>
        </is>
      </c>
      <c r="G2054" s="0" t="inlineStr">
        <is>
          <t>2)</t>
        </is>
      </c>
      <c r="K2054" s="0">
        <f>IF(H2053="1)",1,IF(H2053="2)",2,IF(H2053="3)",3,IF(H2053="4)",4,IF(H2053="5)",5,IF(H2053="6)",6,IF(H2053="7)",7,IF(H2053="8)",8,0))))))))</f>
        <v/>
      </c>
      <c r="L2054" s="0">
        <f>IF(H2053="1)",J2053,IF(H2053="2)",J2053,IF(H2053="3)",J2053,IF(H2053="4)",J2053,IF(H2053="5)",J2053,IF(H2053="6)",J2053,IF(H2053="7)",J2053,IF(H2053="8)",J2053,0))))))))</f>
        <v/>
      </c>
    </row>
    <row r="2055">
      <c r="A2055" s="0" t="inlineStr">
        <is>
          <t>New</t>
        </is>
      </c>
      <c r="B2055" s="0" t="inlineStr">
        <is>
          <t>Item</t>
        </is>
      </c>
      <c r="C2055" s="0" t="inlineStr">
        <is>
          <t>Acquired</t>
        </is>
      </c>
      <c r="D2055" s="0" t="inlineStr">
        <is>
          <t>:</t>
        </is>
      </c>
      <c r="E2055" s="0" t="inlineStr">
        <is>
          <t>280.00K</t>
        </is>
      </c>
      <c r="F2055" s="0" t="inlineStr">
        <is>
          <t>(8,</t>
        </is>
      </c>
      <c r="G2055" s="0" t="inlineStr">
        <is>
          <t>10)</t>
        </is>
      </c>
      <c r="K2055" s="0">
        <f>IF(H2054="1)",1,IF(H2054="2)",2,IF(H2054="3)",3,IF(H2054="4)",4,IF(H2054="5)",5,IF(H2054="6)",6,IF(H2054="7)",7,IF(H2054="8)",8,0))))))))</f>
        <v/>
      </c>
      <c r="L2055" s="0">
        <f>IF(H2054="1)",J2054,IF(H2054="2)",J2054,IF(H2054="3)",J2054,IF(H2054="4)",J2054,IF(H2054="5)",J2054,IF(H2054="6)",J2054,IF(H2054="7)",J2054,IF(H2054="8)",J2054,0))))))))</f>
        <v/>
      </c>
    </row>
    <row r="2056">
      <c r="A2056" s="0" t="inlineStr">
        <is>
          <t>New</t>
        </is>
      </c>
      <c r="B2056" s="0" t="inlineStr">
        <is>
          <t>Item</t>
        </is>
      </c>
      <c r="C2056" s="0" t="inlineStr">
        <is>
          <t>Acquired</t>
        </is>
      </c>
      <c r="D2056" s="0" t="inlineStr">
        <is>
          <t>:</t>
        </is>
      </c>
      <c r="E2056" s="0" t="inlineStr">
        <is>
          <t>Mini</t>
        </is>
      </c>
      <c r="F2056" s="0" t="inlineStr">
        <is>
          <t>(6,</t>
        </is>
      </c>
      <c r="G2056" s="0" t="inlineStr">
        <is>
          <t>18)</t>
        </is>
      </c>
      <c r="K2056" s="0">
        <f>IF(H2055="1)",1,IF(H2055="2)",2,IF(H2055="3)",3,IF(H2055="4)",4,IF(H2055="5)",5,IF(H2055="6)",6,IF(H2055="7)",7,IF(H2055="8)",8,0))))))))</f>
        <v/>
      </c>
      <c r="L2056" s="0">
        <f>IF(H2055="1)",J2055,IF(H2055="2)",J2055,IF(H2055="3)",J2055,IF(H2055="4)",J2055,IF(H2055="5)",J2055,IF(H2055="6)",J2055,IF(H2055="7)",J2055,IF(H2055="8)",J2055,0))))))))</f>
        <v/>
      </c>
    </row>
    <row r="2057">
      <c r="A2057" s="0" t="inlineStr">
        <is>
          <t>Line</t>
        </is>
      </c>
      <c r="B2057" s="0" t="inlineStr">
        <is>
          <t>Prize</t>
        </is>
      </c>
      <c r="C2057" s="0" t="inlineStr">
        <is>
          <t>Acquired</t>
        </is>
      </c>
      <c r="D2057" s="0" t="inlineStr">
        <is>
          <t>:</t>
        </is>
      </c>
      <c r="E2057" s="0" t="inlineStr">
        <is>
          <t>2.77M</t>
        </is>
      </c>
      <c r="F2057" s="0" t="inlineStr">
        <is>
          <t>(Stage</t>
        </is>
      </c>
      <c r="G2057" s="0" t="inlineStr">
        <is>
          <t>:</t>
        </is>
      </c>
      <c r="H2057" s="0" t="inlineStr">
        <is>
          <t>6)</t>
        </is>
      </c>
      <c r="I2057" s="0" t="inlineStr">
        <is>
          <t>-</t>
        </is>
      </c>
      <c r="J2057" s="0" t="n">
        <v>2775000</v>
      </c>
      <c r="K2057" s="0">
        <f>IF(H2056="1)",1,IF(H2056="2)",2,IF(H2056="3)",3,IF(H2056="4)",4,IF(H2056="5)",5,IF(H2056="6)",6,IF(H2056="7)",7,IF(H2056="8)",8,0))))))))</f>
        <v/>
      </c>
      <c r="L2057" s="0">
        <f>IF(H2056="1)",J2056,IF(H2056="2)",J2056,IF(H2056="3)",J2056,IF(H2056="4)",J2056,IF(H2056="5)",J2056,IF(H2056="6)",J2056,IF(H2056="7)",J2056,IF(H2056="8)",J2056,0))))))))</f>
        <v/>
      </c>
    </row>
    <row r="2058">
      <c r="A2058" s="0" t="inlineStr">
        <is>
          <t>Clear</t>
        </is>
      </c>
      <c r="B2058" s="0" t="inlineStr">
        <is>
          <t>Gem</t>
        </is>
      </c>
      <c r="C2058" s="0" t="inlineStr">
        <is>
          <t>Acquired</t>
        </is>
      </c>
      <c r="D2058" s="0" t="inlineStr">
        <is>
          <t>:</t>
        </is>
      </c>
      <c r="E2058" s="0" t="n">
        <v>12500</v>
      </c>
      <c r="F2058" s="0" t="inlineStr">
        <is>
          <t>-&gt;</t>
        </is>
      </c>
      <c r="G2058" s="0" t="n">
        <v>12600</v>
      </c>
      <c r="H2058" s="0" t="inlineStr">
        <is>
          <t>(Stage</t>
        </is>
      </c>
      <c r="I2058" s="0" t="inlineStr">
        <is>
          <t>:</t>
        </is>
      </c>
      <c r="J2058" s="0" t="inlineStr">
        <is>
          <t>6)</t>
        </is>
      </c>
      <c r="K2058" s="0">
        <f>IF(H2057="1)",1,IF(H2057="2)",2,IF(H2057="3)",3,IF(H2057="4)",4,IF(H2057="5)",5,IF(H2057="6)",6,IF(H2057="7)",7,IF(H2057="8)",8,0))))))))</f>
        <v/>
      </c>
      <c r="L2058" s="0">
        <f>IF(H2057="1)",J2057,IF(H2057="2)",J2057,IF(H2057="3)",J2057,IF(H2057="4)",J2057,IF(H2057="5)",J2057,IF(H2057="6)",J2057,IF(H2057="7)",J2057,IF(H2057="8)",J2057,0))))))))</f>
        <v/>
      </c>
    </row>
    <row r="2059">
      <c r="A2059" s="0" t="inlineStr">
        <is>
          <t>New</t>
        </is>
      </c>
      <c r="B2059" s="0" t="inlineStr">
        <is>
          <t>Item</t>
        </is>
      </c>
      <c r="C2059" s="0" t="inlineStr">
        <is>
          <t>Acquired</t>
        </is>
      </c>
      <c r="D2059" s="0" t="inlineStr">
        <is>
          <t>:</t>
        </is>
      </c>
      <c r="E2059" s="0" t="inlineStr">
        <is>
          <t>Mini</t>
        </is>
      </c>
      <c r="F2059" s="0" t="inlineStr">
        <is>
          <t>(4,</t>
        </is>
      </c>
      <c r="G2059" s="0" t="inlineStr">
        <is>
          <t>18)</t>
        </is>
      </c>
      <c r="K2059" s="0">
        <f>IF(H2058="1)",1,IF(H2058="2)",2,IF(H2058="3)",3,IF(H2058="4)",4,IF(H2058="5)",5,IF(H2058="6)",6,IF(H2058="7)",7,IF(H2058="8)",8,0))))))))</f>
        <v/>
      </c>
      <c r="L2059" s="0">
        <f>IF(H2058="1)",J2058,IF(H2058="2)",J2058,IF(H2058="3)",J2058,IF(H2058="4)",J2058,IF(H2058="5)",J2058,IF(H2058="6)",J2058,IF(H2058="7)",J2058,IF(H2058="8)",J2058,0))))))))</f>
        <v/>
      </c>
    </row>
    <row r="2060">
      <c r="A2060" s="0" t="inlineStr">
        <is>
          <t>New</t>
        </is>
      </c>
      <c r="B2060" s="0" t="inlineStr">
        <is>
          <t>Item</t>
        </is>
      </c>
      <c r="C2060" s="0" t="inlineStr">
        <is>
          <t>Acquired</t>
        </is>
      </c>
      <c r="D2060" s="0" t="inlineStr">
        <is>
          <t>:</t>
        </is>
      </c>
      <c r="E2060" s="0" t="inlineStr">
        <is>
          <t>75.00K</t>
        </is>
      </c>
      <c r="F2060" s="0" t="inlineStr">
        <is>
          <t>(6,</t>
        </is>
      </c>
      <c r="G2060" s="0" t="inlineStr">
        <is>
          <t>19)</t>
        </is>
      </c>
      <c r="K2060" s="0">
        <f>IF(H2059="1)",1,IF(H2059="2)",2,IF(H2059="3)",3,IF(H2059="4)",4,IF(H2059="5)",5,IF(H2059="6)",6,IF(H2059="7)",7,IF(H2059="8)",8,0))))))))</f>
        <v/>
      </c>
      <c r="L2060" s="0">
        <f>IF(H2059="1)",J2059,IF(H2059="2)",J2059,IF(H2059="3)",J2059,IF(H2059="4)",J2059,IF(H2059="5)",J2059,IF(H2059="6)",J2059,IF(H2059="7)",J2059,IF(H2059="8)",J2059,0))))))))</f>
        <v/>
      </c>
    </row>
    <row r="2061">
      <c r="A2061" s="0" t="inlineStr">
        <is>
          <t>New</t>
        </is>
      </c>
      <c r="B2061" s="0" t="inlineStr">
        <is>
          <t>Item</t>
        </is>
      </c>
      <c r="C2061" s="0" t="inlineStr">
        <is>
          <t>Acquired</t>
        </is>
      </c>
      <c r="D2061" s="0" t="inlineStr">
        <is>
          <t>:</t>
        </is>
      </c>
      <c r="E2061" s="0" t="inlineStr">
        <is>
          <t>50.00K</t>
        </is>
      </c>
      <c r="F2061" s="0" t="inlineStr">
        <is>
          <t>(1,</t>
        </is>
      </c>
      <c r="G2061" s="0" t="inlineStr">
        <is>
          <t>9)</t>
        </is>
      </c>
      <c r="K2061" s="0">
        <f>IF(H2060="1)",1,IF(H2060="2)",2,IF(H2060="3)",3,IF(H2060="4)",4,IF(H2060="5)",5,IF(H2060="6)",6,IF(H2060="7)",7,IF(H2060="8)",8,0))))))))</f>
        <v/>
      </c>
      <c r="L2061" s="0">
        <f>IF(H2060="1)",J2060,IF(H2060="2)",J2060,IF(H2060="3)",J2060,IF(H2060="4)",J2060,IF(H2060="5)",J2060,IF(H2060="6)",J2060,IF(H2060="7)",J2060,IF(H2060="8)",J2060,0))))))))</f>
        <v/>
      </c>
    </row>
    <row r="2062">
      <c r="A2062" s="0" t="inlineStr">
        <is>
          <t>Line</t>
        </is>
      </c>
      <c r="B2062" s="0" t="inlineStr">
        <is>
          <t>Prize</t>
        </is>
      </c>
      <c r="C2062" s="0" t="inlineStr">
        <is>
          <t>Acquired</t>
        </is>
      </c>
      <c r="D2062" s="0" t="inlineStr">
        <is>
          <t>:</t>
        </is>
      </c>
      <c r="E2062" s="0" t="inlineStr">
        <is>
          <t>190.00K</t>
        </is>
      </c>
      <c r="F2062" s="0" t="inlineStr">
        <is>
          <t>(Stage</t>
        </is>
      </c>
      <c r="G2062" s="0" t="inlineStr">
        <is>
          <t>:</t>
        </is>
      </c>
      <c r="H2062" s="0" t="inlineStr">
        <is>
          <t>1)</t>
        </is>
      </c>
      <c r="I2062" s="0" t="inlineStr">
        <is>
          <t>-</t>
        </is>
      </c>
      <c r="J2062" s="0" t="n">
        <v>190000</v>
      </c>
      <c r="K2062" s="0">
        <f>IF(H2061="1)",1,IF(H2061="2)",2,IF(H2061="3)",3,IF(H2061="4)",4,IF(H2061="5)",5,IF(H2061="6)",6,IF(H2061="7)",7,IF(H2061="8)",8,0))))))))</f>
        <v/>
      </c>
      <c r="L2062" s="0">
        <f>IF(H2061="1)",J2061,IF(H2061="2)",J2061,IF(H2061="3)",J2061,IF(H2061="4)",J2061,IF(H2061="5)",J2061,IF(H2061="6)",J2061,IF(H2061="7)",J2061,IF(H2061="8)",J2061,0))))))))</f>
        <v/>
      </c>
    </row>
    <row r="2063">
      <c r="A2063" s="0" t="inlineStr">
        <is>
          <t>Clear</t>
        </is>
      </c>
      <c r="B2063" s="0" t="inlineStr">
        <is>
          <t>Gem</t>
        </is>
      </c>
      <c r="C2063" s="0" t="inlineStr">
        <is>
          <t>Acquired</t>
        </is>
      </c>
      <c r="D2063" s="0" t="inlineStr">
        <is>
          <t>:</t>
        </is>
      </c>
      <c r="E2063" s="0" t="n">
        <v>12600</v>
      </c>
      <c r="F2063" s="0" t="inlineStr">
        <is>
          <t>-&gt;</t>
        </is>
      </c>
      <c r="G2063" s="0" t="n">
        <v>12700</v>
      </c>
      <c r="H2063" s="0" t="inlineStr">
        <is>
          <t>(Stage</t>
        </is>
      </c>
      <c r="I2063" s="0" t="inlineStr">
        <is>
          <t>:</t>
        </is>
      </c>
      <c r="J2063" s="0" t="inlineStr">
        <is>
          <t>1)</t>
        </is>
      </c>
      <c r="K2063" s="0">
        <f>IF(H2062="1)",1,IF(H2062="2)",2,IF(H2062="3)",3,IF(H2062="4)",4,IF(H2062="5)",5,IF(H2062="6)",6,IF(H2062="7)",7,IF(H2062="8)",8,0))))))))</f>
        <v/>
      </c>
      <c r="L2063" s="0">
        <f>IF(H2062="1)",J2062,IF(H2062="2)",J2062,IF(H2062="3)",J2062,IF(H2062="4)",J2062,IF(H2062="5)",J2062,IF(H2062="6)",J2062,IF(H2062="7)",J2062,IF(H2062="8)",J2062,0))))))))</f>
        <v/>
      </c>
    </row>
    <row r="2064">
      <c r="A2064" s="0" t="inlineStr">
        <is>
          <t>New</t>
        </is>
      </c>
      <c r="B2064" s="0" t="inlineStr">
        <is>
          <t>Item</t>
        </is>
      </c>
      <c r="C2064" s="0" t="inlineStr">
        <is>
          <t>Acquired</t>
        </is>
      </c>
      <c r="D2064" s="0" t="inlineStr">
        <is>
          <t>:</t>
        </is>
      </c>
      <c r="E2064" s="0" t="inlineStr">
        <is>
          <t>60.00K</t>
        </is>
      </c>
      <c r="F2064" s="0" t="inlineStr">
        <is>
          <t>(4,</t>
        </is>
      </c>
      <c r="G2064" s="0" t="inlineStr">
        <is>
          <t>3)</t>
        </is>
      </c>
      <c r="K2064" s="0">
        <f>IF(H2063="1)",1,IF(H2063="2)",2,IF(H2063="3)",3,IF(H2063="4)",4,IF(H2063="5)",5,IF(H2063="6)",6,IF(H2063="7)",7,IF(H2063="8)",8,0))))))))</f>
        <v/>
      </c>
      <c r="L2064" s="0">
        <f>IF(H2063="1)",J2063,IF(H2063="2)",J2063,IF(H2063="3)",J2063,IF(H2063="4)",J2063,IF(H2063="5)",J2063,IF(H2063="6)",J2063,IF(H2063="7)",J2063,IF(H2063="8)",J2063,0))))))))</f>
        <v/>
      </c>
    </row>
    <row r="2065">
      <c r="A2065" s="0" t="inlineStr">
        <is>
          <t>New</t>
        </is>
      </c>
      <c r="B2065" s="0" t="inlineStr">
        <is>
          <t>Item</t>
        </is>
      </c>
      <c r="C2065" s="0" t="inlineStr">
        <is>
          <t>Acquired</t>
        </is>
      </c>
      <c r="D2065" s="0" t="inlineStr">
        <is>
          <t>:</t>
        </is>
      </c>
      <c r="E2065" s="0" t="inlineStr">
        <is>
          <t>70.00K</t>
        </is>
      </c>
      <c r="F2065" s="0" t="inlineStr">
        <is>
          <t>(1,</t>
        </is>
      </c>
      <c r="G2065" s="0" t="inlineStr">
        <is>
          <t>3)</t>
        </is>
      </c>
      <c r="K2065" s="0">
        <f>IF(H2064="1)",1,IF(H2064="2)",2,IF(H2064="3)",3,IF(H2064="4)",4,IF(H2064="5)",5,IF(H2064="6)",6,IF(H2064="7)",7,IF(H2064="8)",8,0))))))))</f>
        <v/>
      </c>
      <c r="L2065" s="0">
        <f>IF(H2064="1)",J2064,IF(H2064="2)",J2064,IF(H2064="3)",J2064,IF(H2064="4)",J2064,IF(H2064="5)",J2064,IF(H2064="6)",J2064,IF(H2064="7)",J2064,IF(H2064="8)",J2064,0))))))))</f>
        <v/>
      </c>
    </row>
    <row r="2066">
      <c r="A2066" s="0" t="inlineStr">
        <is>
          <t>New</t>
        </is>
      </c>
      <c r="B2066" s="0" t="inlineStr">
        <is>
          <t>Item</t>
        </is>
      </c>
      <c r="C2066" s="0" t="inlineStr">
        <is>
          <t>Acquired</t>
        </is>
      </c>
      <c r="D2066" s="0" t="inlineStr">
        <is>
          <t>:</t>
        </is>
      </c>
      <c r="E2066" s="0" t="inlineStr">
        <is>
          <t>75.00K</t>
        </is>
      </c>
      <c r="F2066" s="0" t="inlineStr">
        <is>
          <t>(3,</t>
        </is>
      </c>
      <c r="G2066" s="0" t="inlineStr">
        <is>
          <t>19)</t>
        </is>
      </c>
      <c r="K2066" s="0">
        <f>IF(H2065="1)",1,IF(H2065="2)",2,IF(H2065="3)",3,IF(H2065="4)",4,IF(H2065="5)",5,IF(H2065="6)",6,IF(H2065="7)",7,IF(H2065="8)",8,0))))))))</f>
        <v/>
      </c>
      <c r="L2066" s="0">
        <f>IF(H2065="1)",J2065,IF(H2065="2)",J2065,IF(H2065="3)",J2065,IF(H2065="4)",J2065,IF(H2065="5)",J2065,IF(H2065="6)",J2065,IF(H2065="7)",J2065,IF(H2065="8)",J2065,0))))))))</f>
        <v/>
      </c>
    </row>
    <row r="2067">
      <c r="A2067" s="0" t="inlineStr">
        <is>
          <t>New</t>
        </is>
      </c>
      <c r="B2067" s="0" t="inlineStr">
        <is>
          <t>Item</t>
        </is>
      </c>
      <c r="C2067" s="0" t="inlineStr">
        <is>
          <t>Acquired</t>
        </is>
      </c>
      <c r="D2067" s="0" t="inlineStr">
        <is>
          <t>:</t>
        </is>
      </c>
      <c r="E2067" s="0" t="inlineStr">
        <is>
          <t>75.00K</t>
        </is>
      </c>
      <c r="F2067" s="0" t="inlineStr">
        <is>
          <t>(6,</t>
        </is>
      </c>
      <c r="G2067" s="0" t="inlineStr">
        <is>
          <t>17)</t>
        </is>
      </c>
      <c r="K2067" s="0">
        <f>IF(H2066="1)",1,IF(H2066="2)",2,IF(H2066="3)",3,IF(H2066="4)",4,IF(H2066="5)",5,IF(H2066="6)",6,IF(H2066="7)",7,IF(H2066="8)",8,0))))))))</f>
        <v/>
      </c>
      <c r="L2067" s="0">
        <f>IF(H2066="1)",J2066,IF(H2066="2)",J2066,IF(H2066="3)",J2066,IF(H2066="4)",J2066,IF(H2066="5)",J2066,IF(H2066="6)",J2066,IF(H2066="7)",J2066,IF(H2066="8)",J2066,0))))))))</f>
        <v/>
      </c>
    </row>
    <row r="2068">
      <c r="A2068" s="0" t="inlineStr">
        <is>
          <t>New</t>
        </is>
      </c>
      <c r="B2068" s="0" t="inlineStr">
        <is>
          <t>Item</t>
        </is>
      </c>
      <c r="C2068" s="0" t="inlineStr">
        <is>
          <t>Acquired</t>
        </is>
      </c>
      <c r="D2068" s="0" t="inlineStr">
        <is>
          <t>:</t>
        </is>
      </c>
      <c r="E2068" s="0" t="inlineStr">
        <is>
          <t>45.00K</t>
        </is>
      </c>
      <c r="F2068" s="0" t="inlineStr">
        <is>
          <t>(3,</t>
        </is>
      </c>
      <c r="G2068" s="0" t="inlineStr">
        <is>
          <t>21)</t>
        </is>
      </c>
      <c r="K2068" s="0">
        <f>IF(H2067="1)",1,IF(H2067="2)",2,IF(H2067="3)",3,IF(H2067="4)",4,IF(H2067="5)",5,IF(H2067="6)",6,IF(H2067="7)",7,IF(H2067="8)",8,0))))))))</f>
        <v/>
      </c>
      <c r="L2068" s="0">
        <f>IF(H2067="1)",J2067,IF(H2067="2)",J2067,IF(H2067="3)",J2067,IF(H2067="4)",J2067,IF(H2067="5)",J2067,IF(H2067="6)",J2067,IF(H2067="7)",J2067,IF(H2067="8)",J2067,0))))))))</f>
        <v/>
      </c>
    </row>
    <row r="2069">
      <c r="A2069" s="0" t="inlineStr">
        <is>
          <t>New</t>
        </is>
      </c>
      <c r="B2069" s="0" t="inlineStr">
        <is>
          <t>Item</t>
        </is>
      </c>
      <c r="C2069" s="0" t="inlineStr">
        <is>
          <t>Acquired</t>
        </is>
      </c>
      <c r="D2069" s="0" t="inlineStr">
        <is>
          <t>:</t>
        </is>
      </c>
      <c r="E2069" s="0" t="inlineStr">
        <is>
          <t>45.00K</t>
        </is>
      </c>
      <c r="F2069" s="0" t="inlineStr">
        <is>
          <t>(3,</t>
        </is>
      </c>
      <c r="G2069" s="0" t="inlineStr">
        <is>
          <t>4)</t>
        </is>
      </c>
      <c r="K2069" s="0">
        <f>IF(H2068="1)",1,IF(H2068="2)",2,IF(H2068="3)",3,IF(H2068="4)",4,IF(H2068="5)",5,IF(H2068="6)",6,IF(H2068="7)",7,IF(H2068="8)",8,0))))))))</f>
        <v/>
      </c>
      <c r="L2069" s="0">
        <f>IF(H2068="1)",J2068,IF(H2068="2)",J2068,IF(H2068="3)",J2068,IF(H2068="4)",J2068,IF(H2068="5)",J2068,IF(H2068="6)",J2068,IF(H2068="7)",J2068,IF(H2068="8)",J2068,0))))))))</f>
        <v/>
      </c>
    </row>
    <row r="2070">
      <c r="A2070" s="0" t="inlineStr">
        <is>
          <t>New</t>
        </is>
      </c>
      <c r="B2070" s="0" t="inlineStr">
        <is>
          <t>Item</t>
        </is>
      </c>
      <c r="C2070" s="0" t="inlineStr">
        <is>
          <t>Acquired</t>
        </is>
      </c>
      <c r="D2070" s="0" t="inlineStr">
        <is>
          <t>:</t>
        </is>
      </c>
      <c r="E2070" s="0" t="inlineStr">
        <is>
          <t>150.00K</t>
        </is>
      </c>
      <c r="F2070" s="0" t="inlineStr">
        <is>
          <t>(7,</t>
        </is>
      </c>
      <c r="G2070" s="0" t="inlineStr">
        <is>
          <t>18)</t>
        </is>
      </c>
      <c r="K2070" s="0">
        <f>IF(H2069="1)",1,IF(H2069="2)",2,IF(H2069="3)",3,IF(H2069="4)",4,IF(H2069="5)",5,IF(H2069="6)",6,IF(H2069="7)",7,IF(H2069="8)",8,0))))))))</f>
        <v/>
      </c>
      <c r="L2070" s="0">
        <f>IF(H2069="1)",J2069,IF(H2069="2)",J2069,IF(H2069="3)",J2069,IF(H2069="4)",J2069,IF(H2069="5)",J2069,IF(H2069="6)",J2069,IF(H2069="7)",J2069,IF(H2069="8)",J2069,0))))))))</f>
        <v/>
      </c>
    </row>
    <row r="2071">
      <c r="A2071" s="0" t="inlineStr">
        <is>
          <t>New</t>
        </is>
      </c>
      <c r="B2071" s="0" t="inlineStr">
        <is>
          <t>Item</t>
        </is>
      </c>
      <c r="C2071" s="0" t="inlineStr">
        <is>
          <t>Acquired</t>
        </is>
      </c>
      <c r="D2071" s="0" t="inlineStr">
        <is>
          <t>:</t>
        </is>
      </c>
      <c r="E2071" s="0" t="inlineStr">
        <is>
          <t>120.00K</t>
        </is>
      </c>
      <c r="F2071" s="0" t="inlineStr">
        <is>
          <t>(8,</t>
        </is>
      </c>
      <c r="G2071" s="0" t="inlineStr">
        <is>
          <t>12)</t>
        </is>
      </c>
      <c r="K2071" s="0">
        <f>IF(H2070="1)",1,IF(H2070="2)",2,IF(H2070="3)",3,IF(H2070="4)",4,IF(H2070="5)",5,IF(H2070="6)",6,IF(H2070="7)",7,IF(H2070="8)",8,0))))))))</f>
        <v/>
      </c>
      <c r="L2071" s="0">
        <f>IF(H2070="1)",J2070,IF(H2070="2)",J2070,IF(H2070="3)",J2070,IF(H2070="4)",J2070,IF(H2070="5)",J2070,IF(H2070="6)",J2070,IF(H2070="7)",J2070,IF(H2070="8)",J2070,0))))))))</f>
        <v/>
      </c>
    </row>
    <row r="2072">
      <c r="A2072" s="0" t="inlineStr">
        <is>
          <t>New</t>
        </is>
      </c>
      <c r="B2072" s="0" t="inlineStr">
        <is>
          <t>Item</t>
        </is>
      </c>
      <c r="C2072" s="0" t="inlineStr">
        <is>
          <t>Acquired</t>
        </is>
      </c>
      <c r="D2072" s="0" t="inlineStr">
        <is>
          <t>:</t>
        </is>
      </c>
      <c r="E2072" s="0" t="inlineStr">
        <is>
          <t>45.00K</t>
        </is>
      </c>
      <c r="F2072" s="0" t="inlineStr">
        <is>
          <t>(3,</t>
        </is>
      </c>
      <c r="G2072" s="0" t="inlineStr">
        <is>
          <t>5)</t>
        </is>
      </c>
      <c r="K2072" s="0">
        <f>IF(H2071="1)",1,IF(H2071="2)",2,IF(H2071="3)",3,IF(H2071="4)",4,IF(H2071="5)",5,IF(H2071="6)",6,IF(H2071="7)",7,IF(H2071="8)",8,0))))))))</f>
        <v/>
      </c>
      <c r="L2072" s="0">
        <f>IF(H2071="1)",J2071,IF(H2071="2)",J2071,IF(H2071="3)",J2071,IF(H2071="4)",J2071,IF(H2071="5)",J2071,IF(H2071="6)",J2071,IF(H2071="7)",J2071,IF(H2071="8)",J2071,0))))))))</f>
        <v/>
      </c>
    </row>
    <row r="2073">
      <c r="A2073" s="0" t="inlineStr">
        <is>
          <t>New</t>
        </is>
      </c>
      <c r="B2073" s="0" t="inlineStr">
        <is>
          <t>Item</t>
        </is>
      </c>
      <c r="C2073" s="0" t="inlineStr">
        <is>
          <t>Acquired</t>
        </is>
      </c>
      <c r="D2073" s="0" t="inlineStr">
        <is>
          <t>:</t>
        </is>
      </c>
      <c r="E2073" s="0" t="inlineStr">
        <is>
          <t>62.50K</t>
        </is>
      </c>
      <c r="F2073" s="0" t="inlineStr">
        <is>
          <t>(2,</t>
        </is>
      </c>
      <c r="G2073" s="0" t="inlineStr">
        <is>
          <t>1)</t>
        </is>
      </c>
      <c r="K2073" s="0">
        <f>IF(H2072="1)",1,IF(H2072="2)",2,IF(H2072="3)",3,IF(H2072="4)",4,IF(H2072="5)",5,IF(H2072="6)",6,IF(H2072="7)",7,IF(H2072="8)",8,0))))))))</f>
        <v/>
      </c>
      <c r="L2073" s="0">
        <f>IF(H2072="1)",J2072,IF(H2072="2)",J2072,IF(H2072="3)",J2072,IF(H2072="4)",J2072,IF(H2072="5)",J2072,IF(H2072="6)",J2072,IF(H2072="7)",J2072,IF(H2072="8)",J2072,0))))))))</f>
        <v/>
      </c>
    </row>
    <row r="2074">
      <c r="A2074" s="0" t="inlineStr">
        <is>
          <t>New</t>
        </is>
      </c>
      <c r="B2074" s="0" t="inlineStr">
        <is>
          <t>Item</t>
        </is>
      </c>
      <c r="C2074" s="0" t="inlineStr">
        <is>
          <t>Acquired</t>
        </is>
      </c>
      <c r="D2074" s="0" t="inlineStr">
        <is>
          <t>:</t>
        </is>
      </c>
      <c r="E2074" s="0" t="inlineStr">
        <is>
          <t>45.00K</t>
        </is>
      </c>
      <c r="F2074" s="0" t="inlineStr">
        <is>
          <t>(3,</t>
        </is>
      </c>
      <c r="G2074" s="0" t="inlineStr">
        <is>
          <t>8)</t>
        </is>
      </c>
      <c r="K2074" s="0">
        <f>IF(H2073="1)",1,IF(H2073="2)",2,IF(H2073="3)",3,IF(H2073="4)",4,IF(H2073="5)",5,IF(H2073="6)",6,IF(H2073="7)",7,IF(H2073="8)",8,0))))))))</f>
        <v/>
      </c>
      <c r="L2074" s="0">
        <f>IF(H2073="1)",J2073,IF(H2073="2)",J2073,IF(H2073="3)",J2073,IF(H2073="4)",J2073,IF(H2073="5)",J2073,IF(H2073="6)",J2073,IF(H2073="7)",J2073,IF(H2073="8)",J2073,0))))))))</f>
        <v/>
      </c>
    </row>
    <row r="2075">
      <c r="A2075" s="0" t="inlineStr">
        <is>
          <t>New</t>
        </is>
      </c>
      <c r="B2075" s="0" t="inlineStr">
        <is>
          <t>Item</t>
        </is>
      </c>
      <c r="C2075" s="0" t="inlineStr">
        <is>
          <t>Acquired</t>
        </is>
      </c>
      <c r="D2075" s="0" t="inlineStr">
        <is>
          <t>:</t>
        </is>
      </c>
      <c r="E2075" s="0" t="inlineStr">
        <is>
          <t>60.00K</t>
        </is>
      </c>
      <c r="F2075" s="0" t="inlineStr">
        <is>
          <t>(4,</t>
        </is>
      </c>
      <c r="G2075" s="0" t="inlineStr">
        <is>
          <t>24)</t>
        </is>
      </c>
      <c r="K2075" s="0">
        <f>IF(H2074="1)",1,IF(H2074="2)",2,IF(H2074="3)",3,IF(H2074="4)",4,IF(H2074="5)",5,IF(H2074="6)",6,IF(H2074="7)",7,IF(H2074="8)",8,0))))))))</f>
        <v/>
      </c>
      <c r="L2075" s="0">
        <f>IF(H2074="1)",J2074,IF(H2074="2)",J2074,IF(H2074="3)",J2074,IF(H2074="4)",J2074,IF(H2074="5)",J2074,IF(H2074="6)",J2074,IF(H2074="7)",J2074,IF(H2074="8)",J2074,0))))))))</f>
        <v/>
      </c>
    </row>
    <row r="2076">
      <c r="A2076" s="0" t="inlineStr">
        <is>
          <t>New</t>
        </is>
      </c>
      <c r="B2076" s="0" t="inlineStr">
        <is>
          <t>Item</t>
        </is>
      </c>
      <c r="C2076" s="0" t="inlineStr">
        <is>
          <t>Acquired</t>
        </is>
      </c>
      <c r="D2076" s="0" t="inlineStr">
        <is>
          <t>:</t>
        </is>
      </c>
      <c r="E2076" s="0" t="inlineStr">
        <is>
          <t>62.50K</t>
        </is>
      </c>
      <c r="F2076" s="0" t="inlineStr">
        <is>
          <t>(2,</t>
        </is>
      </c>
      <c r="G2076" s="0" t="inlineStr">
        <is>
          <t>6)</t>
        </is>
      </c>
      <c r="K2076" s="0">
        <f>IF(H2075="1)",1,IF(H2075="2)",2,IF(H2075="3)",3,IF(H2075="4)",4,IF(H2075="5)",5,IF(H2075="6)",6,IF(H2075="7)",7,IF(H2075="8)",8,0))))))))</f>
        <v/>
      </c>
      <c r="L2076" s="0">
        <f>IF(H2075="1)",J2075,IF(H2075="2)",J2075,IF(H2075="3)",J2075,IF(H2075="4)",J2075,IF(H2075="5)",J2075,IF(H2075="6)",J2075,IF(H2075="7)",J2075,IF(H2075="8)",J2075,0))))))))</f>
        <v/>
      </c>
    </row>
    <row r="2077">
      <c r="A2077" s="0" t="inlineStr">
        <is>
          <t>New</t>
        </is>
      </c>
      <c r="B2077" s="0" t="inlineStr">
        <is>
          <t>Item</t>
        </is>
      </c>
      <c r="C2077" s="0" t="inlineStr">
        <is>
          <t>Acquired</t>
        </is>
      </c>
      <c r="D2077" s="0" t="inlineStr">
        <is>
          <t>:</t>
        </is>
      </c>
      <c r="E2077" s="0" t="inlineStr">
        <is>
          <t>175.00K</t>
        </is>
      </c>
      <c r="F2077" s="0" t="inlineStr">
        <is>
          <t>(6,</t>
        </is>
      </c>
      <c r="G2077" s="0" t="inlineStr">
        <is>
          <t>14)</t>
        </is>
      </c>
      <c r="K2077" s="0">
        <f>IF(H2076="1)",1,IF(H2076="2)",2,IF(H2076="3)",3,IF(H2076="4)",4,IF(H2076="5)",5,IF(H2076="6)",6,IF(H2076="7)",7,IF(H2076="8)",8,0))))))))</f>
        <v/>
      </c>
      <c r="L2077" s="0">
        <f>IF(H2076="1)",J2076,IF(H2076="2)",J2076,IF(H2076="3)",J2076,IF(H2076="4)",J2076,IF(H2076="5)",J2076,IF(H2076="6)",J2076,IF(H2076="7)",J2076,IF(H2076="8)",J2076,0))))))))</f>
        <v/>
      </c>
    </row>
    <row r="2078">
      <c r="A2078" s="0" t="inlineStr">
        <is>
          <t>New</t>
        </is>
      </c>
      <c r="B2078" s="0" t="inlineStr">
        <is>
          <t>Item</t>
        </is>
      </c>
      <c r="C2078" s="0" t="inlineStr">
        <is>
          <t>Acquired</t>
        </is>
      </c>
      <c r="D2078" s="0" t="inlineStr">
        <is>
          <t>:</t>
        </is>
      </c>
      <c r="E2078" s="0" t="inlineStr">
        <is>
          <t>60.00K</t>
        </is>
      </c>
      <c r="F2078" s="0" t="inlineStr">
        <is>
          <t>(4,</t>
        </is>
      </c>
      <c r="G2078" s="0" t="inlineStr">
        <is>
          <t>12)</t>
        </is>
      </c>
      <c r="K2078" s="0">
        <f>IF(H2077="1)",1,IF(H2077="2)",2,IF(H2077="3)",3,IF(H2077="4)",4,IF(H2077="5)",5,IF(H2077="6)",6,IF(H2077="7)",7,IF(H2077="8)",8,0))))))))</f>
        <v/>
      </c>
      <c r="L2078" s="0">
        <f>IF(H2077="1)",J2077,IF(H2077="2)",J2077,IF(H2077="3)",J2077,IF(H2077="4)",J2077,IF(H2077="5)",J2077,IF(H2077="6)",J2077,IF(H2077="7)",J2077,IF(H2077="8)",J2077,0))))))))</f>
        <v/>
      </c>
    </row>
    <row r="2079">
      <c r="A2079" s="0" t="inlineStr">
        <is>
          <t>New</t>
        </is>
      </c>
      <c r="B2079" s="0" t="inlineStr">
        <is>
          <t>Item</t>
        </is>
      </c>
      <c r="C2079" s="0" t="inlineStr">
        <is>
          <t>Acquired</t>
        </is>
      </c>
      <c r="D2079" s="0" t="inlineStr">
        <is>
          <t>:</t>
        </is>
      </c>
      <c r="E2079" s="0" t="inlineStr">
        <is>
          <t>67.50K</t>
        </is>
      </c>
      <c r="F2079" s="0" t="inlineStr">
        <is>
          <t>(5,</t>
        </is>
      </c>
      <c r="G2079" s="0" t="inlineStr">
        <is>
          <t>17)</t>
        </is>
      </c>
      <c r="K2079" s="0">
        <f>IF(H2078="1)",1,IF(H2078="2)",2,IF(H2078="3)",3,IF(H2078="4)",4,IF(H2078="5)",5,IF(H2078="6)",6,IF(H2078="7)",7,IF(H2078="8)",8,0))))))))</f>
        <v/>
      </c>
      <c r="L2079" s="0">
        <f>IF(H2078="1)",J2078,IF(H2078="2)",J2078,IF(H2078="3)",J2078,IF(H2078="4)",J2078,IF(H2078="5)",J2078,IF(H2078="6)",J2078,IF(H2078="7)",J2078,IF(H2078="8)",J2078,0))))))))</f>
        <v/>
      </c>
    </row>
    <row r="2080">
      <c r="A2080" s="0" t="inlineStr">
        <is>
          <t>New</t>
        </is>
      </c>
      <c r="B2080" s="0" t="inlineStr">
        <is>
          <t>Item</t>
        </is>
      </c>
      <c r="C2080" s="0" t="inlineStr">
        <is>
          <t>Acquired</t>
        </is>
      </c>
      <c r="D2080" s="0" t="inlineStr">
        <is>
          <t>:</t>
        </is>
      </c>
      <c r="E2080" s="0" t="inlineStr">
        <is>
          <t>62.50K</t>
        </is>
      </c>
      <c r="F2080" s="0" t="inlineStr">
        <is>
          <t>(2,</t>
        </is>
      </c>
      <c r="G2080" s="0" t="inlineStr">
        <is>
          <t>14)</t>
        </is>
      </c>
      <c r="K2080" s="0">
        <f>IF(H2079="1)",1,IF(H2079="2)",2,IF(H2079="3)",3,IF(H2079="4)",4,IF(H2079="5)",5,IF(H2079="6)",6,IF(H2079="7)",7,IF(H2079="8)",8,0))))))))</f>
        <v/>
      </c>
      <c r="L2080" s="0">
        <f>IF(H2079="1)",J2079,IF(H2079="2)",J2079,IF(H2079="3)",J2079,IF(H2079="4)",J2079,IF(H2079="5)",J2079,IF(H2079="6)",J2079,IF(H2079="7)",J2079,IF(H2079="8)",J2079,0))))))))</f>
        <v/>
      </c>
    </row>
    <row r="2081">
      <c r="A2081" s="0" t="inlineStr">
        <is>
          <t>New</t>
        </is>
      </c>
      <c r="B2081" s="0" t="inlineStr">
        <is>
          <t>Item</t>
        </is>
      </c>
      <c r="C2081" s="0" t="inlineStr">
        <is>
          <t>Acquired</t>
        </is>
      </c>
      <c r="D2081" s="0" t="inlineStr">
        <is>
          <t>:</t>
        </is>
      </c>
      <c r="E2081" s="0" t="inlineStr">
        <is>
          <t>45.00K</t>
        </is>
      </c>
      <c r="F2081" s="0" t="inlineStr">
        <is>
          <t>(3,</t>
        </is>
      </c>
      <c r="G2081" s="0" t="inlineStr">
        <is>
          <t>7)</t>
        </is>
      </c>
      <c r="K2081" s="0">
        <f>IF(H2080="1)",1,IF(H2080="2)",2,IF(H2080="3)",3,IF(H2080="4)",4,IF(H2080="5)",5,IF(H2080="6)",6,IF(H2080="7)",7,IF(H2080="8)",8,0))))))))</f>
        <v/>
      </c>
      <c r="L2081" s="0">
        <f>IF(H2080="1)",J2080,IF(H2080="2)",J2080,IF(H2080="3)",J2080,IF(H2080="4)",J2080,IF(H2080="5)",J2080,IF(H2080="6)",J2080,IF(H2080="7)",J2080,IF(H2080="8)",J2080,0))))))))</f>
        <v/>
      </c>
    </row>
    <row r="2082">
      <c r="A2082" s="0" t="inlineStr">
        <is>
          <t>New</t>
        </is>
      </c>
      <c r="B2082" s="0" t="inlineStr">
        <is>
          <t>Item</t>
        </is>
      </c>
      <c r="C2082" s="0" t="inlineStr">
        <is>
          <t>Acquired</t>
        </is>
      </c>
      <c r="D2082" s="0" t="inlineStr">
        <is>
          <t>:</t>
        </is>
      </c>
      <c r="E2082" s="0" t="inlineStr">
        <is>
          <t>120.00K</t>
        </is>
      </c>
      <c r="F2082" s="0" t="inlineStr">
        <is>
          <t>(8,</t>
        </is>
      </c>
      <c r="G2082" s="0" t="inlineStr">
        <is>
          <t>8)</t>
        </is>
      </c>
      <c r="K2082" s="0">
        <f>IF(H2081="1)",1,IF(H2081="2)",2,IF(H2081="3)",3,IF(H2081="4)",4,IF(H2081="5)",5,IF(H2081="6)",6,IF(H2081="7)",7,IF(H2081="8)",8,0))))))))</f>
        <v/>
      </c>
      <c r="L2082" s="0">
        <f>IF(H2081="1)",J2081,IF(H2081="2)",J2081,IF(H2081="3)",J2081,IF(H2081="4)",J2081,IF(H2081="5)",J2081,IF(H2081="6)",J2081,IF(H2081="7)",J2081,IF(H2081="8)",J2081,0))))))))</f>
        <v/>
      </c>
    </row>
    <row r="2083">
      <c r="A2083" s="0" t="inlineStr">
        <is>
          <t>New</t>
        </is>
      </c>
      <c r="B2083" s="0" t="inlineStr">
        <is>
          <t>Item</t>
        </is>
      </c>
      <c r="C2083" s="0" t="inlineStr">
        <is>
          <t>Acquired</t>
        </is>
      </c>
      <c r="D2083" s="0" t="inlineStr">
        <is>
          <t>:</t>
        </is>
      </c>
      <c r="E2083" s="0" t="inlineStr">
        <is>
          <t>Minor</t>
        </is>
      </c>
      <c r="F2083" s="0" t="inlineStr">
        <is>
          <t>(1,</t>
        </is>
      </c>
      <c r="G2083" s="0" t="inlineStr">
        <is>
          <t>12)</t>
        </is>
      </c>
      <c r="K2083" s="0">
        <f>IF(H2082="1)",1,IF(H2082="2)",2,IF(H2082="3)",3,IF(H2082="4)",4,IF(H2082="5)",5,IF(H2082="6)",6,IF(H2082="7)",7,IF(H2082="8)",8,0))))))))</f>
        <v/>
      </c>
      <c r="L2083" s="0">
        <f>IF(H2082="1)",J2082,IF(H2082="2)",J2082,IF(H2082="3)",J2082,IF(H2082="4)",J2082,IF(H2082="5)",J2082,IF(H2082="6)",J2082,IF(H2082="7)",J2082,IF(H2082="8)",J2082,0))))))))</f>
        <v/>
      </c>
    </row>
    <row r="2084">
      <c r="A2084" s="0" t="inlineStr">
        <is>
          <t>New</t>
        </is>
      </c>
      <c r="B2084" s="0" t="inlineStr">
        <is>
          <t>Item</t>
        </is>
      </c>
      <c r="C2084" s="0" t="inlineStr">
        <is>
          <t>Acquired</t>
        </is>
      </c>
      <c r="D2084" s="0" t="inlineStr">
        <is>
          <t>:</t>
        </is>
      </c>
      <c r="E2084" s="0" t="inlineStr">
        <is>
          <t>120.00K</t>
        </is>
      </c>
      <c r="F2084" s="0" t="inlineStr">
        <is>
          <t>(8,</t>
        </is>
      </c>
      <c r="G2084" s="0" t="inlineStr">
        <is>
          <t>4)</t>
        </is>
      </c>
      <c r="K2084" s="0">
        <f>IF(H2083="1)",1,IF(H2083="2)",2,IF(H2083="3)",3,IF(H2083="4)",4,IF(H2083="5)",5,IF(H2083="6)",6,IF(H2083="7)",7,IF(H2083="8)",8,0))))))))</f>
        <v/>
      </c>
      <c r="L2084" s="0">
        <f>IF(H2083="1)",J2083,IF(H2083="2)",J2083,IF(H2083="3)",J2083,IF(H2083="4)",J2083,IF(H2083="5)",J2083,IF(H2083="6)",J2083,IF(H2083="7)",J2083,IF(H2083="8)",J2083,0))))))))</f>
        <v/>
      </c>
    </row>
    <row r="2085">
      <c r="A2085" s="0" t="inlineStr">
        <is>
          <t>New</t>
        </is>
      </c>
      <c r="B2085" s="0" t="inlineStr">
        <is>
          <t>Item</t>
        </is>
      </c>
      <c r="C2085" s="0" t="inlineStr">
        <is>
          <t>Acquired</t>
        </is>
      </c>
      <c r="D2085" s="0" t="inlineStr">
        <is>
          <t>:</t>
        </is>
      </c>
      <c r="E2085" s="0" t="inlineStr">
        <is>
          <t>70.00K</t>
        </is>
      </c>
      <c r="F2085" s="0" t="inlineStr">
        <is>
          <t>(1,</t>
        </is>
      </c>
      <c r="G2085" s="0" t="inlineStr">
        <is>
          <t>9)</t>
        </is>
      </c>
      <c r="K2085" s="0">
        <f>IF(H2084="1)",1,IF(H2084="2)",2,IF(H2084="3)",3,IF(H2084="4)",4,IF(H2084="5)",5,IF(H2084="6)",6,IF(H2084="7)",7,IF(H2084="8)",8,0))))))))</f>
        <v/>
      </c>
      <c r="L2085" s="0">
        <f>IF(H2084="1)",J2084,IF(H2084="2)",J2084,IF(H2084="3)",J2084,IF(H2084="4)",J2084,IF(H2084="5)",J2084,IF(H2084="6)",J2084,IF(H2084="7)",J2084,IF(H2084="8)",J2084,0))))))))</f>
        <v/>
      </c>
    </row>
    <row r="2086">
      <c r="A2086" s="0" t="inlineStr">
        <is>
          <t>New</t>
        </is>
      </c>
      <c r="B2086" s="0" t="inlineStr">
        <is>
          <t>Item</t>
        </is>
      </c>
      <c r="C2086" s="0" t="inlineStr">
        <is>
          <t>Acquired</t>
        </is>
      </c>
      <c r="D2086" s="0" t="inlineStr">
        <is>
          <t>:</t>
        </is>
      </c>
      <c r="E2086" s="0" t="inlineStr">
        <is>
          <t>37.50K</t>
        </is>
      </c>
      <c r="F2086" s="0" t="inlineStr">
        <is>
          <t>(2,</t>
        </is>
      </c>
      <c r="G2086" s="0" t="inlineStr">
        <is>
          <t>8)</t>
        </is>
      </c>
      <c r="K2086" s="0">
        <f>IF(H2085="1)",1,IF(H2085="2)",2,IF(H2085="3)",3,IF(H2085="4)",4,IF(H2085="5)",5,IF(H2085="6)",6,IF(H2085="7)",7,IF(H2085="8)",8,0))))))))</f>
        <v/>
      </c>
      <c r="L2086" s="0">
        <f>IF(H2085="1)",J2085,IF(H2085="2)",J2085,IF(H2085="3)",J2085,IF(H2085="4)",J2085,IF(H2085="5)",J2085,IF(H2085="6)",J2085,IF(H2085="7)",J2085,IF(H2085="8)",J2085,0))))))))</f>
        <v/>
      </c>
    </row>
    <row r="2087">
      <c r="A2087" s="0" t="inlineStr">
        <is>
          <t>New</t>
        </is>
      </c>
      <c r="B2087" s="0" t="inlineStr">
        <is>
          <t>Item</t>
        </is>
      </c>
      <c r="C2087" s="0" t="inlineStr">
        <is>
          <t>Acquired</t>
        </is>
      </c>
      <c r="D2087" s="0" t="inlineStr">
        <is>
          <t>:</t>
        </is>
      </c>
      <c r="E2087" s="0" t="inlineStr">
        <is>
          <t>Mini</t>
        </is>
      </c>
      <c r="F2087" s="0" t="inlineStr">
        <is>
          <t>(5,</t>
        </is>
      </c>
      <c r="G2087" s="0" t="inlineStr">
        <is>
          <t>5)</t>
        </is>
      </c>
      <c r="K2087" s="0">
        <f>IF(H2086="1)",1,IF(H2086="2)",2,IF(H2086="3)",3,IF(H2086="4)",4,IF(H2086="5)",5,IF(H2086="6)",6,IF(H2086="7)",7,IF(H2086="8)",8,0))))))))</f>
        <v/>
      </c>
      <c r="L2087" s="0">
        <f>IF(H2086="1)",J2086,IF(H2086="2)",J2086,IF(H2086="3)",J2086,IF(H2086="4)",J2086,IF(H2086="5)",J2086,IF(H2086="6)",J2086,IF(H2086="7)",J2086,IF(H2086="8)",J2086,0))))))))</f>
        <v/>
      </c>
    </row>
    <row r="2088">
      <c r="A2088" s="0" t="inlineStr">
        <is>
          <t>New</t>
        </is>
      </c>
      <c r="B2088" s="0" t="inlineStr">
        <is>
          <t>Item</t>
        </is>
      </c>
      <c r="C2088" s="0" t="inlineStr">
        <is>
          <t>Acquired</t>
        </is>
      </c>
      <c r="D2088" s="0" t="inlineStr">
        <is>
          <t>:</t>
        </is>
      </c>
      <c r="E2088" s="0" t="inlineStr">
        <is>
          <t>45.00K</t>
        </is>
      </c>
      <c r="F2088" s="0" t="inlineStr">
        <is>
          <t>(3,</t>
        </is>
      </c>
      <c r="G2088" s="0" t="inlineStr">
        <is>
          <t>11)</t>
        </is>
      </c>
      <c r="K2088" s="0">
        <f>IF(H2087="1)",1,IF(H2087="2)",2,IF(H2087="3)",3,IF(H2087="4)",4,IF(H2087="5)",5,IF(H2087="6)",6,IF(H2087="7)",7,IF(H2087="8)",8,0))))))))</f>
        <v/>
      </c>
      <c r="L2088" s="0">
        <f>IF(H2087="1)",J2087,IF(H2087="2)",J2087,IF(H2087="3)",J2087,IF(H2087="4)",J2087,IF(H2087="5)",J2087,IF(H2087="6)",J2087,IF(H2087="7)",J2087,IF(H2087="8)",J2087,0))))))))</f>
        <v/>
      </c>
    </row>
    <row r="2089">
      <c r="A2089" s="0" t="inlineStr">
        <is>
          <t>New</t>
        </is>
      </c>
      <c r="B2089" s="0" t="inlineStr">
        <is>
          <t>Item</t>
        </is>
      </c>
      <c r="C2089" s="0" t="inlineStr">
        <is>
          <t>Acquired</t>
        </is>
      </c>
      <c r="D2089" s="0" t="inlineStr">
        <is>
          <t>:</t>
        </is>
      </c>
      <c r="E2089" s="0" t="inlineStr">
        <is>
          <t>150.00K</t>
        </is>
      </c>
      <c r="F2089" s="0" t="inlineStr">
        <is>
          <t>(7,</t>
        </is>
      </c>
      <c r="G2089" s="0" t="inlineStr">
        <is>
          <t>19)</t>
        </is>
      </c>
      <c r="K2089" s="0">
        <f>IF(H2088="1)",1,IF(H2088="2)",2,IF(H2088="3)",3,IF(H2088="4)",4,IF(H2088="5)",5,IF(H2088="6)",6,IF(H2088="7)",7,IF(H2088="8)",8,0))))))))</f>
        <v/>
      </c>
      <c r="L2089" s="0">
        <f>IF(H2088="1)",J2088,IF(H2088="2)",J2088,IF(H2088="3)",J2088,IF(H2088="4)",J2088,IF(H2088="5)",J2088,IF(H2088="6)",J2088,IF(H2088="7)",J2088,IF(H2088="8)",J2088,0))))))))</f>
        <v/>
      </c>
    </row>
    <row r="2090">
      <c r="A2090" s="0" t="inlineStr">
        <is>
          <t>New</t>
        </is>
      </c>
      <c r="B2090" s="0" t="inlineStr">
        <is>
          <t>Item</t>
        </is>
      </c>
      <c r="C2090" s="0" t="inlineStr">
        <is>
          <t>Acquired</t>
        </is>
      </c>
      <c r="D2090" s="0" t="inlineStr">
        <is>
          <t>:</t>
        </is>
      </c>
      <c r="E2090" s="0" t="inlineStr">
        <is>
          <t>60.00K</t>
        </is>
      </c>
      <c r="F2090" s="0" t="inlineStr">
        <is>
          <t>(4,</t>
        </is>
      </c>
      <c r="G2090" s="0" t="inlineStr">
        <is>
          <t>23)</t>
        </is>
      </c>
      <c r="K2090" s="0">
        <f>IF(H2089="1)",1,IF(H2089="2)",2,IF(H2089="3)",3,IF(H2089="4)",4,IF(H2089="5)",5,IF(H2089="6)",6,IF(H2089="7)",7,IF(H2089="8)",8,0))))))))</f>
        <v/>
      </c>
      <c r="L2090" s="0">
        <f>IF(H2089="1)",J2089,IF(H2089="2)",J2089,IF(H2089="3)",J2089,IF(H2089="4)",J2089,IF(H2089="5)",J2089,IF(H2089="6)",J2089,IF(H2089="7)",J2089,IF(H2089="8)",J2089,0))))))))</f>
        <v/>
      </c>
    </row>
    <row r="2091">
      <c r="A2091" s="0" t="inlineStr">
        <is>
          <t>Line</t>
        </is>
      </c>
      <c r="B2091" s="0" t="inlineStr">
        <is>
          <t>Prize</t>
        </is>
      </c>
      <c r="C2091" s="0" t="inlineStr">
        <is>
          <t>Acquired</t>
        </is>
      </c>
      <c r="D2091" s="0" t="inlineStr">
        <is>
          <t>:</t>
        </is>
      </c>
      <c r="E2091" s="0" t="inlineStr">
        <is>
          <t>1.40M</t>
        </is>
      </c>
      <c r="F2091" s="0" t="inlineStr">
        <is>
          <t>(Stage</t>
        </is>
      </c>
      <c r="G2091" s="0" t="inlineStr">
        <is>
          <t>:</t>
        </is>
      </c>
      <c r="H2091" s="0" t="inlineStr">
        <is>
          <t>4)</t>
        </is>
      </c>
      <c r="I2091" s="0" t="inlineStr">
        <is>
          <t>-</t>
        </is>
      </c>
      <c r="J2091" s="0" t="n">
        <v>1395000</v>
      </c>
      <c r="K2091" s="0">
        <f>IF(H2090="1)",1,IF(H2090="2)",2,IF(H2090="3)",3,IF(H2090="4)",4,IF(H2090="5)",5,IF(H2090="6)",6,IF(H2090="7)",7,IF(H2090="8)",8,0))))))))</f>
        <v/>
      </c>
      <c r="L2091" s="0">
        <f>IF(H2090="1)",J2090,IF(H2090="2)",J2090,IF(H2090="3)",J2090,IF(H2090="4)",J2090,IF(H2090="5)",J2090,IF(H2090="6)",J2090,IF(H2090="7)",J2090,IF(H2090="8)",J2090,0))))))))</f>
        <v/>
      </c>
    </row>
    <row r="2092">
      <c r="A2092" s="0" t="inlineStr">
        <is>
          <t>Clear</t>
        </is>
      </c>
      <c r="B2092" s="0" t="inlineStr">
        <is>
          <t>Gem</t>
        </is>
      </c>
      <c r="C2092" s="0" t="inlineStr">
        <is>
          <t>Acquired</t>
        </is>
      </c>
      <c r="D2092" s="0" t="inlineStr">
        <is>
          <t>:</t>
        </is>
      </c>
      <c r="E2092" s="0" t="n">
        <v>12700</v>
      </c>
      <c r="F2092" s="0" t="inlineStr">
        <is>
          <t>-&gt;</t>
        </is>
      </c>
      <c r="G2092" s="0" t="n">
        <v>12800</v>
      </c>
      <c r="H2092" s="0" t="inlineStr">
        <is>
          <t>(Stage</t>
        </is>
      </c>
      <c r="I2092" s="0" t="inlineStr">
        <is>
          <t>:</t>
        </is>
      </c>
      <c r="J2092" s="0" t="inlineStr">
        <is>
          <t>4)</t>
        </is>
      </c>
      <c r="K2092" s="0">
        <f>IF(H2091="1)",1,IF(H2091="2)",2,IF(H2091="3)",3,IF(H2091="4)",4,IF(H2091="5)",5,IF(H2091="6)",6,IF(H2091="7)",7,IF(H2091="8)",8,0))))))))</f>
        <v/>
      </c>
      <c r="L2092" s="0">
        <f>IF(H2091="1)",J2091,IF(H2091="2)",J2091,IF(H2091="3)",J2091,IF(H2091="4)",J2091,IF(H2091="5)",J2091,IF(H2091="6)",J2091,IF(H2091="7)",J2091,IF(H2091="8)",J2091,0))))))))</f>
        <v/>
      </c>
    </row>
    <row r="2093">
      <c r="A2093" s="0" t="inlineStr">
        <is>
          <t>New</t>
        </is>
      </c>
      <c r="B2093" s="0" t="inlineStr">
        <is>
          <t>Item</t>
        </is>
      </c>
      <c r="C2093" s="0" t="inlineStr">
        <is>
          <t>Acquired</t>
        </is>
      </c>
      <c r="D2093" s="0" t="inlineStr">
        <is>
          <t>:</t>
        </is>
      </c>
      <c r="E2093" s="0" t="inlineStr">
        <is>
          <t>Mini</t>
        </is>
      </c>
      <c r="F2093" s="0" t="inlineStr">
        <is>
          <t>(4,</t>
        </is>
      </c>
      <c r="G2093" s="0" t="inlineStr">
        <is>
          <t>6)</t>
        </is>
      </c>
      <c r="K2093" s="0">
        <f>IF(H2092="1)",1,IF(H2092="2)",2,IF(H2092="3)",3,IF(H2092="4)",4,IF(H2092="5)",5,IF(H2092="6)",6,IF(H2092="7)",7,IF(H2092="8)",8,0))))))))</f>
        <v/>
      </c>
      <c r="L2093" s="0">
        <f>IF(H2092="1)",J2092,IF(H2092="2)",J2092,IF(H2092="3)",J2092,IF(H2092="4)",J2092,IF(H2092="5)",J2092,IF(H2092="6)",J2092,IF(H2092="7)",J2092,IF(H2092="8)",J2092,0))))))))</f>
        <v/>
      </c>
    </row>
    <row r="2094">
      <c r="A2094" s="0" t="inlineStr">
        <is>
          <t>New</t>
        </is>
      </c>
      <c r="B2094" s="0" t="inlineStr">
        <is>
          <t>Item</t>
        </is>
      </c>
      <c r="C2094" s="0" t="inlineStr">
        <is>
          <t>Acquired</t>
        </is>
      </c>
      <c r="D2094" s="0" t="inlineStr">
        <is>
          <t>:</t>
        </is>
      </c>
      <c r="E2094" s="0" t="inlineStr">
        <is>
          <t>62.50K</t>
        </is>
      </c>
      <c r="F2094" s="0" t="inlineStr">
        <is>
          <t>(2,</t>
        </is>
      </c>
      <c r="G2094" s="0" t="inlineStr">
        <is>
          <t>22)</t>
        </is>
      </c>
      <c r="K2094" s="0">
        <f>IF(H2093="1)",1,IF(H2093="2)",2,IF(H2093="3)",3,IF(H2093="4)",4,IF(H2093="5)",5,IF(H2093="6)",6,IF(H2093="7)",7,IF(H2093="8)",8,0))))))))</f>
        <v/>
      </c>
      <c r="L2094" s="0">
        <f>IF(H2093="1)",J2093,IF(H2093="2)",J2093,IF(H2093="3)",J2093,IF(H2093="4)",J2093,IF(H2093="5)",J2093,IF(H2093="6)",J2093,IF(H2093="7)",J2093,IF(H2093="8)",J2093,0))))))))</f>
        <v/>
      </c>
    </row>
    <row r="2095">
      <c r="A2095" s="0" t="inlineStr">
        <is>
          <t>New</t>
        </is>
      </c>
      <c r="B2095" s="0" t="inlineStr">
        <is>
          <t>Item</t>
        </is>
      </c>
      <c r="C2095" s="0" t="inlineStr">
        <is>
          <t>Acquired</t>
        </is>
      </c>
      <c r="D2095" s="0" t="inlineStr">
        <is>
          <t>:</t>
        </is>
      </c>
      <c r="E2095" s="0" t="inlineStr">
        <is>
          <t>280.00K</t>
        </is>
      </c>
      <c r="F2095" s="0" t="inlineStr">
        <is>
          <t>(8,</t>
        </is>
      </c>
      <c r="G2095" s="0" t="inlineStr">
        <is>
          <t>9)</t>
        </is>
      </c>
      <c r="K2095" s="0">
        <f>IF(H2094="1)",1,IF(H2094="2)",2,IF(H2094="3)",3,IF(H2094="4)",4,IF(H2094="5)",5,IF(H2094="6)",6,IF(H2094="7)",7,IF(H2094="8)",8,0))))))))</f>
        <v/>
      </c>
      <c r="L2095" s="0">
        <f>IF(H2094="1)",J2094,IF(H2094="2)",J2094,IF(H2094="3)",J2094,IF(H2094="4)",J2094,IF(H2094="5)",J2094,IF(H2094="6)",J2094,IF(H2094="7)",J2094,IF(H2094="8)",J2094,0))))))))</f>
        <v/>
      </c>
    </row>
    <row r="2096">
      <c r="A2096" s="0" t="inlineStr">
        <is>
          <t>New</t>
        </is>
      </c>
      <c r="B2096" s="0" t="inlineStr">
        <is>
          <t>Item</t>
        </is>
      </c>
      <c r="C2096" s="0" t="inlineStr">
        <is>
          <t>Acquired</t>
        </is>
      </c>
      <c r="D2096" s="0" t="inlineStr">
        <is>
          <t>:</t>
        </is>
      </c>
      <c r="E2096" s="0" t="inlineStr">
        <is>
          <t>50.00K</t>
        </is>
      </c>
      <c r="F2096" s="0" t="inlineStr">
        <is>
          <t>(1,</t>
        </is>
      </c>
      <c r="G2096" s="0" t="inlineStr">
        <is>
          <t>1)</t>
        </is>
      </c>
      <c r="K2096" s="0">
        <f>IF(H2095="1)",1,IF(H2095="2)",2,IF(H2095="3)",3,IF(H2095="4)",4,IF(H2095="5)",5,IF(H2095="6)",6,IF(H2095="7)",7,IF(H2095="8)",8,0))))))))</f>
        <v/>
      </c>
      <c r="L2096" s="0">
        <f>IF(H2095="1)",J2095,IF(H2095="2)",J2095,IF(H2095="3)",J2095,IF(H2095="4)",J2095,IF(H2095="5)",J2095,IF(H2095="6)",J2095,IF(H2095="7)",J2095,IF(H2095="8)",J2095,0))))))))</f>
        <v/>
      </c>
    </row>
    <row r="2097">
      <c r="A2097" s="0" t="inlineStr">
        <is>
          <t>New</t>
        </is>
      </c>
      <c r="B2097" s="0" t="inlineStr">
        <is>
          <t>Item</t>
        </is>
      </c>
      <c r="C2097" s="0" t="inlineStr">
        <is>
          <t>Acquired</t>
        </is>
      </c>
      <c r="D2097" s="0" t="inlineStr">
        <is>
          <t>:</t>
        </is>
      </c>
      <c r="E2097" s="0" t="inlineStr">
        <is>
          <t>45.00K</t>
        </is>
      </c>
      <c r="F2097" s="0" t="inlineStr">
        <is>
          <t>(3,</t>
        </is>
      </c>
      <c r="G2097" s="0" t="inlineStr">
        <is>
          <t>20)</t>
        </is>
      </c>
      <c r="K2097" s="0">
        <f>IF(H2096="1)",1,IF(H2096="2)",2,IF(H2096="3)",3,IF(H2096="4)",4,IF(H2096="5)",5,IF(H2096="6)",6,IF(H2096="7)",7,IF(H2096="8)",8,0))))))))</f>
        <v/>
      </c>
      <c r="L2097" s="0">
        <f>IF(H2096="1)",J2096,IF(H2096="2)",J2096,IF(H2096="3)",J2096,IF(H2096="4)",J2096,IF(H2096="5)",J2096,IF(H2096="6)",J2096,IF(H2096="7)",J2096,IF(H2096="8)",J2096,0))))))))</f>
        <v/>
      </c>
    </row>
    <row r="2098">
      <c r="A2098" s="0" t="inlineStr">
        <is>
          <t>New</t>
        </is>
      </c>
      <c r="B2098" s="0" t="inlineStr">
        <is>
          <t>Item</t>
        </is>
      </c>
      <c r="C2098" s="0" t="inlineStr">
        <is>
          <t>Acquired</t>
        </is>
      </c>
      <c r="D2098" s="0" t="inlineStr">
        <is>
          <t>:</t>
        </is>
      </c>
      <c r="E2098" s="0" t="inlineStr">
        <is>
          <t>62.50K</t>
        </is>
      </c>
      <c r="F2098" s="0" t="inlineStr">
        <is>
          <t>(2,</t>
        </is>
      </c>
      <c r="G2098" s="0" t="inlineStr">
        <is>
          <t>16)</t>
        </is>
      </c>
      <c r="K2098" s="0">
        <f>IF(H2097="1)",1,IF(H2097="2)",2,IF(H2097="3)",3,IF(H2097="4)",4,IF(H2097="5)",5,IF(H2097="6)",6,IF(H2097="7)",7,IF(H2097="8)",8,0))))))))</f>
        <v/>
      </c>
      <c r="L2098" s="0">
        <f>IF(H2097="1)",J2097,IF(H2097="2)",J2097,IF(H2097="3)",J2097,IF(H2097="4)",J2097,IF(H2097="5)",J2097,IF(H2097="6)",J2097,IF(H2097="7)",J2097,IF(H2097="8)",J2097,0))))))))</f>
        <v/>
      </c>
    </row>
    <row r="2099">
      <c r="A2099" s="0" t="inlineStr">
        <is>
          <t>New</t>
        </is>
      </c>
      <c r="B2099" s="0" t="inlineStr">
        <is>
          <t>Item</t>
        </is>
      </c>
      <c r="C2099" s="0" t="inlineStr">
        <is>
          <t>Acquired</t>
        </is>
      </c>
      <c r="D2099" s="0" t="inlineStr">
        <is>
          <t>:</t>
        </is>
      </c>
      <c r="E2099" s="0" t="inlineStr">
        <is>
          <t>30.00K</t>
        </is>
      </c>
      <c r="F2099" s="0" t="inlineStr">
        <is>
          <t>(1,</t>
        </is>
      </c>
      <c r="G2099" s="0" t="inlineStr">
        <is>
          <t>17)</t>
        </is>
      </c>
      <c r="K2099" s="0">
        <f>IF(H2098="1)",1,IF(H2098="2)",2,IF(H2098="3)",3,IF(H2098="4)",4,IF(H2098="5)",5,IF(H2098="6)",6,IF(H2098="7)",7,IF(H2098="8)",8,0))))))))</f>
        <v/>
      </c>
      <c r="L2099" s="0">
        <f>IF(H2098="1)",J2098,IF(H2098="2)",J2098,IF(H2098="3)",J2098,IF(H2098="4)",J2098,IF(H2098="5)",J2098,IF(H2098="6)",J2098,IF(H2098="7)",J2098,IF(H2098="8)",J2098,0))))))))</f>
        <v/>
      </c>
    </row>
    <row r="2100">
      <c r="A2100" s="0" t="inlineStr">
        <is>
          <t>New</t>
        </is>
      </c>
      <c r="B2100" s="0" t="inlineStr">
        <is>
          <t>Item</t>
        </is>
      </c>
      <c r="C2100" s="0" t="inlineStr">
        <is>
          <t>Acquired</t>
        </is>
      </c>
      <c r="D2100" s="0" t="inlineStr">
        <is>
          <t>:</t>
        </is>
      </c>
      <c r="E2100" s="0" t="inlineStr">
        <is>
          <t>112.50K</t>
        </is>
      </c>
      <c r="F2100" s="0" t="inlineStr">
        <is>
          <t>(5,</t>
        </is>
      </c>
      <c r="G2100" s="0" t="inlineStr">
        <is>
          <t>23)</t>
        </is>
      </c>
      <c r="K2100" s="0">
        <f>IF(H2099="1)",1,IF(H2099="2)",2,IF(H2099="3)",3,IF(H2099="4)",4,IF(H2099="5)",5,IF(H2099="6)",6,IF(H2099="7)",7,IF(H2099="8)",8,0))))))))</f>
        <v/>
      </c>
      <c r="L2100" s="0">
        <f>IF(H2099="1)",J2099,IF(H2099="2)",J2099,IF(H2099="3)",J2099,IF(H2099="4)",J2099,IF(H2099="5)",J2099,IF(H2099="6)",J2099,IF(H2099="7)",J2099,IF(H2099="8)",J2099,0))))))))</f>
        <v/>
      </c>
    </row>
    <row r="2101">
      <c r="A2101" s="0" t="inlineStr">
        <is>
          <t>New</t>
        </is>
      </c>
      <c r="B2101" s="0" t="inlineStr">
        <is>
          <t>Item</t>
        </is>
      </c>
      <c r="C2101" s="0" t="inlineStr">
        <is>
          <t>Acquired</t>
        </is>
      </c>
      <c r="D2101" s="0" t="inlineStr">
        <is>
          <t>:</t>
        </is>
      </c>
      <c r="E2101" s="0" t="inlineStr">
        <is>
          <t>Mini</t>
        </is>
      </c>
      <c r="F2101" s="0" t="inlineStr">
        <is>
          <t>(8,</t>
        </is>
      </c>
      <c r="G2101" s="0" t="inlineStr">
        <is>
          <t>3)</t>
        </is>
      </c>
      <c r="K2101" s="0">
        <f>IF(H2100="1)",1,IF(H2100="2)",2,IF(H2100="3)",3,IF(H2100="4)",4,IF(H2100="5)",5,IF(H2100="6)",6,IF(H2100="7)",7,IF(H2100="8)",8,0))))))))</f>
        <v/>
      </c>
      <c r="L2101" s="0">
        <f>IF(H2100="1)",J2100,IF(H2100="2)",J2100,IF(H2100="3)",J2100,IF(H2100="4)",J2100,IF(H2100="5)",J2100,IF(H2100="6)",J2100,IF(H2100="7)",J2100,IF(H2100="8)",J2100,0))))))))</f>
        <v/>
      </c>
    </row>
    <row r="2102">
      <c r="A2102" s="0" t="inlineStr">
        <is>
          <t>New</t>
        </is>
      </c>
      <c r="B2102" s="0" t="inlineStr">
        <is>
          <t>Item</t>
        </is>
      </c>
      <c r="C2102" s="0" t="inlineStr">
        <is>
          <t>Acquired</t>
        </is>
      </c>
      <c r="D2102" s="0" t="inlineStr">
        <is>
          <t>:</t>
        </is>
      </c>
      <c r="E2102" s="0" t="inlineStr">
        <is>
          <t>150.00K</t>
        </is>
      </c>
      <c r="F2102" s="0" t="inlineStr">
        <is>
          <t>(7,</t>
        </is>
      </c>
      <c r="G2102" s="0" t="inlineStr">
        <is>
          <t>2)</t>
        </is>
      </c>
      <c r="K2102" s="0">
        <f>IF(H2101="1)",1,IF(H2101="2)",2,IF(H2101="3)",3,IF(H2101="4)",4,IF(H2101="5)",5,IF(H2101="6)",6,IF(H2101="7)",7,IF(H2101="8)",8,0))))))))</f>
        <v/>
      </c>
      <c r="L2102" s="0">
        <f>IF(H2101="1)",J2101,IF(H2101="2)",J2101,IF(H2101="3)",J2101,IF(H2101="4)",J2101,IF(H2101="5)",J2101,IF(H2101="6)",J2101,IF(H2101="7)",J2101,IF(H2101="8)",J2101,0))))))))</f>
        <v/>
      </c>
    </row>
    <row r="2103">
      <c r="A2103" s="0" t="inlineStr">
        <is>
          <t>New</t>
        </is>
      </c>
      <c r="B2103" s="0" t="inlineStr">
        <is>
          <t>Item</t>
        </is>
      </c>
      <c r="C2103" s="0" t="inlineStr">
        <is>
          <t>Acquired</t>
        </is>
      </c>
      <c r="D2103" s="0" t="inlineStr">
        <is>
          <t>:</t>
        </is>
      </c>
      <c r="E2103" s="0" t="inlineStr">
        <is>
          <t>37.50K</t>
        </is>
      </c>
      <c r="F2103" s="0" t="inlineStr">
        <is>
          <t>(2,</t>
        </is>
      </c>
      <c r="G2103" s="0" t="inlineStr">
        <is>
          <t>20)</t>
        </is>
      </c>
      <c r="K2103" s="0">
        <f>IF(H2102="1)",1,IF(H2102="2)",2,IF(H2102="3)",3,IF(H2102="4)",4,IF(H2102="5)",5,IF(H2102="6)",6,IF(H2102="7)",7,IF(H2102="8)",8,0))))))))</f>
        <v/>
      </c>
      <c r="L2103" s="0">
        <f>IF(H2102="1)",J2102,IF(H2102="2)",J2102,IF(H2102="3)",J2102,IF(H2102="4)",J2102,IF(H2102="5)",J2102,IF(H2102="6)",J2102,IF(H2102="7)",J2102,IF(H2102="8)",J2102,0))))))))</f>
        <v/>
      </c>
    </row>
    <row r="2104">
      <c r="A2104" s="0" t="inlineStr">
        <is>
          <t>New</t>
        </is>
      </c>
      <c r="B2104" s="0" t="inlineStr">
        <is>
          <t>Item</t>
        </is>
      </c>
      <c r="C2104" s="0" t="inlineStr">
        <is>
          <t>Acquired</t>
        </is>
      </c>
      <c r="D2104" s="0" t="inlineStr">
        <is>
          <t>:</t>
        </is>
      </c>
      <c r="E2104" s="0" t="inlineStr">
        <is>
          <t>50.00K</t>
        </is>
      </c>
      <c r="F2104" s="0" t="inlineStr">
        <is>
          <t>(1,</t>
        </is>
      </c>
      <c r="G2104" s="0" t="inlineStr">
        <is>
          <t>15)</t>
        </is>
      </c>
      <c r="K2104" s="0">
        <f>IF(H2103="1)",1,IF(H2103="2)",2,IF(H2103="3)",3,IF(H2103="4)",4,IF(H2103="5)",5,IF(H2103="6)",6,IF(H2103="7)",7,IF(H2103="8)",8,0))))))))</f>
        <v/>
      </c>
      <c r="L2104" s="0">
        <f>IF(H2103="1)",J2103,IF(H2103="2)",J2103,IF(H2103="3)",J2103,IF(H2103="4)",J2103,IF(H2103="5)",J2103,IF(H2103="6)",J2103,IF(H2103="7)",J2103,IF(H2103="8)",J2103,0))))))))</f>
        <v/>
      </c>
    </row>
    <row r="2105">
      <c r="A2105" s="0" t="inlineStr">
        <is>
          <t>New</t>
        </is>
      </c>
      <c r="B2105" s="0" t="inlineStr">
        <is>
          <t>Item</t>
        </is>
      </c>
      <c r="C2105" s="0" t="inlineStr">
        <is>
          <t>Acquired</t>
        </is>
      </c>
      <c r="D2105" s="0" t="inlineStr">
        <is>
          <t>:</t>
        </is>
      </c>
      <c r="E2105" s="0" t="inlineStr">
        <is>
          <t>280.00K</t>
        </is>
      </c>
      <c r="F2105" s="0" t="inlineStr">
        <is>
          <t>(8,</t>
        </is>
      </c>
      <c r="G2105" s="0" t="inlineStr">
        <is>
          <t>21)</t>
        </is>
      </c>
      <c r="K2105" s="0">
        <f>IF(H2104="1)",1,IF(H2104="2)",2,IF(H2104="3)",3,IF(H2104="4)",4,IF(H2104="5)",5,IF(H2104="6)",6,IF(H2104="7)",7,IF(H2104="8)",8,0))))))))</f>
        <v/>
      </c>
      <c r="L2105" s="0">
        <f>IF(H2104="1)",J2104,IF(H2104="2)",J2104,IF(H2104="3)",J2104,IF(H2104="4)",J2104,IF(H2104="5)",J2104,IF(H2104="6)",J2104,IF(H2104="7)",J2104,IF(H2104="8)",J2104,0))))))))</f>
        <v/>
      </c>
    </row>
    <row r="2106">
      <c r="A2106" s="0" t="inlineStr">
        <is>
          <t>New</t>
        </is>
      </c>
      <c r="B2106" s="0" t="inlineStr">
        <is>
          <t>Item</t>
        </is>
      </c>
      <c r="C2106" s="0" t="inlineStr">
        <is>
          <t>Acquired</t>
        </is>
      </c>
      <c r="D2106" s="0" t="inlineStr">
        <is>
          <t>:</t>
        </is>
      </c>
      <c r="E2106" s="0" t="inlineStr">
        <is>
          <t>120.00K</t>
        </is>
      </c>
      <c r="F2106" s="0" t="inlineStr">
        <is>
          <t>(8,</t>
        </is>
      </c>
      <c r="G2106" s="0" t="inlineStr">
        <is>
          <t>16)</t>
        </is>
      </c>
      <c r="K2106" s="0">
        <f>IF(H2105="1)",1,IF(H2105="2)",2,IF(H2105="3)",3,IF(H2105="4)",4,IF(H2105="5)",5,IF(H2105="6)",6,IF(H2105="7)",7,IF(H2105="8)",8,0))))))))</f>
        <v/>
      </c>
      <c r="L2106" s="0">
        <f>IF(H2105="1)",J2105,IF(H2105="2)",J2105,IF(H2105="3)",J2105,IF(H2105="4)",J2105,IF(H2105="5)",J2105,IF(H2105="6)",J2105,IF(H2105="7)",J2105,IF(H2105="8)",J2105,0))))))))</f>
        <v/>
      </c>
    </row>
    <row r="2107">
      <c r="A2107" s="0" t="inlineStr">
        <is>
          <t>New</t>
        </is>
      </c>
      <c r="B2107" s="0" t="inlineStr">
        <is>
          <t>Item</t>
        </is>
      </c>
      <c r="C2107" s="0" t="inlineStr">
        <is>
          <t>Acquired</t>
        </is>
      </c>
      <c r="D2107" s="0" t="inlineStr">
        <is>
          <t>:</t>
        </is>
      </c>
      <c r="E2107" s="0" t="inlineStr">
        <is>
          <t>87.50K</t>
        </is>
      </c>
      <c r="F2107" s="0" t="inlineStr">
        <is>
          <t>(2,</t>
        </is>
      </c>
      <c r="G2107" s="0" t="inlineStr">
        <is>
          <t>3)</t>
        </is>
      </c>
      <c r="K2107" s="0">
        <f>IF(H2106="1)",1,IF(H2106="2)",2,IF(H2106="3)",3,IF(H2106="4)",4,IF(H2106="5)",5,IF(H2106="6)",6,IF(H2106="7)",7,IF(H2106="8)",8,0))))))))</f>
        <v/>
      </c>
      <c r="L2107" s="0">
        <f>IF(H2106="1)",J2106,IF(H2106="2)",J2106,IF(H2106="3)",J2106,IF(H2106="4)",J2106,IF(H2106="5)",J2106,IF(H2106="6)",J2106,IF(H2106="7)",J2106,IF(H2106="8)",J2106,0))))))))</f>
        <v/>
      </c>
    </row>
    <row r="2108">
      <c r="A2108" s="0" t="inlineStr">
        <is>
          <t>New</t>
        </is>
      </c>
      <c r="B2108" s="0" t="inlineStr">
        <is>
          <t>Item</t>
        </is>
      </c>
      <c r="C2108" s="0" t="inlineStr">
        <is>
          <t>Acquired</t>
        </is>
      </c>
      <c r="D2108" s="0" t="inlineStr">
        <is>
          <t>:</t>
        </is>
      </c>
      <c r="E2108" s="0" t="inlineStr">
        <is>
          <t>120.00K</t>
        </is>
      </c>
      <c r="F2108" s="0" t="inlineStr">
        <is>
          <t>(8,</t>
        </is>
      </c>
      <c r="G2108" s="0" t="inlineStr">
        <is>
          <t>20)</t>
        </is>
      </c>
      <c r="K2108" s="0">
        <f>IF(H2107="1)",1,IF(H2107="2)",2,IF(H2107="3)",3,IF(H2107="4)",4,IF(H2107="5)",5,IF(H2107="6)",6,IF(H2107="7)",7,IF(H2107="8)",8,0))))))))</f>
        <v/>
      </c>
      <c r="L2108" s="0">
        <f>IF(H2107="1)",J2107,IF(H2107="2)",J2107,IF(H2107="3)",J2107,IF(H2107="4)",J2107,IF(H2107="5)",J2107,IF(H2107="6)",J2107,IF(H2107="7)",J2107,IF(H2107="8)",J2107,0))))))))</f>
        <v/>
      </c>
    </row>
    <row r="2109">
      <c r="A2109" s="0" t="inlineStr">
        <is>
          <t>New</t>
        </is>
      </c>
      <c r="B2109" s="0" t="inlineStr">
        <is>
          <t>Item</t>
        </is>
      </c>
      <c r="C2109" s="0" t="inlineStr">
        <is>
          <t>Acquired</t>
        </is>
      </c>
      <c r="D2109" s="0" t="inlineStr">
        <is>
          <t>:</t>
        </is>
      </c>
      <c r="E2109" s="0" t="inlineStr">
        <is>
          <t>120.00K</t>
        </is>
      </c>
      <c r="F2109" s="0" t="inlineStr">
        <is>
          <t>(8,</t>
        </is>
      </c>
      <c r="G2109" s="0" t="inlineStr">
        <is>
          <t>18)</t>
        </is>
      </c>
      <c r="K2109" s="0">
        <f>IF(H2108="1)",1,IF(H2108="2)",2,IF(H2108="3)",3,IF(H2108="4)",4,IF(H2108="5)",5,IF(H2108="6)",6,IF(H2108="7)",7,IF(H2108="8)",8,0))))))))</f>
        <v/>
      </c>
      <c r="L2109" s="0">
        <f>IF(H2108="1)",J2108,IF(H2108="2)",J2108,IF(H2108="3)",J2108,IF(H2108="4)",J2108,IF(H2108="5)",J2108,IF(H2108="6)",J2108,IF(H2108="7)",J2108,IF(H2108="8)",J2108,0))))))))</f>
        <v/>
      </c>
    </row>
    <row r="2110">
      <c r="A2110" s="0" t="inlineStr">
        <is>
          <t>Line</t>
        </is>
      </c>
      <c r="B2110" s="0" t="inlineStr">
        <is>
          <t>Prize</t>
        </is>
      </c>
      <c r="C2110" s="0" t="inlineStr">
        <is>
          <t>Acquired</t>
        </is>
      </c>
      <c r="D2110" s="0" t="inlineStr">
        <is>
          <t>:</t>
        </is>
      </c>
      <c r="E2110" s="0" t="inlineStr">
        <is>
          <t>2.76M</t>
        </is>
      </c>
      <c r="F2110" s="0" t="inlineStr">
        <is>
          <t>(Stage</t>
        </is>
      </c>
      <c r="G2110" s="0" t="inlineStr">
        <is>
          <t>:</t>
        </is>
      </c>
      <c r="H2110" s="0" t="inlineStr">
        <is>
          <t>8)</t>
        </is>
      </c>
      <c r="I2110" s="0" t="inlineStr">
        <is>
          <t>-</t>
        </is>
      </c>
      <c r="J2110" s="0" t="n">
        <v>2760000</v>
      </c>
      <c r="K2110" s="0">
        <f>IF(H2109="1)",1,IF(H2109="2)",2,IF(H2109="3)",3,IF(H2109="4)",4,IF(H2109="5)",5,IF(H2109="6)",6,IF(H2109="7)",7,IF(H2109="8)",8,0))))))))</f>
        <v/>
      </c>
      <c r="L2110" s="0">
        <f>IF(H2109="1)",J2109,IF(H2109="2)",J2109,IF(H2109="3)",J2109,IF(H2109="4)",J2109,IF(H2109="5)",J2109,IF(H2109="6)",J2109,IF(H2109="7)",J2109,IF(H2109="8)",J2109,0))))))))</f>
        <v/>
      </c>
    </row>
    <row r="2111">
      <c r="A2111" s="0" t="inlineStr">
        <is>
          <t>Clear</t>
        </is>
      </c>
      <c r="B2111" s="0" t="inlineStr">
        <is>
          <t>Gem</t>
        </is>
      </c>
      <c r="C2111" s="0" t="inlineStr">
        <is>
          <t>Acquired</t>
        </is>
      </c>
      <c r="D2111" s="0" t="inlineStr">
        <is>
          <t>:</t>
        </is>
      </c>
      <c r="E2111" s="0" t="n">
        <v>12800</v>
      </c>
      <c r="F2111" s="0" t="inlineStr">
        <is>
          <t>-&gt;</t>
        </is>
      </c>
      <c r="G2111" s="0" t="n">
        <v>12900</v>
      </c>
      <c r="H2111" s="0" t="inlineStr">
        <is>
          <t>(Stage</t>
        </is>
      </c>
      <c r="I2111" s="0" t="inlineStr">
        <is>
          <t>:</t>
        </is>
      </c>
      <c r="J2111" s="0" t="inlineStr">
        <is>
          <t>8)</t>
        </is>
      </c>
      <c r="K2111" s="0">
        <f>IF(H2110="1)",1,IF(H2110="2)",2,IF(H2110="3)",3,IF(H2110="4)",4,IF(H2110="5)",5,IF(H2110="6)",6,IF(H2110="7)",7,IF(H2110="8)",8,0))))))))</f>
        <v/>
      </c>
      <c r="L2111" s="0">
        <f>IF(H2110="1)",J2110,IF(H2110="2)",J2110,IF(H2110="3)",J2110,IF(H2110="4)",J2110,IF(H2110="5)",J2110,IF(H2110="6)",J2110,IF(H2110="7)",J2110,IF(H2110="8)",J2110,0))))))))</f>
        <v/>
      </c>
    </row>
    <row r="2112">
      <c r="A2112" s="0" t="inlineStr">
        <is>
          <t>New</t>
        </is>
      </c>
      <c r="B2112" s="0" t="inlineStr">
        <is>
          <t>Item</t>
        </is>
      </c>
      <c r="C2112" s="0" t="inlineStr">
        <is>
          <t>Acquired</t>
        </is>
      </c>
      <c r="D2112" s="0" t="inlineStr">
        <is>
          <t>:</t>
        </is>
      </c>
      <c r="E2112" s="0" t="inlineStr">
        <is>
          <t>120.00K</t>
        </is>
      </c>
      <c r="F2112" s="0" t="inlineStr">
        <is>
          <t>(8,</t>
        </is>
      </c>
      <c r="G2112" s="0" t="inlineStr">
        <is>
          <t>7)</t>
        </is>
      </c>
      <c r="K2112" s="0">
        <f>IF(H2111="1)",1,IF(H2111="2)",2,IF(H2111="3)",3,IF(H2111="4)",4,IF(H2111="5)",5,IF(H2111="6)",6,IF(H2111="7)",7,IF(H2111="8)",8,0))))))))</f>
        <v/>
      </c>
      <c r="L2112" s="0">
        <f>IF(H2111="1)",J2111,IF(H2111="2)",J2111,IF(H2111="3)",J2111,IF(H2111="4)",J2111,IF(H2111="5)",J2111,IF(H2111="6)",J2111,IF(H2111="7)",J2111,IF(H2111="8)",J2111,0))))))))</f>
        <v/>
      </c>
    </row>
    <row r="2113">
      <c r="A2113" s="0" t="inlineStr">
        <is>
          <t>New</t>
        </is>
      </c>
      <c r="B2113" s="0" t="inlineStr">
        <is>
          <t>Item</t>
        </is>
      </c>
      <c r="C2113" s="0" t="inlineStr">
        <is>
          <t>Acquired</t>
        </is>
      </c>
      <c r="D2113" s="0" t="inlineStr">
        <is>
          <t>:</t>
        </is>
      </c>
      <c r="E2113" s="0" t="inlineStr">
        <is>
          <t>125.00K</t>
        </is>
      </c>
      <c r="F2113" s="0" t="inlineStr">
        <is>
          <t>(6,</t>
        </is>
      </c>
      <c r="G2113" s="0" t="inlineStr">
        <is>
          <t>9)</t>
        </is>
      </c>
      <c r="K2113" s="0">
        <f>IF(H2112="1)",1,IF(H2112="2)",2,IF(H2112="3)",3,IF(H2112="4)",4,IF(H2112="5)",5,IF(H2112="6)",6,IF(H2112="7)",7,IF(H2112="8)",8,0))))))))</f>
        <v/>
      </c>
      <c r="L2113" s="0">
        <f>IF(H2112="1)",J2112,IF(H2112="2)",J2112,IF(H2112="3)",J2112,IF(H2112="4)",J2112,IF(H2112="5)",J2112,IF(H2112="6)",J2112,IF(H2112="7)",J2112,IF(H2112="8)",J2112,0))))))))</f>
        <v/>
      </c>
    </row>
    <row r="2114">
      <c r="A2114" s="0" t="inlineStr">
        <is>
          <t>New</t>
        </is>
      </c>
      <c r="B2114" s="0" t="inlineStr">
        <is>
          <t>Item</t>
        </is>
      </c>
      <c r="C2114" s="0" t="inlineStr">
        <is>
          <t>Acquired</t>
        </is>
      </c>
      <c r="D2114" s="0" t="inlineStr">
        <is>
          <t>:</t>
        </is>
      </c>
      <c r="E2114" s="0" t="inlineStr">
        <is>
          <t>90.00K</t>
        </is>
      </c>
      <c r="F2114" s="0" t="inlineStr">
        <is>
          <t>(7,</t>
        </is>
      </c>
      <c r="G2114" s="0" t="inlineStr">
        <is>
          <t>24)</t>
        </is>
      </c>
      <c r="K2114" s="0">
        <f>IF(H2113="1)",1,IF(H2113="2)",2,IF(H2113="3)",3,IF(H2113="4)",4,IF(H2113="5)",5,IF(H2113="6)",6,IF(H2113="7)",7,IF(H2113="8)",8,0))))))))</f>
        <v/>
      </c>
      <c r="L2114" s="0">
        <f>IF(H2113="1)",J2113,IF(H2113="2)",J2113,IF(H2113="3)",J2113,IF(H2113="4)",J2113,IF(H2113="5)",J2113,IF(H2113="6)",J2113,IF(H2113="7)",J2113,IF(H2113="8)",J2113,0))))))))</f>
        <v/>
      </c>
    </row>
    <row r="2115">
      <c r="A2115" s="0" t="inlineStr">
        <is>
          <t>New</t>
        </is>
      </c>
      <c r="B2115" s="0" t="inlineStr">
        <is>
          <t>Item</t>
        </is>
      </c>
      <c r="C2115" s="0" t="inlineStr">
        <is>
          <t>Acquired</t>
        </is>
      </c>
      <c r="D2115" s="0" t="inlineStr">
        <is>
          <t>:</t>
        </is>
      </c>
      <c r="E2115" s="0" t="inlineStr">
        <is>
          <t>Mini</t>
        </is>
      </c>
      <c r="F2115" s="0" t="inlineStr">
        <is>
          <t>(6,</t>
        </is>
      </c>
      <c r="G2115" s="0" t="inlineStr">
        <is>
          <t>8)</t>
        </is>
      </c>
      <c r="K2115" s="0">
        <f>IF(H2114="1)",1,IF(H2114="2)",2,IF(H2114="3)",3,IF(H2114="4)",4,IF(H2114="5)",5,IF(H2114="6)",6,IF(H2114="7)",7,IF(H2114="8)",8,0))))))))</f>
        <v/>
      </c>
      <c r="L2115" s="0">
        <f>IF(H2114="1)",J2114,IF(H2114="2)",J2114,IF(H2114="3)",J2114,IF(H2114="4)",J2114,IF(H2114="5)",J2114,IF(H2114="6)",J2114,IF(H2114="7)",J2114,IF(H2114="8)",J2114,0))))))))</f>
        <v/>
      </c>
    </row>
    <row r="2116">
      <c r="A2116" s="0" t="inlineStr">
        <is>
          <t>New</t>
        </is>
      </c>
      <c r="B2116" s="0" t="inlineStr">
        <is>
          <t>Item</t>
        </is>
      </c>
      <c r="C2116" s="0" t="inlineStr">
        <is>
          <t>Acquired</t>
        </is>
      </c>
      <c r="D2116" s="0" t="inlineStr">
        <is>
          <t>:</t>
        </is>
      </c>
      <c r="E2116" s="0" t="inlineStr">
        <is>
          <t>125.00K</t>
        </is>
      </c>
      <c r="F2116" s="0" t="inlineStr">
        <is>
          <t>(6,</t>
        </is>
      </c>
      <c r="G2116" s="0" t="inlineStr">
        <is>
          <t>4)</t>
        </is>
      </c>
      <c r="K2116" s="0">
        <f>IF(H2115="1)",1,IF(H2115="2)",2,IF(H2115="3)",3,IF(H2115="4)",4,IF(H2115="5)",5,IF(H2115="6)",6,IF(H2115="7)",7,IF(H2115="8)",8,0))))))))</f>
        <v/>
      </c>
      <c r="L2116" s="0">
        <f>IF(H2115="1)",J2115,IF(H2115="2)",J2115,IF(H2115="3)",J2115,IF(H2115="4)",J2115,IF(H2115="5)",J2115,IF(H2115="6)",J2115,IF(H2115="7)",J2115,IF(H2115="8)",J2115,0))))))))</f>
        <v/>
      </c>
    </row>
    <row r="2117">
      <c r="A2117" s="0" t="inlineStr">
        <is>
          <t>New</t>
        </is>
      </c>
      <c r="B2117" s="0" t="inlineStr">
        <is>
          <t>Item</t>
        </is>
      </c>
      <c r="C2117" s="0" t="inlineStr">
        <is>
          <t>Acquired</t>
        </is>
      </c>
      <c r="D2117" s="0" t="inlineStr">
        <is>
          <t>:</t>
        </is>
      </c>
      <c r="E2117" s="0" t="inlineStr">
        <is>
          <t>75.00K</t>
        </is>
      </c>
      <c r="F2117" s="0" t="inlineStr">
        <is>
          <t>(4,</t>
        </is>
      </c>
      <c r="G2117" s="0" t="inlineStr">
        <is>
          <t>18)</t>
        </is>
      </c>
      <c r="K2117" s="0">
        <f>IF(H2116="1)",1,IF(H2116="2)",2,IF(H2116="3)",3,IF(H2116="4)",4,IF(H2116="5)",5,IF(H2116="6)",6,IF(H2116="7)",7,IF(H2116="8)",8,0))))))))</f>
        <v/>
      </c>
      <c r="L2117" s="0">
        <f>IF(H2116="1)",J2116,IF(H2116="2)",J2116,IF(H2116="3)",J2116,IF(H2116="4)",J2116,IF(H2116="5)",J2116,IF(H2116="6)",J2116,IF(H2116="7)",J2116,IF(H2116="8)",J2116,0))))))))</f>
        <v/>
      </c>
    </row>
    <row r="2118">
      <c r="A2118" s="0" t="inlineStr">
        <is>
          <t>New</t>
        </is>
      </c>
      <c r="B2118" s="0" t="inlineStr">
        <is>
          <t>Item</t>
        </is>
      </c>
      <c r="C2118" s="0" t="inlineStr">
        <is>
          <t>Acquired</t>
        </is>
      </c>
      <c r="D2118" s="0" t="inlineStr">
        <is>
          <t>:</t>
        </is>
      </c>
      <c r="E2118" s="0" t="inlineStr">
        <is>
          <t>45.00K</t>
        </is>
      </c>
      <c r="F2118" s="0" t="inlineStr">
        <is>
          <t>(3,</t>
        </is>
      </c>
      <c r="G2118" s="0" t="inlineStr">
        <is>
          <t>16)</t>
        </is>
      </c>
      <c r="K2118" s="0">
        <f>IF(H2117="1)",1,IF(H2117="2)",2,IF(H2117="3)",3,IF(H2117="4)",4,IF(H2117="5)",5,IF(H2117="6)",6,IF(H2117="7)",7,IF(H2117="8)",8,0))))))))</f>
        <v/>
      </c>
      <c r="L2118" s="0">
        <f>IF(H2117="1)",J2117,IF(H2117="2)",J2117,IF(H2117="3)",J2117,IF(H2117="4)",J2117,IF(H2117="5)",J2117,IF(H2117="6)",J2117,IF(H2117="7)",J2117,IF(H2117="8)",J2117,0))))))))</f>
        <v/>
      </c>
    </row>
    <row r="2119">
      <c r="A2119" s="0" t="inlineStr">
        <is>
          <t>New</t>
        </is>
      </c>
      <c r="B2119" s="0" t="inlineStr">
        <is>
          <t>Item</t>
        </is>
      </c>
      <c r="C2119" s="0" t="inlineStr">
        <is>
          <t>Acquired</t>
        </is>
      </c>
      <c r="D2119" s="0" t="inlineStr">
        <is>
          <t>:</t>
        </is>
      </c>
      <c r="E2119" s="0" t="inlineStr">
        <is>
          <t>60.00K</t>
        </is>
      </c>
      <c r="F2119" s="0" t="inlineStr">
        <is>
          <t>(4,</t>
        </is>
      </c>
      <c r="G2119" s="0" t="inlineStr">
        <is>
          <t>2)</t>
        </is>
      </c>
      <c r="K2119" s="0">
        <f>IF(H2118="1)",1,IF(H2118="2)",2,IF(H2118="3)",3,IF(H2118="4)",4,IF(H2118="5)",5,IF(H2118="6)",6,IF(H2118="7)",7,IF(H2118="8)",8,0))))))))</f>
        <v/>
      </c>
      <c r="L2119" s="0">
        <f>IF(H2118="1)",J2118,IF(H2118="2)",J2118,IF(H2118="3)",J2118,IF(H2118="4)",J2118,IF(H2118="5)",J2118,IF(H2118="6)",J2118,IF(H2118="7)",J2118,IF(H2118="8)",J2118,0))))))))</f>
        <v/>
      </c>
    </row>
    <row r="2120">
      <c r="A2120" s="0" t="inlineStr">
        <is>
          <t>New</t>
        </is>
      </c>
      <c r="B2120" s="0" t="inlineStr">
        <is>
          <t>Item</t>
        </is>
      </c>
      <c r="C2120" s="0" t="inlineStr">
        <is>
          <t>Acquired</t>
        </is>
      </c>
      <c r="D2120" s="0" t="inlineStr">
        <is>
          <t>:</t>
        </is>
      </c>
      <c r="E2120" s="0" t="inlineStr">
        <is>
          <t>200.00K</t>
        </is>
      </c>
      <c r="F2120" s="0" t="inlineStr">
        <is>
          <t>(8,</t>
        </is>
      </c>
      <c r="G2120" s="0" t="inlineStr">
        <is>
          <t>25)</t>
        </is>
      </c>
      <c r="K2120" s="0">
        <f>IF(H2119="1)",1,IF(H2119="2)",2,IF(H2119="3)",3,IF(H2119="4)",4,IF(H2119="5)",5,IF(H2119="6)",6,IF(H2119="7)",7,IF(H2119="8)",8,0))))))))</f>
        <v/>
      </c>
      <c r="L2120" s="0">
        <f>IF(H2119="1)",J2119,IF(H2119="2)",J2119,IF(H2119="3)",J2119,IF(H2119="4)",J2119,IF(H2119="5)",J2119,IF(H2119="6)",J2119,IF(H2119="7)",J2119,IF(H2119="8)",J2119,0))))))))</f>
        <v/>
      </c>
    </row>
    <row r="2121">
      <c r="A2121" s="0" t="inlineStr">
        <is>
          <t>New</t>
        </is>
      </c>
      <c r="B2121" s="0" t="inlineStr">
        <is>
          <t>Item</t>
        </is>
      </c>
      <c r="C2121" s="0" t="inlineStr">
        <is>
          <t>Acquired</t>
        </is>
      </c>
      <c r="D2121" s="0" t="inlineStr">
        <is>
          <t>:</t>
        </is>
      </c>
      <c r="E2121" s="0" t="inlineStr">
        <is>
          <t>105.00K</t>
        </is>
      </c>
      <c r="F2121" s="0" t="inlineStr">
        <is>
          <t>(3,</t>
        </is>
      </c>
      <c r="G2121" s="0" t="inlineStr">
        <is>
          <t>24)</t>
        </is>
      </c>
      <c r="K2121" s="0">
        <f>IF(H2120="1)",1,IF(H2120="2)",2,IF(H2120="3)",3,IF(H2120="4)",4,IF(H2120="5)",5,IF(H2120="6)",6,IF(H2120="7)",7,IF(H2120="8)",8,0))))))))</f>
        <v/>
      </c>
      <c r="L2121" s="0">
        <f>IF(H2120="1)",J2120,IF(H2120="2)",J2120,IF(H2120="3)",J2120,IF(H2120="4)",J2120,IF(H2120="5)",J2120,IF(H2120="6)",J2120,IF(H2120="7)",J2120,IF(H2120="8)",J2120,0))))))))</f>
        <v/>
      </c>
    </row>
    <row r="2122">
      <c r="A2122" s="0" t="inlineStr">
        <is>
          <t>New</t>
        </is>
      </c>
      <c r="B2122" s="0" t="inlineStr">
        <is>
          <t>Item</t>
        </is>
      </c>
      <c r="C2122" s="0" t="inlineStr">
        <is>
          <t>Acquired</t>
        </is>
      </c>
      <c r="D2122" s="0" t="inlineStr">
        <is>
          <t>:</t>
        </is>
      </c>
      <c r="E2122" s="0" t="inlineStr">
        <is>
          <t>Minor</t>
        </is>
      </c>
      <c r="F2122" s="0" t="inlineStr">
        <is>
          <t>(1,</t>
        </is>
      </c>
      <c r="G2122" s="0" t="inlineStr">
        <is>
          <t>2)</t>
        </is>
      </c>
      <c r="K2122" s="0">
        <f>IF(H2121="1)",1,IF(H2121="2)",2,IF(H2121="3)",3,IF(H2121="4)",4,IF(H2121="5)",5,IF(H2121="6)",6,IF(H2121="7)",7,IF(H2121="8)",8,0))))))))</f>
        <v/>
      </c>
      <c r="L2122" s="0">
        <f>IF(H2121="1)",J2121,IF(H2121="2)",J2121,IF(H2121="3)",J2121,IF(H2121="4)",J2121,IF(H2121="5)",J2121,IF(H2121="6)",J2121,IF(H2121="7)",J2121,IF(H2121="8)",J2121,0))))))))</f>
        <v/>
      </c>
    </row>
    <row r="2123">
      <c r="A2123" s="0" t="inlineStr">
        <is>
          <t>New</t>
        </is>
      </c>
      <c r="B2123" s="0" t="inlineStr">
        <is>
          <t>Item</t>
        </is>
      </c>
      <c r="C2123" s="0" t="inlineStr">
        <is>
          <t>Acquired</t>
        </is>
      </c>
      <c r="D2123" s="0" t="inlineStr">
        <is>
          <t>:</t>
        </is>
      </c>
      <c r="E2123" s="0" t="inlineStr">
        <is>
          <t>75.00K</t>
        </is>
      </c>
      <c r="F2123" s="0" t="inlineStr">
        <is>
          <t>(6,</t>
        </is>
      </c>
      <c r="G2123" s="0" t="inlineStr">
        <is>
          <t>1)</t>
        </is>
      </c>
      <c r="K2123" s="0">
        <f>IF(H2122="1)",1,IF(H2122="2)",2,IF(H2122="3)",3,IF(H2122="4)",4,IF(H2122="5)",5,IF(H2122="6)",6,IF(H2122="7)",7,IF(H2122="8)",8,0))))))))</f>
        <v/>
      </c>
      <c r="L2123" s="0">
        <f>IF(H2122="1)",J2122,IF(H2122="2)",J2122,IF(H2122="3)",J2122,IF(H2122="4)",J2122,IF(H2122="5)",J2122,IF(H2122="6)",J2122,IF(H2122="7)",J2122,IF(H2122="8)",J2122,0))))))))</f>
        <v/>
      </c>
    </row>
    <row r="2124">
      <c r="A2124" s="0" t="inlineStr">
        <is>
          <t>New</t>
        </is>
      </c>
      <c r="B2124" s="0" t="inlineStr">
        <is>
          <t>Item</t>
        </is>
      </c>
      <c r="C2124" s="0" t="inlineStr">
        <is>
          <t>Acquired</t>
        </is>
      </c>
      <c r="D2124" s="0" t="inlineStr">
        <is>
          <t>:</t>
        </is>
      </c>
      <c r="E2124" s="0" t="inlineStr">
        <is>
          <t>157.50K</t>
        </is>
      </c>
      <c r="F2124" s="0" t="inlineStr">
        <is>
          <t>(5,</t>
        </is>
      </c>
      <c r="G2124" s="0" t="inlineStr">
        <is>
          <t>12)</t>
        </is>
      </c>
      <c r="K2124" s="0">
        <f>IF(H2123="1)",1,IF(H2123="2)",2,IF(H2123="3)",3,IF(H2123="4)",4,IF(H2123="5)",5,IF(H2123="6)",6,IF(H2123="7)",7,IF(H2123="8)",8,0))))))))</f>
        <v/>
      </c>
      <c r="L2124" s="0">
        <f>IF(H2123="1)",J2123,IF(H2123="2)",J2123,IF(H2123="3)",J2123,IF(H2123="4)",J2123,IF(H2123="5)",J2123,IF(H2123="6)",J2123,IF(H2123="7)",J2123,IF(H2123="8)",J2123,0))))))))</f>
        <v/>
      </c>
    </row>
    <row r="2125">
      <c r="A2125" s="0" t="inlineStr">
        <is>
          <t>New</t>
        </is>
      </c>
      <c r="B2125" s="0" t="inlineStr">
        <is>
          <t>Item</t>
        </is>
      </c>
      <c r="C2125" s="0" t="inlineStr">
        <is>
          <t>Acquired</t>
        </is>
      </c>
      <c r="D2125" s="0" t="inlineStr">
        <is>
          <t>:</t>
        </is>
      </c>
      <c r="E2125" s="0" t="inlineStr">
        <is>
          <t>Mini</t>
        </is>
      </c>
      <c r="F2125" s="0" t="inlineStr">
        <is>
          <t>(4,</t>
        </is>
      </c>
      <c r="G2125" s="0" t="inlineStr">
        <is>
          <t>23)</t>
        </is>
      </c>
      <c r="K2125" s="0">
        <f>IF(H2124="1)",1,IF(H2124="2)",2,IF(H2124="3)",3,IF(H2124="4)",4,IF(H2124="5)",5,IF(H2124="6)",6,IF(H2124="7)",7,IF(H2124="8)",8,0))))))))</f>
        <v/>
      </c>
      <c r="L2125" s="0">
        <f>IF(H2124="1)",J2124,IF(H2124="2)",J2124,IF(H2124="3)",J2124,IF(H2124="4)",J2124,IF(H2124="5)",J2124,IF(H2124="6)",J2124,IF(H2124="7)",J2124,IF(H2124="8)",J2124,0))))))))</f>
        <v/>
      </c>
    </row>
    <row r="2126">
      <c r="A2126" s="0" t="inlineStr">
        <is>
          <t>New</t>
        </is>
      </c>
      <c r="B2126" s="0" t="inlineStr">
        <is>
          <t>Item</t>
        </is>
      </c>
      <c r="C2126" s="0" t="inlineStr">
        <is>
          <t>Acquired</t>
        </is>
      </c>
      <c r="D2126" s="0" t="inlineStr">
        <is>
          <t>:</t>
        </is>
      </c>
      <c r="E2126" s="0" t="inlineStr">
        <is>
          <t>200.00K</t>
        </is>
      </c>
      <c r="F2126" s="0" t="inlineStr">
        <is>
          <t>(8,</t>
        </is>
      </c>
      <c r="G2126" s="0" t="inlineStr">
        <is>
          <t>17)</t>
        </is>
      </c>
      <c r="K2126" s="0">
        <f>IF(H2125="1)",1,IF(H2125="2)",2,IF(H2125="3)",3,IF(H2125="4)",4,IF(H2125="5)",5,IF(H2125="6)",6,IF(H2125="7)",7,IF(H2125="8)",8,0))))))))</f>
        <v/>
      </c>
      <c r="L2126" s="0">
        <f>IF(H2125="1)",J2125,IF(H2125="2)",J2125,IF(H2125="3)",J2125,IF(H2125="4)",J2125,IF(H2125="5)",J2125,IF(H2125="6)",J2125,IF(H2125="7)",J2125,IF(H2125="8)",J2125,0))))))))</f>
        <v/>
      </c>
    </row>
    <row r="2127">
      <c r="A2127" s="0" t="inlineStr">
        <is>
          <t>New</t>
        </is>
      </c>
      <c r="B2127" s="0" t="inlineStr">
        <is>
          <t>Item</t>
        </is>
      </c>
      <c r="C2127" s="0" t="inlineStr">
        <is>
          <t>Acquired</t>
        </is>
      </c>
      <c r="D2127" s="0" t="inlineStr">
        <is>
          <t>:</t>
        </is>
      </c>
      <c r="E2127" s="0" t="inlineStr">
        <is>
          <t>Minor</t>
        </is>
      </c>
      <c r="F2127" s="0" t="inlineStr">
        <is>
          <t>(5,</t>
        </is>
      </c>
      <c r="G2127" s="0" t="inlineStr">
        <is>
          <t>11)</t>
        </is>
      </c>
      <c r="K2127" s="0">
        <f>IF(H2126="1)",1,IF(H2126="2)",2,IF(H2126="3)",3,IF(H2126="4)",4,IF(H2126="5)",5,IF(H2126="6)",6,IF(H2126="7)",7,IF(H2126="8)",8,0))))))))</f>
        <v/>
      </c>
      <c r="L2127" s="0">
        <f>IF(H2126="1)",J2126,IF(H2126="2)",J2126,IF(H2126="3)",J2126,IF(H2126="4)",J2126,IF(H2126="5)",J2126,IF(H2126="6)",J2126,IF(H2126="7)",J2126,IF(H2126="8)",J2126,0))))))))</f>
        <v/>
      </c>
    </row>
    <row r="2128">
      <c r="A2128" s="0" t="inlineStr">
        <is>
          <t>New</t>
        </is>
      </c>
      <c r="B2128" s="0" t="inlineStr">
        <is>
          <t>Item</t>
        </is>
      </c>
      <c r="C2128" s="0" t="inlineStr">
        <is>
          <t>Acquired</t>
        </is>
      </c>
      <c r="D2128" s="0" t="inlineStr">
        <is>
          <t>:</t>
        </is>
      </c>
      <c r="E2128" s="0" t="inlineStr">
        <is>
          <t>75.00K</t>
        </is>
      </c>
      <c r="F2128" s="0" t="inlineStr">
        <is>
          <t>(4,</t>
        </is>
      </c>
      <c r="G2128" s="0" t="inlineStr">
        <is>
          <t>12)</t>
        </is>
      </c>
      <c r="K2128" s="0">
        <f>IF(H2127="1)",1,IF(H2127="2)",2,IF(H2127="3)",3,IF(H2127="4)",4,IF(H2127="5)",5,IF(H2127="6)",6,IF(H2127="7)",7,IF(H2127="8)",8,0))))))))</f>
        <v/>
      </c>
      <c r="L2128" s="0">
        <f>IF(H2127="1)",J2127,IF(H2127="2)",J2127,IF(H2127="3)",J2127,IF(H2127="4)",J2127,IF(H2127="5)",J2127,IF(H2127="6)",J2127,IF(H2127="7)",J2127,IF(H2127="8)",J2127,0))))))))</f>
        <v/>
      </c>
    </row>
    <row r="2129">
      <c r="A2129" s="0" t="inlineStr">
        <is>
          <t>New</t>
        </is>
      </c>
      <c r="B2129" s="0" t="inlineStr">
        <is>
          <t>Item</t>
        </is>
      </c>
      <c r="C2129" s="0" t="inlineStr">
        <is>
          <t>Acquired</t>
        </is>
      </c>
      <c r="D2129" s="0" t="inlineStr">
        <is>
          <t>:</t>
        </is>
      </c>
      <c r="E2129" s="0" t="inlineStr">
        <is>
          <t>90.00K</t>
        </is>
      </c>
      <c r="F2129" s="0" t="inlineStr">
        <is>
          <t>(7,</t>
        </is>
      </c>
      <c r="G2129" s="0" t="inlineStr">
        <is>
          <t>9)</t>
        </is>
      </c>
      <c r="K2129" s="0">
        <f>IF(H2128="1)",1,IF(H2128="2)",2,IF(H2128="3)",3,IF(H2128="4)",4,IF(H2128="5)",5,IF(H2128="6)",6,IF(H2128="7)",7,IF(H2128="8)",8,0))))))))</f>
        <v/>
      </c>
      <c r="L2129" s="0">
        <f>IF(H2128="1)",J2128,IF(H2128="2)",J2128,IF(H2128="3)",J2128,IF(H2128="4)",J2128,IF(H2128="5)",J2128,IF(H2128="6)",J2128,IF(H2128="7)",J2128,IF(H2128="8)",J2128,0))))))))</f>
        <v/>
      </c>
    </row>
    <row r="2130">
      <c r="A2130" s="0" t="inlineStr">
        <is>
          <t>New</t>
        </is>
      </c>
      <c r="B2130" s="0" t="inlineStr">
        <is>
          <t>Item</t>
        </is>
      </c>
      <c r="C2130" s="0" t="inlineStr">
        <is>
          <t>Acquired</t>
        </is>
      </c>
      <c r="D2130" s="0" t="inlineStr">
        <is>
          <t>:</t>
        </is>
      </c>
      <c r="E2130" s="0" t="inlineStr">
        <is>
          <t>60.00K</t>
        </is>
      </c>
      <c r="F2130" s="0" t="inlineStr">
        <is>
          <t>(4,</t>
        </is>
      </c>
      <c r="G2130" s="0" t="inlineStr">
        <is>
          <t>1)</t>
        </is>
      </c>
      <c r="K2130" s="0">
        <f>IF(H2129="1)",1,IF(H2129="2)",2,IF(H2129="3)",3,IF(H2129="4)",4,IF(H2129="5)",5,IF(H2129="6)",6,IF(H2129="7)",7,IF(H2129="8)",8,0))))))))</f>
        <v/>
      </c>
      <c r="L2130" s="0">
        <f>IF(H2129="1)",J2129,IF(H2129="2)",J2129,IF(H2129="3)",J2129,IF(H2129="4)",J2129,IF(H2129="5)",J2129,IF(H2129="6)",J2129,IF(H2129="7)",J2129,IF(H2129="8)",J2129,0))))))))</f>
        <v/>
      </c>
    </row>
    <row r="2131">
      <c r="A2131" s="0" t="inlineStr">
        <is>
          <t>New</t>
        </is>
      </c>
      <c r="B2131" s="0" t="inlineStr">
        <is>
          <t>Item</t>
        </is>
      </c>
      <c r="C2131" s="0" t="inlineStr">
        <is>
          <t>Acquired</t>
        </is>
      </c>
      <c r="D2131" s="0" t="inlineStr">
        <is>
          <t>:</t>
        </is>
      </c>
      <c r="E2131" s="0" t="inlineStr">
        <is>
          <t>Minor</t>
        </is>
      </c>
      <c r="F2131" s="0" t="inlineStr">
        <is>
          <t>(6,</t>
        </is>
      </c>
      <c r="G2131" s="0" t="inlineStr">
        <is>
          <t>21)</t>
        </is>
      </c>
      <c r="K2131" s="0">
        <f>IF(H2130="1)",1,IF(H2130="2)",2,IF(H2130="3)",3,IF(H2130="4)",4,IF(H2130="5)",5,IF(H2130="6)",6,IF(H2130="7)",7,IF(H2130="8)",8,0))))))))</f>
        <v/>
      </c>
      <c r="L2131" s="0">
        <f>IF(H2130="1)",J2130,IF(H2130="2)",J2130,IF(H2130="3)",J2130,IF(H2130="4)",J2130,IF(H2130="5)",J2130,IF(H2130="6)",J2130,IF(H2130="7)",J2130,IF(H2130="8)",J2130,0))))))))</f>
        <v/>
      </c>
    </row>
    <row r="2132">
      <c r="A2132" s="0" t="inlineStr">
        <is>
          <t>New</t>
        </is>
      </c>
      <c r="B2132" s="0" t="inlineStr">
        <is>
          <t>Item</t>
        </is>
      </c>
      <c r="C2132" s="0" t="inlineStr">
        <is>
          <t>Acquired</t>
        </is>
      </c>
      <c r="D2132" s="0" t="inlineStr">
        <is>
          <t>:</t>
        </is>
      </c>
      <c r="E2132" s="0" t="inlineStr">
        <is>
          <t>125.00K</t>
        </is>
      </c>
      <c r="F2132" s="0" t="inlineStr">
        <is>
          <t>(6,</t>
        </is>
      </c>
      <c r="G2132" s="0" t="inlineStr">
        <is>
          <t>16)</t>
        </is>
      </c>
      <c r="K2132" s="0">
        <f>IF(H2131="1)",1,IF(H2131="2)",2,IF(H2131="3)",3,IF(H2131="4)",4,IF(H2131="5)",5,IF(H2131="6)",6,IF(H2131="7)",7,IF(H2131="8)",8,0))))))))</f>
        <v/>
      </c>
      <c r="L2132" s="0">
        <f>IF(H2131="1)",J2131,IF(H2131="2)",J2131,IF(H2131="3)",J2131,IF(H2131="4)",J2131,IF(H2131="5)",J2131,IF(H2131="6)",J2131,IF(H2131="7)",J2131,IF(H2131="8)",J2131,0))))))))</f>
        <v/>
      </c>
    </row>
    <row r="2133">
      <c r="A2133" s="0" t="inlineStr">
        <is>
          <t>New</t>
        </is>
      </c>
      <c r="B2133" s="0" t="inlineStr">
        <is>
          <t>Item</t>
        </is>
      </c>
      <c r="C2133" s="0" t="inlineStr">
        <is>
          <t>Acquired</t>
        </is>
      </c>
      <c r="D2133" s="0" t="inlineStr">
        <is>
          <t>:</t>
        </is>
      </c>
      <c r="E2133" s="0" t="inlineStr">
        <is>
          <t>200.00K</t>
        </is>
      </c>
      <c r="F2133" s="0" t="inlineStr">
        <is>
          <t>(8,</t>
        </is>
      </c>
      <c r="G2133" s="0" t="inlineStr">
        <is>
          <t>10)</t>
        </is>
      </c>
      <c r="K2133" s="0">
        <f>IF(H2132="1)",1,IF(H2132="2)",2,IF(H2132="3)",3,IF(H2132="4)",4,IF(H2132="5)",5,IF(H2132="6)",6,IF(H2132="7)",7,IF(H2132="8)",8,0))))))))</f>
        <v/>
      </c>
      <c r="L2133" s="0">
        <f>IF(H2132="1)",J2132,IF(H2132="2)",J2132,IF(H2132="3)",J2132,IF(H2132="4)",J2132,IF(H2132="5)",J2132,IF(H2132="6)",J2132,IF(H2132="7)",J2132,IF(H2132="8)",J2132,0))))))))</f>
        <v/>
      </c>
    </row>
    <row r="2134">
      <c r="A2134" s="0" t="inlineStr">
        <is>
          <t>New</t>
        </is>
      </c>
      <c r="B2134" s="0" t="inlineStr">
        <is>
          <t>Item</t>
        </is>
      </c>
      <c r="C2134" s="0" t="inlineStr">
        <is>
          <t>Acquired</t>
        </is>
      </c>
      <c r="D2134" s="0" t="inlineStr">
        <is>
          <t>:</t>
        </is>
      </c>
      <c r="E2134" s="0" t="inlineStr">
        <is>
          <t>Mini</t>
        </is>
      </c>
      <c r="F2134" s="0" t="inlineStr">
        <is>
          <t>(5,</t>
        </is>
      </c>
      <c r="G2134" s="0" t="inlineStr">
        <is>
          <t>21)</t>
        </is>
      </c>
      <c r="K2134" s="0">
        <f>IF(H2133="1)",1,IF(H2133="2)",2,IF(H2133="3)",3,IF(H2133="4)",4,IF(H2133="5)",5,IF(H2133="6)",6,IF(H2133="7)",7,IF(H2133="8)",8,0))))))))</f>
        <v/>
      </c>
      <c r="L2134" s="0">
        <f>IF(H2133="1)",J2133,IF(H2133="2)",J2133,IF(H2133="3)",J2133,IF(H2133="4)",J2133,IF(H2133="5)",J2133,IF(H2133="6)",J2133,IF(H2133="7)",J2133,IF(H2133="8)",J2133,0))))))))</f>
        <v/>
      </c>
    </row>
    <row r="2135">
      <c r="A2135" s="0" t="inlineStr">
        <is>
          <t>Line</t>
        </is>
      </c>
      <c r="B2135" s="0" t="inlineStr">
        <is>
          <t>Prize</t>
        </is>
      </c>
      <c r="C2135" s="0" t="inlineStr">
        <is>
          <t>Acquired</t>
        </is>
      </c>
      <c r="D2135" s="0" t="inlineStr">
        <is>
          <t>:</t>
        </is>
      </c>
      <c r="E2135" s="0" t="inlineStr">
        <is>
          <t>765.00K</t>
        </is>
      </c>
      <c r="F2135" s="0" t="inlineStr">
        <is>
          <t>(Stage</t>
        </is>
      </c>
      <c r="G2135" s="0" t="inlineStr">
        <is>
          <t>:</t>
        </is>
      </c>
      <c r="H2135" s="0" t="inlineStr">
        <is>
          <t>5)</t>
        </is>
      </c>
      <c r="I2135" s="0" t="inlineStr">
        <is>
          <t>-</t>
        </is>
      </c>
      <c r="J2135" s="0" t="n">
        <v>765000</v>
      </c>
      <c r="K2135" s="0">
        <f>IF(H2134="1)",1,IF(H2134="2)",2,IF(H2134="3)",3,IF(H2134="4)",4,IF(H2134="5)",5,IF(H2134="6)",6,IF(H2134="7)",7,IF(H2134="8)",8,0))))))))</f>
        <v/>
      </c>
      <c r="L2135" s="0">
        <f>IF(H2134="1)",J2134,IF(H2134="2)",J2134,IF(H2134="3)",J2134,IF(H2134="4)",J2134,IF(H2134="5)",J2134,IF(H2134="6)",J2134,IF(H2134="7)",J2134,IF(H2134="8)",J2134,0))))))))</f>
        <v/>
      </c>
    </row>
    <row r="2136">
      <c r="A2136" s="0" t="inlineStr">
        <is>
          <t>Line</t>
        </is>
      </c>
      <c r="B2136" s="0" t="inlineStr">
        <is>
          <t>Prize</t>
        </is>
      </c>
      <c r="C2136" s="0" t="inlineStr">
        <is>
          <t>Acquired</t>
        </is>
      </c>
      <c r="D2136" s="0" t="inlineStr">
        <is>
          <t>:</t>
        </is>
      </c>
      <c r="E2136" s="0" t="inlineStr">
        <is>
          <t>2.08M</t>
        </is>
      </c>
      <c r="F2136" s="0" t="inlineStr">
        <is>
          <t>(Stage</t>
        </is>
      </c>
      <c r="G2136" s="0" t="inlineStr">
        <is>
          <t>:</t>
        </is>
      </c>
      <c r="H2136" s="0" t="inlineStr">
        <is>
          <t>5)</t>
        </is>
      </c>
      <c r="I2136" s="0" t="inlineStr">
        <is>
          <t>-</t>
        </is>
      </c>
      <c r="J2136" s="0" t="n">
        <v>2080000</v>
      </c>
      <c r="K2136" s="0">
        <f>IF(H2135="1)",1,IF(H2135="2)",2,IF(H2135="3)",3,IF(H2135="4)",4,IF(H2135="5)",5,IF(H2135="6)",6,IF(H2135="7)",7,IF(H2135="8)",8,0))))))))</f>
        <v/>
      </c>
      <c r="L2136" s="0">
        <f>IF(H2135="1)",J2135,IF(H2135="2)",J2135,IF(H2135="3)",J2135,IF(H2135="4)",J2135,IF(H2135="5)",J2135,IF(H2135="6)",J2135,IF(H2135="7)",J2135,IF(H2135="8)",J2135,0))))))))</f>
        <v/>
      </c>
    </row>
    <row r="2137">
      <c r="A2137" s="0" t="inlineStr">
        <is>
          <t>Clear</t>
        </is>
      </c>
      <c r="B2137" s="0" t="inlineStr">
        <is>
          <t>Gem</t>
        </is>
      </c>
      <c r="C2137" s="0" t="inlineStr">
        <is>
          <t>Acquired</t>
        </is>
      </c>
      <c r="D2137" s="0" t="inlineStr">
        <is>
          <t>:</t>
        </is>
      </c>
      <c r="E2137" s="0" t="n">
        <v>12900</v>
      </c>
      <c r="F2137" s="0" t="inlineStr">
        <is>
          <t>-&gt;</t>
        </is>
      </c>
      <c r="G2137" s="0" t="n">
        <v>13000</v>
      </c>
      <c r="H2137" s="0" t="inlineStr">
        <is>
          <t>(Stage</t>
        </is>
      </c>
      <c r="I2137" s="0" t="inlineStr">
        <is>
          <t>:</t>
        </is>
      </c>
      <c r="J2137" s="0" t="inlineStr">
        <is>
          <t>5)</t>
        </is>
      </c>
      <c r="K2137" s="0">
        <f>IF(H2136="1)",1,IF(H2136="2)",2,IF(H2136="3)",3,IF(H2136="4)",4,IF(H2136="5)",5,IF(H2136="6)",6,IF(H2136="7)",7,IF(H2136="8)",8,0))))))))</f>
        <v/>
      </c>
      <c r="L2137" s="0">
        <f>IF(H2136="1)",J2136,IF(H2136="2)",J2136,IF(H2136="3)",J2136,IF(H2136="4)",J2136,IF(H2136="5)",J2136,IF(H2136="6)",J2136,IF(H2136="7)",J2136,IF(H2136="8)",J2136,0))))))))</f>
        <v/>
      </c>
    </row>
    <row r="2138">
      <c r="A2138" s="0" t="inlineStr">
        <is>
          <t>New</t>
        </is>
      </c>
      <c r="B2138" s="0" t="inlineStr">
        <is>
          <t>Item</t>
        </is>
      </c>
      <c r="C2138" s="0" t="inlineStr">
        <is>
          <t>Acquired</t>
        </is>
      </c>
      <c r="D2138" s="0" t="inlineStr">
        <is>
          <t>:</t>
        </is>
      </c>
      <c r="E2138" s="0" t="inlineStr">
        <is>
          <t>120.00K</t>
        </is>
      </c>
      <c r="F2138" s="0" t="inlineStr">
        <is>
          <t>(8,</t>
        </is>
      </c>
      <c r="G2138" s="0" t="inlineStr">
        <is>
          <t>24)</t>
        </is>
      </c>
      <c r="K2138" s="0">
        <f>IF(H2137="1)",1,IF(H2137="2)",2,IF(H2137="3)",3,IF(H2137="4)",4,IF(H2137="5)",5,IF(H2137="6)",6,IF(H2137="7)",7,IF(H2137="8)",8,0))))))))</f>
        <v/>
      </c>
      <c r="L2138" s="0">
        <f>IF(H2137="1)",J2137,IF(H2137="2)",J2137,IF(H2137="3)",J2137,IF(H2137="4)",J2137,IF(H2137="5)",J2137,IF(H2137="6)",J2137,IF(H2137="7)",J2137,IF(H2137="8)",J2137,0))))))))</f>
        <v/>
      </c>
    </row>
    <row r="2139">
      <c r="A2139" s="0" t="inlineStr">
        <is>
          <t>New</t>
        </is>
      </c>
      <c r="B2139" s="0" t="inlineStr">
        <is>
          <t>Item</t>
        </is>
      </c>
      <c r="C2139" s="0" t="inlineStr">
        <is>
          <t>Acquired</t>
        </is>
      </c>
      <c r="D2139" s="0" t="inlineStr">
        <is>
          <t>:</t>
        </is>
      </c>
      <c r="E2139" s="0" t="inlineStr">
        <is>
          <t>Mini</t>
        </is>
      </c>
      <c r="F2139" s="0" t="inlineStr">
        <is>
          <t>(8,</t>
        </is>
      </c>
      <c r="G2139" s="0" t="inlineStr">
        <is>
          <t>14)</t>
        </is>
      </c>
      <c r="K2139" s="0">
        <f>IF(H2138="1)",1,IF(H2138="2)",2,IF(H2138="3)",3,IF(H2138="4)",4,IF(H2138="5)",5,IF(H2138="6)",6,IF(H2138="7)",7,IF(H2138="8)",8,0))))))))</f>
        <v/>
      </c>
      <c r="L2139" s="0">
        <f>IF(H2138="1)",J2138,IF(H2138="2)",J2138,IF(H2138="3)",J2138,IF(H2138="4)",J2138,IF(H2138="5)",J2138,IF(H2138="6)",J2138,IF(H2138="7)",J2138,IF(H2138="8)",J2138,0))))))))</f>
        <v/>
      </c>
    </row>
    <row r="2140">
      <c r="A2140" s="0" t="inlineStr">
        <is>
          <t>New</t>
        </is>
      </c>
      <c r="B2140" s="0" t="inlineStr">
        <is>
          <t>Item</t>
        </is>
      </c>
      <c r="C2140" s="0" t="inlineStr">
        <is>
          <t>Acquired</t>
        </is>
      </c>
      <c r="D2140" s="0" t="inlineStr">
        <is>
          <t>:</t>
        </is>
      </c>
      <c r="E2140" s="0" t="inlineStr">
        <is>
          <t>280.00K</t>
        </is>
      </c>
      <c r="F2140" s="0" t="inlineStr">
        <is>
          <t>(8,</t>
        </is>
      </c>
      <c r="G2140" s="0" t="inlineStr">
        <is>
          <t>2)</t>
        </is>
      </c>
      <c r="K2140" s="0">
        <f>IF(H2139="1)",1,IF(H2139="2)",2,IF(H2139="3)",3,IF(H2139="4)",4,IF(H2139="5)",5,IF(H2139="6)",6,IF(H2139="7)",7,IF(H2139="8)",8,0))))))))</f>
        <v/>
      </c>
      <c r="L2140" s="0">
        <f>IF(H2139="1)",J2139,IF(H2139="2)",J2139,IF(H2139="3)",J2139,IF(H2139="4)",J2139,IF(H2139="5)",J2139,IF(H2139="6)",J2139,IF(H2139="7)",J2139,IF(H2139="8)",J2139,0))))))))</f>
        <v/>
      </c>
    </row>
    <row r="2141">
      <c r="A2141" s="0" t="inlineStr">
        <is>
          <t>New</t>
        </is>
      </c>
      <c r="B2141" s="0" t="inlineStr">
        <is>
          <t>Item</t>
        </is>
      </c>
      <c r="C2141" s="0" t="inlineStr">
        <is>
          <t>Acquired</t>
        </is>
      </c>
      <c r="D2141" s="0" t="inlineStr">
        <is>
          <t>:</t>
        </is>
      </c>
      <c r="E2141" s="0" t="inlineStr">
        <is>
          <t>50.00K</t>
        </is>
      </c>
      <c r="F2141" s="0" t="inlineStr">
        <is>
          <t>(1,</t>
        </is>
      </c>
      <c r="G2141" s="0" t="inlineStr">
        <is>
          <t>14)</t>
        </is>
      </c>
      <c r="K2141" s="0">
        <f>IF(H2140="1)",1,IF(H2140="2)",2,IF(H2140="3)",3,IF(H2140="4)",4,IF(H2140="5)",5,IF(H2140="6)",6,IF(H2140="7)",7,IF(H2140="8)",8,0))))))))</f>
        <v/>
      </c>
      <c r="L2141" s="0">
        <f>IF(H2140="1)",J2140,IF(H2140="2)",J2140,IF(H2140="3)",J2140,IF(H2140="4)",J2140,IF(H2140="5)",J2140,IF(H2140="6)",J2140,IF(H2140="7)",J2140,IF(H2140="8)",J2140,0))))))))</f>
        <v/>
      </c>
    </row>
    <row r="2142">
      <c r="A2142" s="0" t="inlineStr">
        <is>
          <t>New</t>
        </is>
      </c>
      <c r="B2142" s="0" t="inlineStr">
        <is>
          <t>Item</t>
        </is>
      </c>
      <c r="C2142" s="0" t="inlineStr">
        <is>
          <t>Acquired</t>
        </is>
      </c>
      <c r="D2142" s="0" t="inlineStr">
        <is>
          <t>:</t>
        </is>
      </c>
      <c r="E2142" s="0" t="inlineStr">
        <is>
          <t>60.00K</t>
        </is>
      </c>
      <c r="F2142" s="0" t="inlineStr">
        <is>
          <t>(4,</t>
        </is>
      </c>
      <c r="G2142" s="0" t="inlineStr">
        <is>
          <t>14)</t>
        </is>
      </c>
      <c r="K2142" s="0">
        <f>IF(H2141="1)",1,IF(H2141="2)",2,IF(H2141="3)",3,IF(H2141="4)",4,IF(H2141="5)",5,IF(H2141="6)",6,IF(H2141="7)",7,IF(H2141="8)",8,0))))))))</f>
        <v/>
      </c>
      <c r="L2142" s="0">
        <f>IF(H2141="1)",J2141,IF(H2141="2)",J2141,IF(H2141="3)",J2141,IF(H2141="4)",J2141,IF(H2141="5)",J2141,IF(H2141="6)",J2141,IF(H2141="7)",J2141,IF(H2141="8)",J2141,0))))))))</f>
        <v/>
      </c>
    </row>
    <row r="2143">
      <c r="A2143" s="0" t="inlineStr">
        <is>
          <t>New</t>
        </is>
      </c>
      <c r="B2143" s="0" t="inlineStr">
        <is>
          <t>Item</t>
        </is>
      </c>
      <c r="C2143" s="0" t="inlineStr">
        <is>
          <t>Acquired</t>
        </is>
      </c>
      <c r="D2143" s="0" t="inlineStr">
        <is>
          <t>:</t>
        </is>
      </c>
      <c r="E2143" s="0" t="inlineStr">
        <is>
          <t>50.00K</t>
        </is>
      </c>
      <c r="F2143" s="0" t="inlineStr">
        <is>
          <t>(1,</t>
        </is>
      </c>
      <c r="G2143" s="0" t="inlineStr">
        <is>
          <t>7)</t>
        </is>
      </c>
      <c r="K2143" s="0">
        <f>IF(H2142="1)",1,IF(H2142="2)",2,IF(H2142="3)",3,IF(H2142="4)",4,IF(H2142="5)",5,IF(H2142="6)",6,IF(H2142="7)",7,IF(H2142="8)",8,0))))))))</f>
        <v/>
      </c>
      <c r="L2143" s="0">
        <f>IF(H2142="1)",J2142,IF(H2142="2)",J2142,IF(H2142="3)",J2142,IF(H2142="4)",J2142,IF(H2142="5)",J2142,IF(H2142="6)",J2142,IF(H2142="7)",J2142,IF(H2142="8)",J2142,0))))))))</f>
        <v/>
      </c>
    </row>
    <row r="2144">
      <c r="A2144" s="0" t="inlineStr">
        <is>
          <t>New</t>
        </is>
      </c>
      <c r="B2144" s="0" t="inlineStr">
        <is>
          <t>Item</t>
        </is>
      </c>
      <c r="C2144" s="0" t="inlineStr">
        <is>
          <t>Acquired</t>
        </is>
      </c>
      <c r="D2144" s="0" t="inlineStr">
        <is>
          <t>:</t>
        </is>
      </c>
      <c r="E2144" s="0" t="inlineStr">
        <is>
          <t>157.50K</t>
        </is>
      </c>
      <c r="F2144" s="0" t="inlineStr">
        <is>
          <t>(5,</t>
        </is>
      </c>
      <c r="G2144" s="0" t="inlineStr">
        <is>
          <t>19)</t>
        </is>
      </c>
      <c r="K2144" s="0">
        <f>IF(H2143="1)",1,IF(H2143="2)",2,IF(H2143="3)",3,IF(H2143="4)",4,IF(H2143="5)",5,IF(H2143="6)",6,IF(H2143="7)",7,IF(H2143="8)",8,0))))))))</f>
        <v/>
      </c>
      <c r="L2144" s="0">
        <f>IF(H2143="1)",J2143,IF(H2143="2)",J2143,IF(H2143="3)",J2143,IF(H2143="4)",J2143,IF(H2143="5)",J2143,IF(H2143="6)",J2143,IF(H2143="7)",J2143,IF(H2143="8)",J2143,0))))))))</f>
        <v/>
      </c>
    </row>
    <row r="2145">
      <c r="A2145" s="0" t="inlineStr">
        <is>
          <t>Item</t>
        </is>
      </c>
      <c r="B2145" s="0" t="inlineStr">
        <is>
          <t>ReSelect</t>
        </is>
      </c>
      <c r="C2145" s="0" t="inlineStr">
        <is>
          <t>Failed</t>
        </is>
      </c>
      <c r="D2145" s="0" t="inlineStr">
        <is>
          <t>:</t>
        </is>
      </c>
      <c r="E2145" s="0" t="inlineStr">
        <is>
          <t>Attempt</t>
        </is>
      </c>
      <c r="F2145" s="0" t="inlineStr">
        <is>
          <t>Count</t>
        </is>
      </c>
      <c r="G2145" s="0" t="inlineStr">
        <is>
          <t>-</t>
        </is>
      </c>
      <c r="H2145" s="0" t="n">
        <v>3</v>
      </c>
      <c r="K2145" s="0">
        <f>IF(H2144="1)",1,IF(H2144="2)",2,IF(H2144="3)",3,IF(H2144="4)",4,IF(H2144="5)",5,IF(H2144="6)",6,IF(H2144="7)",7,IF(H2144="8)",8,0))))))))</f>
        <v/>
      </c>
      <c r="L2145" s="0">
        <f>IF(H2144="1)",J2144,IF(H2144="2)",J2144,IF(H2144="3)",J2144,IF(H2144="4)",J2144,IF(H2144="5)",J2144,IF(H2144="6)",J2144,IF(H2144="7)",J2144,IF(H2144="8)",J2144,0))))))))</f>
        <v/>
      </c>
    </row>
    <row r="2146">
      <c r="A2146" s="0" t="inlineStr">
        <is>
          <t>New</t>
        </is>
      </c>
      <c r="B2146" s="0" t="inlineStr">
        <is>
          <t>Item</t>
        </is>
      </c>
      <c r="C2146" s="0" t="inlineStr">
        <is>
          <t>Acquired</t>
        </is>
      </c>
      <c r="D2146" s="0" t="inlineStr">
        <is>
          <t>:</t>
        </is>
      </c>
      <c r="E2146" s="0" t="inlineStr">
        <is>
          <t>120.00K</t>
        </is>
      </c>
      <c r="F2146" s="0" t="inlineStr">
        <is>
          <t>(8,</t>
        </is>
      </c>
      <c r="G2146" s="0" t="inlineStr">
        <is>
          <t>9)</t>
        </is>
      </c>
      <c r="K2146" s="0">
        <f>IF(H2145="1)",1,IF(H2145="2)",2,IF(H2145="3)",3,IF(H2145="4)",4,IF(H2145="5)",5,IF(H2145="6)",6,IF(H2145="7)",7,IF(H2145="8)",8,0))))))))</f>
        <v/>
      </c>
      <c r="L2146" s="0">
        <f>IF(H2145="1)",J2145,IF(H2145="2)",J2145,IF(H2145="3)",J2145,IF(H2145="4)",J2145,IF(H2145="5)",J2145,IF(H2145="6)",J2145,IF(H2145="7)",J2145,IF(H2145="8)",J2145,0))))))))</f>
        <v/>
      </c>
    </row>
    <row r="2147">
      <c r="A2147" s="0" t="inlineStr">
        <is>
          <t>New</t>
        </is>
      </c>
      <c r="B2147" s="0" t="inlineStr">
        <is>
          <t>Item</t>
        </is>
      </c>
      <c r="C2147" s="0" t="inlineStr">
        <is>
          <t>Acquired</t>
        </is>
      </c>
      <c r="D2147" s="0" t="inlineStr">
        <is>
          <t>:</t>
        </is>
      </c>
      <c r="E2147" s="0" t="inlineStr">
        <is>
          <t>30.00K</t>
        </is>
      </c>
      <c r="F2147" s="0" t="inlineStr">
        <is>
          <t>(1,</t>
        </is>
      </c>
      <c r="G2147" s="0" t="inlineStr">
        <is>
          <t>11)</t>
        </is>
      </c>
      <c r="K2147" s="0">
        <f>IF(H2146="1)",1,IF(H2146="2)",2,IF(H2146="3)",3,IF(H2146="4)",4,IF(H2146="5)",5,IF(H2146="6)",6,IF(H2146="7)",7,IF(H2146="8)",8,0))))))))</f>
        <v/>
      </c>
      <c r="L2147" s="0">
        <f>IF(H2146="1)",J2146,IF(H2146="2)",J2146,IF(H2146="3)",J2146,IF(H2146="4)",J2146,IF(H2146="5)",J2146,IF(H2146="6)",J2146,IF(H2146="7)",J2146,IF(H2146="8)",J2146,0))))))))</f>
        <v/>
      </c>
    </row>
    <row r="2148">
      <c r="A2148" s="0" t="inlineStr">
        <is>
          <t>Line</t>
        </is>
      </c>
      <c r="B2148" s="0" t="inlineStr">
        <is>
          <t>Prize</t>
        </is>
      </c>
      <c r="C2148" s="0" t="inlineStr">
        <is>
          <t>Acquired</t>
        </is>
      </c>
      <c r="D2148" s="0" t="inlineStr">
        <is>
          <t>:</t>
        </is>
      </c>
      <c r="E2148" s="0" t="inlineStr">
        <is>
          <t>630.00K</t>
        </is>
      </c>
      <c r="F2148" s="0" t="inlineStr">
        <is>
          <t>(Stage</t>
        </is>
      </c>
      <c r="G2148" s="0" t="inlineStr">
        <is>
          <t>:</t>
        </is>
      </c>
      <c r="H2148" s="0" t="inlineStr">
        <is>
          <t>1)</t>
        </is>
      </c>
      <c r="I2148" s="0" t="inlineStr">
        <is>
          <t>-</t>
        </is>
      </c>
      <c r="J2148" s="0" t="n">
        <v>630000</v>
      </c>
      <c r="K2148" s="0">
        <f>IF(H2147="1)",1,IF(H2147="2)",2,IF(H2147="3)",3,IF(H2147="4)",4,IF(H2147="5)",5,IF(H2147="6)",6,IF(H2147="7)",7,IF(H2147="8)",8,0))))))))</f>
        <v/>
      </c>
      <c r="L2148" s="0">
        <f>IF(H2147="1)",J2147,IF(H2147="2)",J2147,IF(H2147="3)",J2147,IF(H2147="4)",J2147,IF(H2147="5)",J2147,IF(H2147="6)",J2147,IF(H2147="7)",J2147,IF(H2147="8)",J2147,0))))))))</f>
        <v/>
      </c>
    </row>
    <row r="2149">
      <c r="A2149" s="0" t="inlineStr">
        <is>
          <t>Clear</t>
        </is>
      </c>
      <c r="B2149" s="0" t="inlineStr">
        <is>
          <t>Gem</t>
        </is>
      </c>
      <c r="C2149" s="0" t="inlineStr">
        <is>
          <t>Acquired</t>
        </is>
      </c>
      <c r="D2149" s="0" t="inlineStr">
        <is>
          <t>:</t>
        </is>
      </c>
      <c r="E2149" s="0" t="n">
        <v>13000</v>
      </c>
      <c r="F2149" s="0" t="inlineStr">
        <is>
          <t>-&gt;</t>
        </is>
      </c>
      <c r="G2149" s="0" t="n">
        <v>13100</v>
      </c>
      <c r="H2149" s="0" t="inlineStr">
        <is>
          <t>(Stage</t>
        </is>
      </c>
      <c r="I2149" s="0" t="inlineStr">
        <is>
          <t>:</t>
        </is>
      </c>
      <c r="J2149" s="0" t="inlineStr">
        <is>
          <t>1)</t>
        </is>
      </c>
      <c r="K2149" s="0">
        <f>IF(H2148="1)",1,IF(H2148="2)",2,IF(H2148="3)",3,IF(H2148="4)",4,IF(H2148="5)",5,IF(H2148="6)",6,IF(H2148="7)",7,IF(H2148="8)",8,0))))))))</f>
        <v/>
      </c>
      <c r="L2149" s="0">
        <f>IF(H2148="1)",J2148,IF(H2148="2)",J2148,IF(H2148="3)",J2148,IF(H2148="4)",J2148,IF(H2148="5)",J2148,IF(H2148="6)",J2148,IF(H2148="7)",J2148,IF(H2148="8)",J2148,0))))))))</f>
        <v/>
      </c>
    </row>
    <row r="2150">
      <c r="A2150" s="0" t="inlineStr">
        <is>
          <t>New</t>
        </is>
      </c>
      <c r="B2150" s="0" t="inlineStr">
        <is>
          <t>Item</t>
        </is>
      </c>
      <c r="C2150" s="0" t="inlineStr">
        <is>
          <t>Acquired</t>
        </is>
      </c>
      <c r="D2150" s="0" t="inlineStr">
        <is>
          <t>:</t>
        </is>
      </c>
      <c r="E2150" s="0" t="inlineStr">
        <is>
          <t>150.00K</t>
        </is>
      </c>
      <c r="F2150" s="0" t="inlineStr">
        <is>
          <t>(7,</t>
        </is>
      </c>
      <c r="G2150" s="0" t="inlineStr">
        <is>
          <t>20)</t>
        </is>
      </c>
      <c r="K2150" s="0">
        <f>IF(H2149="1)",1,IF(H2149="2)",2,IF(H2149="3)",3,IF(H2149="4)",4,IF(H2149="5)",5,IF(H2149="6)",6,IF(H2149="7)",7,IF(H2149="8)",8,0))))))))</f>
        <v/>
      </c>
      <c r="L2150" s="0">
        <f>IF(H2149="1)",J2149,IF(H2149="2)",J2149,IF(H2149="3)",J2149,IF(H2149="4)",J2149,IF(H2149="5)",J2149,IF(H2149="6)",J2149,IF(H2149="7)",J2149,IF(H2149="8)",J2149,0))))))))</f>
        <v/>
      </c>
    </row>
    <row r="2151">
      <c r="A2151" s="0" t="inlineStr">
        <is>
          <t>New</t>
        </is>
      </c>
      <c r="B2151" s="0" t="inlineStr">
        <is>
          <t>Item</t>
        </is>
      </c>
      <c r="C2151" s="0" t="inlineStr">
        <is>
          <t>Acquired</t>
        </is>
      </c>
      <c r="D2151" s="0" t="inlineStr">
        <is>
          <t>:</t>
        </is>
      </c>
      <c r="E2151" s="0" t="inlineStr">
        <is>
          <t>75.00K</t>
        </is>
      </c>
      <c r="F2151" s="0" t="inlineStr">
        <is>
          <t>(3,</t>
        </is>
      </c>
      <c r="G2151" s="0" t="inlineStr">
        <is>
          <t>17)</t>
        </is>
      </c>
      <c r="K2151" s="0">
        <f>IF(H2150="1)",1,IF(H2150="2)",2,IF(H2150="3)",3,IF(H2150="4)",4,IF(H2150="5)",5,IF(H2150="6)",6,IF(H2150="7)",7,IF(H2150="8)",8,0))))))))</f>
        <v/>
      </c>
      <c r="L2151" s="0">
        <f>IF(H2150="1)",J2150,IF(H2150="2)",J2150,IF(H2150="3)",J2150,IF(H2150="4)",J2150,IF(H2150="5)",J2150,IF(H2150="6)",J2150,IF(H2150="7)",J2150,IF(H2150="8)",J2150,0))))))))</f>
        <v/>
      </c>
    </row>
    <row r="2152">
      <c r="A2152" s="0" t="inlineStr">
        <is>
          <t>New</t>
        </is>
      </c>
      <c r="B2152" s="0" t="inlineStr">
        <is>
          <t>Item</t>
        </is>
      </c>
      <c r="C2152" s="0" t="inlineStr">
        <is>
          <t>Acquired</t>
        </is>
      </c>
      <c r="D2152" s="0" t="inlineStr">
        <is>
          <t>:</t>
        </is>
      </c>
      <c r="E2152" s="0" t="inlineStr">
        <is>
          <t>50.00K</t>
        </is>
      </c>
      <c r="F2152" s="0" t="inlineStr">
        <is>
          <t>(1,</t>
        </is>
      </c>
      <c r="G2152" s="0" t="inlineStr">
        <is>
          <t>18)</t>
        </is>
      </c>
      <c r="K2152" s="0">
        <f>IF(H2151="1)",1,IF(H2151="2)",2,IF(H2151="3)",3,IF(H2151="4)",4,IF(H2151="5)",5,IF(H2151="6)",6,IF(H2151="7)",7,IF(H2151="8)",8,0))))))))</f>
        <v/>
      </c>
      <c r="L2152" s="0">
        <f>IF(H2151="1)",J2151,IF(H2151="2)",J2151,IF(H2151="3)",J2151,IF(H2151="4)",J2151,IF(H2151="5)",J2151,IF(H2151="6)",J2151,IF(H2151="7)",J2151,IF(H2151="8)",J2151,0))))))))</f>
        <v/>
      </c>
    </row>
    <row r="2153">
      <c r="A2153" s="0" t="inlineStr">
        <is>
          <t>New</t>
        </is>
      </c>
      <c r="B2153" s="0" t="inlineStr">
        <is>
          <t>Item</t>
        </is>
      </c>
      <c r="C2153" s="0" t="inlineStr">
        <is>
          <t>Acquired</t>
        </is>
      </c>
      <c r="D2153" s="0" t="inlineStr">
        <is>
          <t>:</t>
        </is>
      </c>
      <c r="E2153" s="0" t="inlineStr">
        <is>
          <t>37.50K</t>
        </is>
      </c>
      <c r="F2153" s="0" t="inlineStr">
        <is>
          <t>(2,</t>
        </is>
      </c>
      <c r="G2153" s="0" t="inlineStr">
        <is>
          <t>25)</t>
        </is>
      </c>
      <c r="K2153" s="0">
        <f>IF(H2152="1)",1,IF(H2152="2)",2,IF(H2152="3)",3,IF(H2152="4)",4,IF(H2152="5)",5,IF(H2152="6)",6,IF(H2152="7)",7,IF(H2152="8)",8,0))))))))</f>
        <v/>
      </c>
      <c r="L2153" s="0">
        <f>IF(H2152="1)",J2152,IF(H2152="2)",J2152,IF(H2152="3)",J2152,IF(H2152="4)",J2152,IF(H2152="5)",J2152,IF(H2152="6)",J2152,IF(H2152="7)",J2152,IF(H2152="8)",J2152,0))))))))</f>
        <v/>
      </c>
    </row>
    <row r="2154">
      <c r="A2154" s="0" t="inlineStr">
        <is>
          <t>Line</t>
        </is>
      </c>
      <c r="B2154" s="0" t="inlineStr">
        <is>
          <t>Prize</t>
        </is>
      </c>
      <c r="C2154" s="0" t="inlineStr">
        <is>
          <t>Acquired</t>
        </is>
      </c>
      <c r="D2154" s="0" t="inlineStr">
        <is>
          <t>:</t>
        </is>
      </c>
      <c r="E2154" s="0" t="inlineStr">
        <is>
          <t>287.50K</t>
        </is>
      </c>
      <c r="F2154" s="0" t="inlineStr">
        <is>
          <t>(Stage</t>
        </is>
      </c>
      <c r="G2154" s="0" t="inlineStr">
        <is>
          <t>:</t>
        </is>
      </c>
      <c r="H2154" s="0" t="inlineStr">
        <is>
          <t>2)</t>
        </is>
      </c>
      <c r="I2154" s="0" t="inlineStr">
        <is>
          <t>-</t>
        </is>
      </c>
      <c r="J2154" s="0" t="n">
        <v>287500</v>
      </c>
      <c r="K2154" s="0">
        <f>IF(H2153="1)",1,IF(H2153="2)",2,IF(H2153="3)",3,IF(H2153="4)",4,IF(H2153="5)",5,IF(H2153="6)",6,IF(H2153="7)",7,IF(H2153="8)",8,0))))))))</f>
        <v/>
      </c>
      <c r="L2154" s="0">
        <f>IF(H2153="1)",J2153,IF(H2153="2)",J2153,IF(H2153="3)",J2153,IF(H2153="4)",J2153,IF(H2153="5)",J2153,IF(H2153="6)",J2153,IF(H2153="7)",J2153,IF(H2153="8)",J2153,0))))))))</f>
        <v/>
      </c>
    </row>
    <row r="2155">
      <c r="A2155" s="0" t="inlineStr">
        <is>
          <t>Line</t>
        </is>
      </c>
      <c r="B2155" s="0" t="inlineStr">
        <is>
          <t>Prize</t>
        </is>
      </c>
      <c r="C2155" s="0" t="inlineStr">
        <is>
          <t>Acquired</t>
        </is>
      </c>
      <c r="D2155" s="0" t="inlineStr">
        <is>
          <t>:</t>
        </is>
      </c>
      <c r="E2155" s="0" t="inlineStr">
        <is>
          <t>600.00K</t>
        </is>
      </c>
      <c r="F2155" s="0" t="inlineStr">
        <is>
          <t>(Stage</t>
        </is>
      </c>
      <c r="G2155" s="0" t="inlineStr">
        <is>
          <t>:</t>
        </is>
      </c>
      <c r="H2155" s="0" t="inlineStr">
        <is>
          <t>2)</t>
        </is>
      </c>
      <c r="I2155" s="0" t="inlineStr">
        <is>
          <t>-</t>
        </is>
      </c>
      <c r="J2155" s="0" t="n">
        <v>600000</v>
      </c>
      <c r="K2155" s="0">
        <f>IF(H2154="1)",1,IF(H2154="2)",2,IF(H2154="3)",3,IF(H2154="4)",4,IF(H2154="5)",5,IF(H2154="6)",6,IF(H2154="7)",7,IF(H2154="8)",8,0))))))))</f>
        <v/>
      </c>
      <c r="L2155" s="0">
        <f>IF(H2154="1)",J2154,IF(H2154="2)",J2154,IF(H2154="3)",J2154,IF(H2154="4)",J2154,IF(H2154="5)",J2154,IF(H2154="6)",J2154,IF(H2154="7)",J2154,IF(H2154="8)",J2154,0))))))))</f>
        <v/>
      </c>
    </row>
    <row r="2156">
      <c r="A2156" s="0" t="inlineStr">
        <is>
          <t>Clear</t>
        </is>
      </c>
      <c r="B2156" s="0" t="inlineStr">
        <is>
          <t>Gem</t>
        </is>
      </c>
      <c r="C2156" s="0" t="inlineStr">
        <is>
          <t>Acquired</t>
        </is>
      </c>
      <c r="D2156" s="0" t="inlineStr">
        <is>
          <t>:</t>
        </is>
      </c>
      <c r="E2156" s="0" t="n">
        <v>13100</v>
      </c>
      <c r="F2156" s="0" t="inlineStr">
        <is>
          <t>-&gt;</t>
        </is>
      </c>
      <c r="G2156" s="0" t="n">
        <v>13200</v>
      </c>
      <c r="H2156" s="0" t="inlineStr">
        <is>
          <t>(Stage</t>
        </is>
      </c>
      <c r="I2156" s="0" t="inlineStr">
        <is>
          <t>:</t>
        </is>
      </c>
      <c r="J2156" s="0" t="inlineStr">
        <is>
          <t>2)</t>
        </is>
      </c>
      <c r="K2156" s="0">
        <f>IF(H2155="1)",1,IF(H2155="2)",2,IF(H2155="3)",3,IF(H2155="4)",4,IF(H2155="5)",5,IF(H2155="6)",6,IF(H2155="7)",7,IF(H2155="8)",8,0))))))))</f>
        <v/>
      </c>
      <c r="L2156" s="0">
        <f>IF(H2155="1)",J2155,IF(H2155="2)",J2155,IF(H2155="3)",J2155,IF(H2155="4)",J2155,IF(H2155="5)",J2155,IF(H2155="6)",J2155,IF(H2155="7)",J2155,IF(H2155="8)",J2155,0))))))))</f>
        <v/>
      </c>
    </row>
    <row r="2157">
      <c r="A2157" s="0" t="inlineStr">
        <is>
          <t>New</t>
        </is>
      </c>
      <c r="B2157" s="0" t="inlineStr">
        <is>
          <t>Item</t>
        </is>
      </c>
      <c r="C2157" s="0" t="inlineStr">
        <is>
          <t>Acquired</t>
        </is>
      </c>
      <c r="D2157" s="0" t="inlineStr">
        <is>
          <t>:</t>
        </is>
      </c>
      <c r="E2157" s="0" t="inlineStr">
        <is>
          <t>87.50K</t>
        </is>
      </c>
      <c r="F2157" s="0" t="inlineStr">
        <is>
          <t>(2,</t>
        </is>
      </c>
      <c r="G2157" s="0" t="inlineStr">
        <is>
          <t>6)</t>
        </is>
      </c>
      <c r="K2157" s="0">
        <f>IF(H2156="1)",1,IF(H2156="2)",2,IF(H2156="3)",3,IF(H2156="4)",4,IF(H2156="5)",5,IF(H2156="6)",6,IF(H2156="7)",7,IF(H2156="8)",8,0))))))))</f>
        <v/>
      </c>
      <c r="L2157" s="0">
        <f>IF(H2156="1)",J2156,IF(H2156="2)",J2156,IF(H2156="3)",J2156,IF(H2156="4)",J2156,IF(H2156="5)",J2156,IF(H2156="6)",J2156,IF(H2156="7)",J2156,IF(H2156="8)",J2156,0))))))))</f>
        <v/>
      </c>
    </row>
    <row r="2158">
      <c r="A2158" s="0" t="inlineStr">
        <is>
          <t>New</t>
        </is>
      </c>
      <c r="B2158" s="0" t="inlineStr">
        <is>
          <t>Item</t>
        </is>
      </c>
      <c r="C2158" s="0" t="inlineStr">
        <is>
          <t>Acquired</t>
        </is>
      </c>
      <c r="D2158" s="0" t="inlineStr">
        <is>
          <t>:</t>
        </is>
      </c>
      <c r="E2158" s="0" t="inlineStr">
        <is>
          <t>90.00K</t>
        </is>
      </c>
      <c r="F2158" s="0" t="inlineStr">
        <is>
          <t>(7,</t>
        </is>
      </c>
      <c r="G2158" s="0" t="inlineStr">
        <is>
          <t>17)</t>
        </is>
      </c>
      <c r="K2158" s="0">
        <f>IF(H2157="1)",1,IF(H2157="2)",2,IF(H2157="3)",3,IF(H2157="4)",4,IF(H2157="5)",5,IF(H2157="6)",6,IF(H2157="7)",7,IF(H2157="8)",8,0))))))))</f>
        <v/>
      </c>
      <c r="L2158" s="0">
        <f>IF(H2157="1)",J2157,IF(H2157="2)",J2157,IF(H2157="3)",J2157,IF(H2157="4)",J2157,IF(H2157="5)",J2157,IF(H2157="6)",J2157,IF(H2157="7)",J2157,IF(H2157="8)",J2157,0))))))))</f>
        <v/>
      </c>
    </row>
    <row r="2159">
      <c r="A2159" s="0" t="inlineStr">
        <is>
          <t>New</t>
        </is>
      </c>
      <c r="B2159" s="0" t="inlineStr">
        <is>
          <t>Item</t>
        </is>
      </c>
      <c r="C2159" s="0" t="inlineStr">
        <is>
          <t>Acquired</t>
        </is>
      </c>
      <c r="D2159" s="0" t="inlineStr">
        <is>
          <t>:</t>
        </is>
      </c>
      <c r="E2159" s="0" t="inlineStr">
        <is>
          <t>120.00K</t>
        </is>
      </c>
      <c r="F2159" s="0" t="inlineStr">
        <is>
          <t>(8,</t>
        </is>
      </c>
      <c r="G2159" s="0" t="inlineStr">
        <is>
          <t>20)</t>
        </is>
      </c>
      <c r="K2159" s="0">
        <f>IF(H2158="1)",1,IF(H2158="2)",2,IF(H2158="3)",3,IF(H2158="4)",4,IF(H2158="5)",5,IF(H2158="6)",6,IF(H2158="7)",7,IF(H2158="8)",8,0))))))))</f>
        <v/>
      </c>
      <c r="L2159" s="0">
        <f>IF(H2158="1)",J2158,IF(H2158="2)",J2158,IF(H2158="3)",J2158,IF(H2158="4)",J2158,IF(H2158="5)",J2158,IF(H2158="6)",J2158,IF(H2158="7)",J2158,IF(H2158="8)",J2158,0))))))))</f>
        <v/>
      </c>
    </row>
    <row r="2160">
      <c r="A2160" s="0" t="inlineStr">
        <is>
          <t>New</t>
        </is>
      </c>
      <c r="B2160" s="0" t="inlineStr">
        <is>
          <t>Item</t>
        </is>
      </c>
      <c r="C2160" s="0" t="inlineStr">
        <is>
          <t>Acquired</t>
        </is>
      </c>
      <c r="D2160" s="0" t="inlineStr">
        <is>
          <t>:</t>
        </is>
      </c>
      <c r="E2160" s="0" t="inlineStr">
        <is>
          <t>45.00K</t>
        </is>
      </c>
      <c r="F2160" s="0" t="inlineStr">
        <is>
          <t>(3,</t>
        </is>
      </c>
      <c r="G2160" s="0" t="inlineStr">
        <is>
          <t>22)</t>
        </is>
      </c>
      <c r="K2160" s="0">
        <f>IF(H2159="1)",1,IF(H2159="2)",2,IF(H2159="3)",3,IF(H2159="4)",4,IF(H2159="5)",5,IF(H2159="6)",6,IF(H2159="7)",7,IF(H2159="8)",8,0))))))))</f>
        <v/>
      </c>
      <c r="L2160" s="0">
        <f>IF(H2159="1)",J2159,IF(H2159="2)",J2159,IF(H2159="3)",J2159,IF(H2159="4)",J2159,IF(H2159="5)",J2159,IF(H2159="6)",J2159,IF(H2159="7)",J2159,IF(H2159="8)",J2159,0))))))))</f>
        <v/>
      </c>
    </row>
    <row r="2161">
      <c r="A2161" s="0" t="inlineStr">
        <is>
          <t>New</t>
        </is>
      </c>
      <c r="B2161" s="0" t="inlineStr">
        <is>
          <t>Item</t>
        </is>
      </c>
      <c r="C2161" s="0" t="inlineStr">
        <is>
          <t>Acquired</t>
        </is>
      </c>
      <c r="D2161" s="0" t="inlineStr">
        <is>
          <t>:</t>
        </is>
      </c>
      <c r="E2161" s="0" t="inlineStr">
        <is>
          <t>Mini</t>
        </is>
      </c>
      <c r="F2161" s="0" t="inlineStr">
        <is>
          <t>(8,</t>
        </is>
      </c>
      <c r="G2161" s="0" t="inlineStr">
        <is>
          <t>15)</t>
        </is>
      </c>
      <c r="K2161" s="0">
        <f>IF(H2160="1)",1,IF(H2160="2)",2,IF(H2160="3)",3,IF(H2160="4)",4,IF(H2160="5)",5,IF(H2160="6)",6,IF(H2160="7)",7,IF(H2160="8)",8,0))))))))</f>
        <v/>
      </c>
      <c r="L2161" s="0">
        <f>IF(H2160="1)",J2160,IF(H2160="2)",J2160,IF(H2160="3)",J2160,IF(H2160="4)",J2160,IF(H2160="5)",J2160,IF(H2160="6)",J2160,IF(H2160="7)",J2160,IF(H2160="8)",J2160,0))))))))</f>
        <v/>
      </c>
    </row>
    <row r="2162">
      <c r="A2162" s="0" t="inlineStr">
        <is>
          <t>New</t>
        </is>
      </c>
      <c r="B2162" s="0" t="inlineStr">
        <is>
          <t>Item</t>
        </is>
      </c>
      <c r="C2162" s="0" t="inlineStr">
        <is>
          <t>Acquired</t>
        </is>
      </c>
      <c r="D2162" s="0" t="inlineStr">
        <is>
          <t>:</t>
        </is>
      </c>
      <c r="E2162" s="0" t="inlineStr">
        <is>
          <t>67.50K</t>
        </is>
      </c>
      <c r="F2162" s="0" t="inlineStr">
        <is>
          <t>(5,</t>
        </is>
      </c>
      <c r="G2162" s="0" t="inlineStr">
        <is>
          <t>21)</t>
        </is>
      </c>
      <c r="K2162" s="0">
        <f>IF(H2161="1)",1,IF(H2161="2)",2,IF(H2161="3)",3,IF(H2161="4)",4,IF(H2161="5)",5,IF(H2161="6)",6,IF(H2161="7)",7,IF(H2161="8)",8,0))))))))</f>
        <v/>
      </c>
      <c r="L2162" s="0">
        <f>IF(H2161="1)",J2161,IF(H2161="2)",J2161,IF(H2161="3)",J2161,IF(H2161="4)",J2161,IF(H2161="5)",J2161,IF(H2161="6)",J2161,IF(H2161="7)",J2161,IF(H2161="8)",J2161,0))))))))</f>
        <v/>
      </c>
    </row>
    <row r="2163">
      <c r="A2163" s="0" t="inlineStr">
        <is>
          <t>New</t>
        </is>
      </c>
      <c r="B2163" s="0" t="inlineStr">
        <is>
          <t>Item</t>
        </is>
      </c>
      <c r="C2163" s="0" t="inlineStr">
        <is>
          <t>Acquired</t>
        </is>
      </c>
      <c r="D2163" s="0" t="inlineStr">
        <is>
          <t>:</t>
        </is>
      </c>
      <c r="E2163" s="0" t="inlineStr">
        <is>
          <t>105.00K</t>
        </is>
      </c>
      <c r="F2163" s="0" t="inlineStr">
        <is>
          <t>(4,</t>
        </is>
      </c>
      <c r="G2163" s="0" t="inlineStr">
        <is>
          <t>7)</t>
        </is>
      </c>
      <c r="K2163" s="0">
        <f>IF(H2162="1)",1,IF(H2162="2)",2,IF(H2162="3)",3,IF(H2162="4)",4,IF(H2162="5)",5,IF(H2162="6)",6,IF(H2162="7)",7,IF(H2162="8)",8,0))))))))</f>
        <v/>
      </c>
      <c r="L2163" s="0">
        <f>IF(H2162="1)",J2162,IF(H2162="2)",J2162,IF(H2162="3)",J2162,IF(H2162="4)",J2162,IF(H2162="5)",J2162,IF(H2162="6)",J2162,IF(H2162="7)",J2162,IF(H2162="8)",J2162,0))))))))</f>
        <v/>
      </c>
    </row>
    <row r="2164">
      <c r="A2164" s="0" t="inlineStr">
        <is>
          <t>New</t>
        </is>
      </c>
      <c r="B2164" s="0" t="inlineStr">
        <is>
          <t>Item</t>
        </is>
      </c>
      <c r="C2164" s="0" t="inlineStr">
        <is>
          <t>Acquired</t>
        </is>
      </c>
      <c r="D2164" s="0" t="inlineStr">
        <is>
          <t>:</t>
        </is>
      </c>
      <c r="E2164" s="0" t="inlineStr">
        <is>
          <t>30.00K</t>
        </is>
      </c>
      <c r="F2164" s="0" t="inlineStr">
        <is>
          <t>(1,</t>
        </is>
      </c>
      <c r="G2164" s="0" t="inlineStr">
        <is>
          <t>22)</t>
        </is>
      </c>
      <c r="K2164" s="0">
        <f>IF(H2163="1)",1,IF(H2163="2)",2,IF(H2163="3)",3,IF(H2163="4)",4,IF(H2163="5)",5,IF(H2163="6)",6,IF(H2163="7)",7,IF(H2163="8)",8,0))))))))</f>
        <v/>
      </c>
      <c r="L2164" s="0">
        <f>IF(H2163="1)",J2163,IF(H2163="2)",J2163,IF(H2163="3)",J2163,IF(H2163="4)",J2163,IF(H2163="5)",J2163,IF(H2163="6)",J2163,IF(H2163="7)",J2163,IF(H2163="8)",J2163,0))))))))</f>
        <v/>
      </c>
    </row>
    <row r="2165">
      <c r="A2165" s="0" t="inlineStr">
        <is>
          <t>New</t>
        </is>
      </c>
      <c r="B2165" s="0" t="inlineStr">
        <is>
          <t>Item</t>
        </is>
      </c>
      <c r="C2165" s="0" t="inlineStr">
        <is>
          <t>Acquired</t>
        </is>
      </c>
      <c r="D2165" s="0" t="inlineStr">
        <is>
          <t>:</t>
        </is>
      </c>
      <c r="E2165" s="0" t="inlineStr">
        <is>
          <t>90.00K</t>
        </is>
      </c>
      <c r="F2165" s="0" t="inlineStr">
        <is>
          <t>(7,</t>
        </is>
      </c>
      <c r="G2165" s="0" t="inlineStr">
        <is>
          <t>8)</t>
        </is>
      </c>
      <c r="K2165" s="0">
        <f>IF(H2164="1)",1,IF(H2164="2)",2,IF(H2164="3)",3,IF(H2164="4)",4,IF(H2164="5)",5,IF(H2164="6)",6,IF(H2164="7)",7,IF(H2164="8)",8,0))))))))</f>
        <v/>
      </c>
      <c r="L2165" s="0">
        <f>IF(H2164="1)",J2164,IF(H2164="2)",J2164,IF(H2164="3)",J2164,IF(H2164="4)",J2164,IF(H2164="5)",J2164,IF(H2164="6)",J2164,IF(H2164="7)",J2164,IF(H2164="8)",J2164,0))))))))</f>
        <v/>
      </c>
    </row>
    <row r="2166">
      <c r="A2166" s="0" t="inlineStr">
        <is>
          <t>Line</t>
        </is>
      </c>
      <c r="B2166" s="0" t="inlineStr">
        <is>
          <t>Prize</t>
        </is>
      </c>
      <c r="C2166" s="0" t="inlineStr">
        <is>
          <t>Acquired</t>
        </is>
      </c>
      <c r="D2166" s="0" t="inlineStr">
        <is>
          <t>:</t>
        </is>
      </c>
      <c r="E2166" s="0" t="inlineStr">
        <is>
          <t>1.94M</t>
        </is>
      </c>
      <c r="F2166" s="0" t="inlineStr">
        <is>
          <t>(Stage</t>
        </is>
      </c>
      <c r="G2166" s="0" t="inlineStr">
        <is>
          <t>:</t>
        </is>
      </c>
      <c r="H2166" s="0" t="inlineStr">
        <is>
          <t>7)</t>
        </is>
      </c>
      <c r="I2166" s="0" t="inlineStr">
        <is>
          <t>-</t>
        </is>
      </c>
      <c r="J2166" s="0" t="n">
        <v>1940000</v>
      </c>
      <c r="K2166" s="0">
        <f>IF(H2165="1)",1,IF(H2165="2)",2,IF(H2165="3)",3,IF(H2165="4)",4,IF(H2165="5)",5,IF(H2165="6)",6,IF(H2165="7)",7,IF(H2165="8)",8,0))))))))</f>
        <v/>
      </c>
      <c r="L2166" s="0">
        <f>IF(H2165="1)",J2165,IF(H2165="2)",J2165,IF(H2165="3)",J2165,IF(H2165="4)",J2165,IF(H2165="5)",J2165,IF(H2165="6)",J2165,IF(H2165="7)",J2165,IF(H2165="8)",J2165,0))))))))</f>
        <v/>
      </c>
    </row>
    <row r="2167">
      <c r="A2167" s="0" t="inlineStr">
        <is>
          <t>Clear</t>
        </is>
      </c>
      <c r="B2167" s="0" t="inlineStr">
        <is>
          <t>Gem</t>
        </is>
      </c>
      <c r="C2167" s="0" t="inlineStr">
        <is>
          <t>Acquired</t>
        </is>
      </c>
      <c r="D2167" s="0" t="inlineStr">
        <is>
          <t>:</t>
        </is>
      </c>
      <c r="E2167" s="0" t="n">
        <v>13200</v>
      </c>
      <c r="F2167" s="0" t="inlineStr">
        <is>
          <t>-&gt;</t>
        </is>
      </c>
      <c r="G2167" s="0" t="n">
        <v>13300</v>
      </c>
      <c r="H2167" s="0" t="inlineStr">
        <is>
          <t>(Stage</t>
        </is>
      </c>
      <c r="I2167" s="0" t="inlineStr">
        <is>
          <t>:</t>
        </is>
      </c>
      <c r="J2167" s="0" t="inlineStr">
        <is>
          <t>7)</t>
        </is>
      </c>
      <c r="K2167" s="0">
        <f>IF(H2166="1)",1,IF(H2166="2)",2,IF(H2166="3)",3,IF(H2166="4)",4,IF(H2166="5)",5,IF(H2166="6)",6,IF(H2166="7)",7,IF(H2166="8)",8,0))))))))</f>
        <v/>
      </c>
      <c r="L2167" s="0">
        <f>IF(H2166="1)",J2166,IF(H2166="2)",J2166,IF(H2166="3)",J2166,IF(H2166="4)",J2166,IF(H2166="5)",J2166,IF(H2166="6)",J2166,IF(H2166="7)",J2166,IF(H2166="8)",J2166,0))))))))</f>
        <v/>
      </c>
    </row>
    <row r="2168">
      <c r="A2168" s="0" t="inlineStr">
        <is>
          <t>New</t>
        </is>
      </c>
      <c r="B2168" s="0" t="inlineStr">
        <is>
          <t>Item</t>
        </is>
      </c>
      <c r="C2168" s="0" t="inlineStr">
        <is>
          <t>Acquired</t>
        </is>
      </c>
      <c r="D2168" s="0" t="inlineStr">
        <is>
          <t>:</t>
        </is>
      </c>
      <c r="E2168" s="0" t="inlineStr">
        <is>
          <t>67.50K</t>
        </is>
      </c>
      <c r="F2168" s="0" t="inlineStr">
        <is>
          <t>(5,</t>
        </is>
      </c>
      <c r="G2168" s="0" t="inlineStr">
        <is>
          <t>17)</t>
        </is>
      </c>
      <c r="K2168" s="0">
        <f>IF(H2167="1)",1,IF(H2167="2)",2,IF(H2167="3)",3,IF(H2167="4)",4,IF(H2167="5)",5,IF(H2167="6)",6,IF(H2167="7)",7,IF(H2167="8)",8,0))))))))</f>
        <v/>
      </c>
      <c r="L2168" s="0">
        <f>IF(H2167="1)",J2167,IF(H2167="2)",J2167,IF(H2167="3)",J2167,IF(H2167="4)",J2167,IF(H2167="5)",J2167,IF(H2167="6)",J2167,IF(H2167="7)",J2167,IF(H2167="8)",J2167,0))))))))</f>
        <v/>
      </c>
    </row>
    <row r="2169">
      <c r="A2169" s="0" t="inlineStr">
        <is>
          <t>New</t>
        </is>
      </c>
      <c r="B2169" s="0" t="inlineStr">
        <is>
          <t>Item</t>
        </is>
      </c>
      <c r="C2169" s="0" t="inlineStr">
        <is>
          <t>Acquired</t>
        </is>
      </c>
      <c r="D2169" s="0" t="inlineStr">
        <is>
          <t>:</t>
        </is>
      </c>
      <c r="E2169" s="0" t="inlineStr">
        <is>
          <t>Minor</t>
        </is>
      </c>
      <c r="F2169" s="0" t="inlineStr">
        <is>
          <t>(7,</t>
        </is>
      </c>
      <c r="G2169" s="0" t="inlineStr">
        <is>
          <t>12)</t>
        </is>
      </c>
      <c r="K2169" s="0">
        <f>IF(H2168="1)",1,IF(H2168="2)",2,IF(H2168="3)",3,IF(H2168="4)",4,IF(H2168="5)",5,IF(H2168="6)",6,IF(H2168="7)",7,IF(H2168="8)",8,0))))))))</f>
        <v/>
      </c>
      <c r="L2169" s="0">
        <f>IF(H2168="1)",J2168,IF(H2168="2)",J2168,IF(H2168="3)",J2168,IF(H2168="4)",J2168,IF(H2168="5)",J2168,IF(H2168="6)",J2168,IF(H2168="7)",J2168,IF(H2168="8)",J2168,0))))))))</f>
        <v/>
      </c>
    </row>
    <row r="2170">
      <c r="A2170" s="0" t="inlineStr">
        <is>
          <t>New</t>
        </is>
      </c>
      <c r="B2170" s="0" t="inlineStr">
        <is>
          <t>Item</t>
        </is>
      </c>
      <c r="C2170" s="0" t="inlineStr">
        <is>
          <t>Acquired</t>
        </is>
      </c>
      <c r="D2170" s="0" t="inlineStr">
        <is>
          <t>:</t>
        </is>
      </c>
      <c r="E2170" s="0" t="inlineStr">
        <is>
          <t>90.00K</t>
        </is>
      </c>
      <c r="F2170" s="0" t="inlineStr">
        <is>
          <t>(7,</t>
        </is>
      </c>
      <c r="G2170" s="0" t="inlineStr">
        <is>
          <t>8)</t>
        </is>
      </c>
      <c r="K2170" s="0">
        <f>IF(H2169="1)",1,IF(H2169="2)",2,IF(H2169="3)",3,IF(H2169="4)",4,IF(H2169="5)",5,IF(H2169="6)",6,IF(H2169="7)",7,IF(H2169="8)",8,0))))))))</f>
        <v/>
      </c>
      <c r="L2170" s="0">
        <f>IF(H2169="1)",J2169,IF(H2169="2)",J2169,IF(H2169="3)",J2169,IF(H2169="4)",J2169,IF(H2169="5)",J2169,IF(H2169="6)",J2169,IF(H2169="7)",J2169,IF(H2169="8)",J2169,0))))))))</f>
        <v/>
      </c>
    </row>
    <row r="2171">
      <c r="A2171" s="0" t="inlineStr">
        <is>
          <t>New</t>
        </is>
      </c>
      <c r="B2171" s="0" t="inlineStr">
        <is>
          <t>Item</t>
        </is>
      </c>
      <c r="C2171" s="0" t="inlineStr">
        <is>
          <t>Acquired</t>
        </is>
      </c>
      <c r="D2171" s="0" t="inlineStr">
        <is>
          <t>:</t>
        </is>
      </c>
      <c r="E2171" s="0" t="inlineStr">
        <is>
          <t>87.50K</t>
        </is>
      </c>
      <c r="F2171" s="0" t="inlineStr">
        <is>
          <t>(2,</t>
        </is>
      </c>
      <c r="G2171" s="0" t="inlineStr">
        <is>
          <t>1)</t>
        </is>
      </c>
      <c r="K2171" s="0">
        <f>IF(H2170="1)",1,IF(H2170="2)",2,IF(H2170="3)",3,IF(H2170="4)",4,IF(H2170="5)",5,IF(H2170="6)",6,IF(H2170="7)",7,IF(H2170="8)",8,0))))))))</f>
        <v/>
      </c>
      <c r="L2171" s="0">
        <f>IF(H2170="1)",J2170,IF(H2170="2)",J2170,IF(H2170="3)",J2170,IF(H2170="4)",J2170,IF(H2170="5)",J2170,IF(H2170="6)",J2170,IF(H2170="7)",J2170,IF(H2170="8)",J2170,0))))))))</f>
        <v/>
      </c>
    </row>
    <row r="2172">
      <c r="A2172" s="0" t="inlineStr">
        <is>
          <t>New</t>
        </is>
      </c>
      <c r="B2172" s="0" t="inlineStr">
        <is>
          <t>Item</t>
        </is>
      </c>
      <c r="C2172" s="0" t="inlineStr">
        <is>
          <t>Acquired</t>
        </is>
      </c>
      <c r="D2172" s="0" t="inlineStr">
        <is>
          <t>:</t>
        </is>
      </c>
      <c r="E2172" s="0" t="inlineStr">
        <is>
          <t>175.00K</t>
        </is>
      </c>
      <c r="F2172" s="0" t="inlineStr">
        <is>
          <t>(6,</t>
        </is>
      </c>
      <c r="G2172" s="0" t="inlineStr">
        <is>
          <t>5)</t>
        </is>
      </c>
      <c r="K2172" s="0">
        <f>IF(H2171="1)",1,IF(H2171="2)",2,IF(H2171="3)",3,IF(H2171="4)",4,IF(H2171="5)",5,IF(H2171="6)",6,IF(H2171="7)",7,IF(H2171="8)",8,0))))))))</f>
        <v/>
      </c>
      <c r="L2172" s="0">
        <f>IF(H2171="1)",J2171,IF(H2171="2)",J2171,IF(H2171="3)",J2171,IF(H2171="4)",J2171,IF(H2171="5)",J2171,IF(H2171="6)",J2171,IF(H2171="7)",J2171,IF(H2171="8)",J2171,0))))))))</f>
        <v/>
      </c>
    </row>
    <row r="2173">
      <c r="A2173" s="0" t="inlineStr">
        <is>
          <t>Line</t>
        </is>
      </c>
      <c r="B2173" s="0" t="inlineStr">
        <is>
          <t>Prize</t>
        </is>
      </c>
      <c r="C2173" s="0" t="inlineStr">
        <is>
          <t>Acquired</t>
        </is>
      </c>
      <c r="D2173" s="0" t="inlineStr">
        <is>
          <t>:</t>
        </is>
      </c>
      <c r="E2173" s="0" t="inlineStr">
        <is>
          <t>2.33M</t>
        </is>
      </c>
      <c r="F2173" s="0" t="inlineStr">
        <is>
          <t>(Stage</t>
        </is>
      </c>
      <c r="G2173" s="0" t="inlineStr">
        <is>
          <t>:</t>
        </is>
      </c>
      <c r="H2173" s="0" t="inlineStr">
        <is>
          <t>6)</t>
        </is>
      </c>
      <c r="I2173" s="0" t="inlineStr">
        <is>
          <t>-</t>
        </is>
      </c>
      <c r="J2173" s="0" t="n">
        <v>2325000</v>
      </c>
      <c r="K2173" s="0">
        <f>IF(H2172="1)",1,IF(H2172="2)",2,IF(H2172="3)",3,IF(H2172="4)",4,IF(H2172="5)",5,IF(H2172="6)",6,IF(H2172="7)",7,IF(H2172="8)",8,0))))))))</f>
        <v/>
      </c>
      <c r="L2173" s="0">
        <f>IF(H2172="1)",J2172,IF(H2172="2)",J2172,IF(H2172="3)",J2172,IF(H2172="4)",J2172,IF(H2172="5)",J2172,IF(H2172="6)",J2172,IF(H2172="7)",J2172,IF(H2172="8)",J2172,0))))))))</f>
        <v/>
      </c>
    </row>
    <row r="2174">
      <c r="A2174" s="0" t="inlineStr">
        <is>
          <t>Clear</t>
        </is>
      </c>
      <c r="B2174" s="0" t="inlineStr">
        <is>
          <t>Gem</t>
        </is>
      </c>
      <c r="C2174" s="0" t="inlineStr">
        <is>
          <t>Acquired</t>
        </is>
      </c>
      <c r="D2174" s="0" t="inlineStr">
        <is>
          <t>:</t>
        </is>
      </c>
      <c r="E2174" s="0" t="n">
        <v>13300</v>
      </c>
      <c r="F2174" s="0" t="inlineStr">
        <is>
          <t>-&gt;</t>
        </is>
      </c>
      <c r="G2174" s="0" t="n">
        <v>13400</v>
      </c>
      <c r="H2174" s="0" t="inlineStr">
        <is>
          <t>(Stage</t>
        </is>
      </c>
      <c r="I2174" s="0" t="inlineStr">
        <is>
          <t>:</t>
        </is>
      </c>
      <c r="J2174" s="0" t="inlineStr">
        <is>
          <t>6)</t>
        </is>
      </c>
      <c r="K2174" s="0">
        <f>IF(H2173="1)",1,IF(H2173="2)",2,IF(H2173="3)",3,IF(H2173="4)",4,IF(H2173="5)",5,IF(H2173="6)",6,IF(H2173="7)",7,IF(H2173="8)",8,0))))))))</f>
        <v/>
      </c>
      <c r="L2174" s="0">
        <f>IF(H2173="1)",J2173,IF(H2173="2)",J2173,IF(H2173="3)",J2173,IF(H2173="4)",J2173,IF(H2173="5)",J2173,IF(H2173="6)",J2173,IF(H2173="7)",J2173,IF(H2173="8)",J2173,0))))))))</f>
        <v/>
      </c>
    </row>
    <row r="2175">
      <c r="A2175" s="0" t="inlineStr">
        <is>
          <t>New</t>
        </is>
      </c>
      <c r="B2175" s="0" t="inlineStr">
        <is>
          <t>Item</t>
        </is>
      </c>
      <c r="C2175" s="0" t="inlineStr">
        <is>
          <t>Acquired</t>
        </is>
      </c>
      <c r="D2175" s="0" t="inlineStr">
        <is>
          <t>:</t>
        </is>
      </c>
      <c r="E2175" s="0" t="inlineStr">
        <is>
          <t>60.00K</t>
        </is>
      </c>
      <c r="F2175" s="0" t="inlineStr">
        <is>
          <t>(4,</t>
        </is>
      </c>
      <c r="G2175" s="0" t="inlineStr">
        <is>
          <t>11)</t>
        </is>
      </c>
      <c r="K2175" s="0">
        <f>IF(H2174="1)",1,IF(H2174="2)",2,IF(H2174="3)",3,IF(H2174="4)",4,IF(H2174="5)",5,IF(H2174="6)",6,IF(H2174="7)",7,IF(H2174="8)",8,0))))))))</f>
        <v/>
      </c>
      <c r="L2175" s="0">
        <f>IF(H2174="1)",J2174,IF(H2174="2)",J2174,IF(H2174="3)",J2174,IF(H2174="4)",J2174,IF(H2174="5)",J2174,IF(H2174="6)",J2174,IF(H2174="7)",J2174,IF(H2174="8)",J2174,0))))))))</f>
        <v/>
      </c>
    </row>
    <row r="2176">
      <c r="A2176" s="0" t="inlineStr">
        <is>
          <t>New</t>
        </is>
      </c>
      <c r="B2176" s="0" t="inlineStr">
        <is>
          <t>Item</t>
        </is>
      </c>
      <c r="C2176" s="0" t="inlineStr">
        <is>
          <t>Acquired</t>
        </is>
      </c>
      <c r="D2176" s="0" t="inlineStr">
        <is>
          <t>:</t>
        </is>
      </c>
      <c r="E2176" s="0" t="inlineStr">
        <is>
          <t>90.00K</t>
        </is>
      </c>
      <c r="F2176" s="0" t="inlineStr">
        <is>
          <t>(7,</t>
        </is>
      </c>
      <c r="G2176" s="0" t="inlineStr">
        <is>
          <t>19)</t>
        </is>
      </c>
      <c r="K2176" s="0">
        <f>IF(H2175="1)",1,IF(H2175="2)",2,IF(H2175="3)",3,IF(H2175="4)",4,IF(H2175="5)",5,IF(H2175="6)",6,IF(H2175="7)",7,IF(H2175="8)",8,0))))))))</f>
        <v/>
      </c>
      <c r="L2176" s="0">
        <f>IF(H2175="1)",J2175,IF(H2175="2)",J2175,IF(H2175="3)",J2175,IF(H2175="4)",J2175,IF(H2175="5)",J2175,IF(H2175="6)",J2175,IF(H2175="7)",J2175,IF(H2175="8)",J2175,0))))))))</f>
        <v/>
      </c>
    </row>
    <row r="2177">
      <c r="A2177" s="0" t="inlineStr">
        <is>
          <t>New</t>
        </is>
      </c>
      <c r="B2177" s="0" t="inlineStr">
        <is>
          <t>Item</t>
        </is>
      </c>
      <c r="C2177" s="0" t="inlineStr">
        <is>
          <t>Acquired</t>
        </is>
      </c>
      <c r="D2177" s="0" t="inlineStr">
        <is>
          <t>:</t>
        </is>
      </c>
      <c r="E2177" s="0" t="inlineStr">
        <is>
          <t>60.00K</t>
        </is>
      </c>
      <c r="F2177" s="0" t="inlineStr">
        <is>
          <t>(4,</t>
        </is>
      </c>
      <c r="G2177" s="0" t="inlineStr">
        <is>
          <t>10)</t>
        </is>
      </c>
      <c r="K2177" s="0">
        <f>IF(H2176="1)",1,IF(H2176="2)",2,IF(H2176="3)",3,IF(H2176="4)",4,IF(H2176="5)",5,IF(H2176="6)",6,IF(H2176="7)",7,IF(H2176="8)",8,0))))))))</f>
        <v/>
      </c>
      <c r="L2177" s="0">
        <f>IF(H2176="1)",J2176,IF(H2176="2)",J2176,IF(H2176="3)",J2176,IF(H2176="4)",J2176,IF(H2176="5)",J2176,IF(H2176="6)",J2176,IF(H2176="7)",J2176,IF(H2176="8)",J2176,0))))))))</f>
        <v/>
      </c>
    </row>
    <row r="2178">
      <c r="A2178" s="0" t="inlineStr">
        <is>
          <t>New</t>
        </is>
      </c>
      <c r="B2178" s="0" t="inlineStr">
        <is>
          <t>Item</t>
        </is>
      </c>
      <c r="C2178" s="0" t="inlineStr">
        <is>
          <t>Acquired</t>
        </is>
      </c>
      <c r="D2178" s="0" t="inlineStr">
        <is>
          <t>:</t>
        </is>
      </c>
      <c r="E2178" s="0" t="inlineStr">
        <is>
          <t>60.00K</t>
        </is>
      </c>
      <c r="F2178" s="0" t="inlineStr">
        <is>
          <t>(4,</t>
        </is>
      </c>
      <c r="G2178" s="0" t="inlineStr">
        <is>
          <t>17)</t>
        </is>
      </c>
      <c r="K2178" s="0">
        <f>IF(H2177="1)",1,IF(H2177="2)",2,IF(H2177="3)",3,IF(H2177="4)",4,IF(H2177="5)",5,IF(H2177="6)",6,IF(H2177="7)",7,IF(H2177="8)",8,0))))))))</f>
        <v/>
      </c>
      <c r="L2178" s="0">
        <f>IF(H2177="1)",J2177,IF(H2177="2)",J2177,IF(H2177="3)",J2177,IF(H2177="4)",J2177,IF(H2177="5)",J2177,IF(H2177="6)",J2177,IF(H2177="7)",J2177,IF(H2177="8)",J2177,0))))))))</f>
        <v/>
      </c>
    </row>
    <row r="2179">
      <c r="A2179" s="0" t="inlineStr">
        <is>
          <t>New</t>
        </is>
      </c>
      <c r="B2179" s="0" t="inlineStr">
        <is>
          <t>Item</t>
        </is>
      </c>
      <c r="C2179" s="0" t="inlineStr">
        <is>
          <t>Acquired</t>
        </is>
      </c>
      <c r="D2179" s="0" t="inlineStr">
        <is>
          <t>:</t>
        </is>
      </c>
      <c r="E2179" s="0" t="inlineStr">
        <is>
          <t>62.50K</t>
        </is>
      </c>
      <c r="F2179" s="0" t="inlineStr">
        <is>
          <t>(2,</t>
        </is>
      </c>
      <c r="G2179" s="0" t="inlineStr">
        <is>
          <t>18)</t>
        </is>
      </c>
      <c r="K2179" s="0">
        <f>IF(H2178="1)",1,IF(H2178="2)",2,IF(H2178="3)",3,IF(H2178="4)",4,IF(H2178="5)",5,IF(H2178="6)",6,IF(H2178="7)",7,IF(H2178="8)",8,0))))))))</f>
        <v/>
      </c>
      <c r="L2179" s="0">
        <f>IF(H2178="1)",J2178,IF(H2178="2)",J2178,IF(H2178="3)",J2178,IF(H2178="4)",J2178,IF(H2178="5)",J2178,IF(H2178="6)",J2178,IF(H2178="7)",J2178,IF(H2178="8)",J2178,0))))))))</f>
        <v/>
      </c>
    </row>
    <row r="2180">
      <c r="A2180" s="0" t="inlineStr">
        <is>
          <t>New</t>
        </is>
      </c>
      <c r="B2180" s="0" t="inlineStr">
        <is>
          <t>Item</t>
        </is>
      </c>
      <c r="C2180" s="0" t="inlineStr">
        <is>
          <t>Acquired</t>
        </is>
      </c>
      <c r="D2180" s="0" t="inlineStr">
        <is>
          <t>:</t>
        </is>
      </c>
      <c r="E2180" s="0" t="inlineStr">
        <is>
          <t>125.00K</t>
        </is>
      </c>
      <c r="F2180" s="0" t="inlineStr">
        <is>
          <t>(6,</t>
        </is>
      </c>
      <c r="G2180" s="0" t="inlineStr">
        <is>
          <t>21)</t>
        </is>
      </c>
      <c r="K2180" s="0">
        <f>IF(H2179="1)",1,IF(H2179="2)",2,IF(H2179="3)",3,IF(H2179="4)",4,IF(H2179="5)",5,IF(H2179="6)",6,IF(H2179="7)",7,IF(H2179="8)",8,0))))))))</f>
        <v/>
      </c>
      <c r="L2180" s="0">
        <f>IF(H2179="1)",J2179,IF(H2179="2)",J2179,IF(H2179="3)",J2179,IF(H2179="4)",J2179,IF(H2179="5)",J2179,IF(H2179="6)",J2179,IF(H2179="7)",J2179,IF(H2179="8)",J2179,0))))))))</f>
        <v/>
      </c>
    </row>
    <row r="2181">
      <c r="A2181" s="0" t="inlineStr">
        <is>
          <t>New</t>
        </is>
      </c>
      <c r="B2181" s="0" t="inlineStr">
        <is>
          <t>Item</t>
        </is>
      </c>
      <c r="C2181" s="0" t="inlineStr">
        <is>
          <t>Acquired</t>
        </is>
      </c>
      <c r="D2181" s="0" t="inlineStr">
        <is>
          <t>:</t>
        </is>
      </c>
      <c r="E2181" s="0" t="inlineStr">
        <is>
          <t>37.50K</t>
        </is>
      </c>
      <c r="F2181" s="0" t="inlineStr">
        <is>
          <t>(2,</t>
        </is>
      </c>
      <c r="G2181" s="0" t="inlineStr">
        <is>
          <t>22)</t>
        </is>
      </c>
      <c r="K2181" s="0">
        <f>IF(H2180="1)",1,IF(H2180="2)",2,IF(H2180="3)",3,IF(H2180="4)",4,IF(H2180="5)",5,IF(H2180="6)",6,IF(H2180="7)",7,IF(H2180="8)",8,0))))))))</f>
        <v/>
      </c>
      <c r="L2181" s="0">
        <f>IF(H2180="1)",J2180,IF(H2180="2)",J2180,IF(H2180="3)",J2180,IF(H2180="4)",J2180,IF(H2180="5)",J2180,IF(H2180="6)",J2180,IF(H2180="7)",J2180,IF(H2180="8)",J2180,0))))))))</f>
        <v/>
      </c>
    </row>
    <row r="2182">
      <c r="A2182" s="0" t="inlineStr">
        <is>
          <t>New</t>
        </is>
      </c>
      <c r="B2182" s="0" t="inlineStr">
        <is>
          <t>Item</t>
        </is>
      </c>
      <c r="C2182" s="0" t="inlineStr">
        <is>
          <t>Acquired</t>
        </is>
      </c>
      <c r="D2182" s="0" t="inlineStr">
        <is>
          <t>:</t>
        </is>
      </c>
      <c r="E2182" s="0" t="inlineStr">
        <is>
          <t>105.00K</t>
        </is>
      </c>
      <c r="F2182" s="0" t="inlineStr">
        <is>
          <t>(4,</t>
        </is>
      </c>
      <c r="G2182" s="0" t="inlineStr">
        <is>
          <t>21)</t>
        </is>
      </c>
      <c r="K2182" s="0">
        <f>IF(H2181="1)",1,IF(H2181="2)",2,IF(H2181="3)",3,IF(H2181="4)",4,IF(H2181="5)",5,IF(H2181="6)",6,IF(H2181="7)",7,IF(H2181="8)",8,0))))))))</f>
        <v/>
      </c>
      <c r="L2182" s="0">
        <f>IF(H2181="1)",J2181,IF(H2181="2)",J2181,IF(H2181="3)",J2181,IF(H2181="4)",J2181,IF(H2181="5)",J2181,IF(H2181="6)",J2181,IF(H2181="7)",J2181,IF(H2181="8)",J2181,0))))))))</f>
        <v/>
      </c>
    </row>
    <row r="2183">
      <c r="A2183" s="0" t="inlineStr">
        <is>
          <t>New</t>
        </is>
      </c>
      <c r="B2183" s="0" t="inlineStr">
        <is>
          <t>Item</t>
        </is>
      </c>
      <c r="C2183" s="0" t="inlineStr">
        <is>
          <t>Acquired</t>
        </is>
      </c>
      <c r="D2183" s="0" t="inlineStr">
        <is>
          <t>:</t>
        </is>
      </c>
      <c r="E2183" s="0" t="inlineStr">
        <is>
          <t>87.50K</t>
        </is>
      </c>
      <c r="F2183" s="0" t="inlineStr">
        <is>
          <t>(2,</t>
        </is>
      </c>
      <c r="G2183" s="0" t="inlineStr">
        <is>
          <t>25)</t>
        </is>
      </c>
      <c r="K2183" s="0">
        <f>IF(H2182="1)",1,IF(H2182="2)",2,IF(H2182="3)",3,IF(H2182="4)",4,IF(H2182="5)",5,IF(H2182="6)",6,IF(H2182="7)",7,IF(H2182="8)",8,0))))))))</f>
        <v/>
      </c>
      <c r="L2183" s="0">
        <f>IF(H2182="1)",J2182,IF(H2182="2)",J2182,IF(H2182="3)",J2182,IF(H2182="4)",J2182,IF(H2182="5)",J2182,IF(H2182="6)",J2182,IF(H2182="7)",J2182,IF(H2182="8)",J2182,0))))))))</f>
        <v/>
      </c>
    </row>
    <row r="2184">
      <c r="A2184" s="0" t="inlineStr">
        <is>
          <t>New</t>
        </is>
      </c>
      <c r="B2184" s="0" t="inlineStr">
        <is>
          <t>Item</t>
        </is>
      </c>
      <c r="C2184" s="0" t="inlineStr">
        <is>
          <t>Acquired</t>
        </is>
      </c>
      <c r="D2184" s="0" t="inlineStr">
        <is>
          <t>:</t>
        </is>
      </c>
      <c r="E2184" s="0" t="inlineStr">
        <is>
          <t>50.00K</t>
        </is>
      </c>
      <c r="F2184" s="0" t="inlineStr">
        <is>
          <t>(1,</t>
        </is>
      </c>
      <c r="G2184" s="0" t="inlineStr">
        <is>
          <t>6)</t>
        </is>
      </c>
      <c r="K2184" s="0">
        <f>IF(H2183="1)",1,IF(H2183="2)",2,IF(H2183="3)",3,IF(H2183="4)",4,IF(H2183="5)",5,IF(H2183="6)",6,IF(H2183="7)",7,IF(H2183="8)",8,0))))))))</f>
        <v/>
      </c>
      <c r="L2184" s="0">
        <f>IF(H2183="1)",J2183,IF(H2183="2)",J2183,IF(H2183="3)",J2183,IF(H2183="4)",J2183,IF(H2183="5)",J2183,IF(H2183="6)",J2183,IF(H2183="7)",J2183,IF(H2183="8)",J2183,0))))))))</f>
        <v/>
      </c>
    </row>
    <row r="2185">
      <c r="A2185" s="0" t="inlineStr">
        <is>
          <t>New</t>
        </is>
      </c>
      <c r="B2185" s="0" t="inlineStr">
        <is>
          <t>Item</t>
        </is>
      </c>
      <c r="C2185" s="0" t="inlineStr">
        <is>
          <t>Acquired</t>
        </is>
      </c>
      <c r="D2185" s="0" t="inlineStr">
        <is>
          <t>:</t>
        </is>
      </c>
      <c r="E2185" s="0" t="inlineStr">
        <is>
          <t>70.00K</t>
        </is>
      </c>
      <c r="F2185" s="0" t="inlineStr">
        <is>
          <t>(1,</t>
        </is>
      </c>
      <c r="G2185" s="0" t="inlineStr">
        <is>
          <t>20)</t>
        </is>
      </c>
      <c r="K2185" s="0">
        <f>IF(H2184="1)",1,IF(H2184="2)",2,IF(H2184="3)",3,IF(H2184="4)",4,IF(H2184="5)",5,IF(H2184="6)",6,IF(H2184="7)",7,IF(H2184="8)",8,0))))))))</f>
        <v/>
      </c>
      <c r="L2185" s="0">
        <f>IF(H2184="1)",J2184,IF(H2184="2)",J2184,IF(H2184="3)",J2184,IF(H2184="4)",J2184,IF(H2184="5)",J2184,IF(H2184="6)",J2184,IF(H2184="7)",J2184,IF(H2184="8)",J2184,0))))))))</f>
        <v/>
      </c>
    </row>
    <row r="2186">
      <c r="A2186" s="0" t="inlineStr">
        <is>
          <t>New</t>
        </is>
      </c>
      <c r="B2186" s="0" t="inlineStr">
        <is>
          <t>Item</t>
        </is>
      </c>
      <c r="C2186" s="0" t="inlineStr">
        <is>
          <t>Acquired</t>
        </is>
      </c>
      <c r="D2186" s="0" t="inlineStr">
        <is>
          <t>:</t>
        </is>
      </c>
      <c r="E2186" s="0" t="inlineStr">
        <is>
          <t>175.00K</t>
        </is>
      </c>
      <c r="F2186" s="0" t="inlineStr">
        <is>
          <t>(6,</t>
        </is>
      </c>
      <c r="G2186" s="0" t="inlineStr">
        <is>
          <t>11)</t>
        </is>
      </c>
      <c r="K2186" s="0">
        <f>IF(H2185="1)",1,IF(H2185="2)",2,IF(H2185="3)",3,IF(H2185="4)",4,IF(H2185="5)",5,IF(H2185="6)",6,IF(H2185="7)",7,IF(H2185="8)",8,0))))))))</f>
        <v/>
      </c>
      <c r="L2186" s="0">
        <f>IF(H2185="1)",J2185,IF(H2185="2)",J2185,IF(H2185="3)",J2185,IF(H2185="4)",J2185,IF(H2185="5)",J2185,IF(H2185="6)",J2185,IF(H2185="7)",J2185,IF(H2185="8)",J2185,0))))))))</f>
        <v/>
      </c>
    </row>
    <row r="2187">
      <c r="A2187" s="0" t="inlineStr">
        <is>
          <t>New</t>
        </is>
      </c>
      <c r="B2187" s="0" t="inlineStr">
        <is>
          <t>Item</t>
        </is>
      </c>
      <c r="C2187" s="0" t="inlineStr">
        <is>
          <t>Acquired</t>
        </is>
      </c>
      <c r="D2187" s="0" t="inlineStr">
        <is>
          <t>:</t>
        </is>
      </c>
      <c r="E2187" s="0" t="inlineStr">
        <is>
          <t>60.00K</t>
        </is>
      </c>
      <c r="F2187" s="0" t="inlineStr">
        <is>
          <t>(4,</t>
        </is>
      </c>
      <c r="G2187" s="0" t="inlineStr">
        <is>
          <t>8)</t>
        </is>
      </c>
      <c r="K2187" s="0">
        <f>IF(H2186="1)",1,IF(H2186="2)",2,IF(H2186="3)",3,IF(H2186="4)",4,IF(H2186="5)",5,IF(H2186="6)",6,IF(H2186="7)",7,IF(H2186="8)",8,0))))))))</f>
        <v/>
      </c>
      <c r="L2187" s="0">
        <f>IF(H2186="1)",J2186,IF(H2186="2)",J2186,IF(H2186="3)",J2186,IF(H2186="4)",J2186,IF(H2186="5)",J2186,IF(H2186="6)",J2186,IF(H2186="7)",J2186,IF(H2186="8)",J2186,0))))))))</f>
        <v/>
      </c>
    </row>
    <row r="2188">
      <c r="A2188" s="0" t="inlineStr">
        <is>
          <t>New</t>
        </is>
      </c>
      <c r="B2188" s="0" t="inlineStr">
        <is>
          <t>Item</t>
        </is>
      </c>
      <c r="C2188" s="0" t="inlineStr">
        <is>
          <t>Acquired</t>
        </is>
      </c>
      <c r="D2188" s="0" t="inlineStr">
        <is>
          <t>:</t>
        </is>
      </c>
      <c r="E2188" s="0" t="inlineStr">
        <is>
          <t>150.00K</t>
        </is>
      </c>
      <c r="F2188" s="0" t="inlineStr">
        <is>
          <t>(7,</t>
        </is>
      </c>
      <c r="G2188" s="0" t="inlineStr">
        <is>
          <t>10)</t>
        </is>
      </c>
      <c r="K2188" s="0">
        <f>IF(H2187="1)",1,IF(H2187="2)",2,IF(H2187="3)",3,IF(H2187="4)",4,IF(H2187="5)",5,IF(H2187="6)",6,IF(H2187="7)",7,IF(H2187="8)",8,0))))))))</f>
        <v/>
      </c>
      <c r="L2188" s="0">
        <f>IF(H2187="1)",J2187,IF(H2187="2)",J2187,IF(H2187="3)",J2187,IF(H2187="4)",J2187,IF(H2187="5)",J2187,IF(H2187="6)",J2187,IF(H2187="7)",J2187,IF(H2187="8)",J2187,0))))))))</f>
        <v/>
      </c>
    </row>
    <row r="2189">
      <c r="A2189" s="0" t="inlineStr">
        <is>
          <t>New</t>
        </is>
      </c>
      <c r="B2189" s="0" t="inlineStr">
        <is>
          <t>Item</t>
        </is>
      </c>
      <c r="C2189" s="0" t="inlineStr">
        <is>
          <t>Acquired</t>
        </is>
      </c>
      <c r="D2189" s="0" t="inlineStr">
        <is>
          <t>:</t>
        </is>
      </c>
      <c r="E2189" s="0" t="inlineStr">
        <is>
          <t>75.00K</t>
        </is>
      </c>
      <c r="F2189" s="0" t="inlineStr">
        <is>
          <t>(6,</t>
        </is>
      </c>
      <c r="G2189" s="0" t="inlineStr">
        <is>
          <t>4)</t>
        </is>
      </c>
      <c r="K2189" s="0">
        <f>IF(H2188="1)",1,IF(H2188="2)",2,IF(H2188="3)",3,IF(H2188="4)",4,IF(H2188="5)",5,IF(H2188="6)",6,IF(H2188="7)",7,IF(H2188="8)",8,0))))))))</f>
        <v/>
      </c>
      <c r="L2189" s="0">
        <f>IF(H2188="1)",J2188,IF(H2188="2)",J2188,IF(H2188="3)",J2188,IF(H2188="4)",J2188,IF(H2188="5)",J2188,IF(H2188="6)",J2188,IF(H2188="7)",J2188,IF(H2188="8)",J2188,0))))))))</f>
        <v/>
      </c>
    </row>
    <row r="2190">
      <c r="A2190" s="0" t="inlineStr">
        <is>
          <t>New</t>
        </is>
      </c>
      <c r="B2190" s="0" t="inlineStr">
        <is>
          <t>Item</t>
        </is>
      </c>
      <c r="C2190" s="0" t="inlineStr">
        <is>
          <t>Acquired</t>
        </is>
      </c>
      <c r="D2190" s="0" t="inlineStr">
        <is>
          <t>:</t>
        </is>
      </c>
      <c r="E2190" s="0" t="inlineStr">
        <is>
          <t>105.00K</t>
        </is>
      </c>
      <c r="F2190" s="0" t="inlineStr">
        <is>
          <t>(4,</t>
        </is>
      </c>
      <c r="G2190" s="0" t="inlineStr">
        <is>
          <t>25)</t>
        </is>
      </c>
      <c r="K2190" s="0">
        <f>IF(H2189="1)",1,IF(H2189="2)",2,IF(H2189="3)",3,IF(H2189="4)",4,IF(H2189="5)",5,IF(H2189="6)",6,IF(H2189="7)",7,IF(H2189="8)",8,0))))))))</f>
        <v/>
      </c>
      <c r="L2190" s="0">
        <f>IF(H2189="1)",J2189,IF(H2189="2)",J2189,IF(H2189="3)",J2189,IF(H2189="4)",J2189,IF(H2189="5)",J2189,IF(H2189="6)",J2189,IF(H2189="7)",J2189,IF(H2189="8)",J2189,0))))))))</f>
        <v/>
      </c>
    </row>
    <row r="2191">
      <c r="A2191" s="0" t="inlineStr">
        <is>
          <t>New</t>
        </is>
      </c>
      <c r="B2191" s="0" t="inlineStr">
        <is>
          <t>Item</t>
        </is>
      </c>
      <c r="C2191" s="0" t="inlineStr">
        <is>
          <t>Acquired</t>
        </is>
      </c>
      <c r="D2191" s="0" t="inlineStr">
        <is>
          <t>:</t>
        </is>
      </c>
      <c r="E2191" s="0" t="inlineStr">
        <is>
          <t>75.00K</t>
        </is>
      </c>
      <c r="F2191" s="0" t="inlineStr">
        <is>
          <t>(3,</t>
        </is>
      </c>
      <c r="G2191" s="0" t="inlineStr">
        <is>
          <t>23)</t>
        </is>
      </c>
      <c r="K2191" s="0">
        <f>IF(H2190="1)",1,IF(H2190="2)",2,IF(H2190="3)",3,IF(H2190="4)",4,IF(H2190="5)",5,IF(H2190="6)",6,IF(H2190="7)",7,IF(H2190="8)",8,0))))))))</f>
        <v/>
      </c>
      <c r="L2191" s="0">
        <f>IF(H2190="1)",J2190,IF(H2190="2)",J2190,IF(H2190="3)",J2190,IF(H2190="4)",J2190,IF(H2190="5)",J2190,IF(H2190="6)",J2190,IF(H2190="7)",J2190,IF(H2190="8)",J2190,0))))))))</f>
        <v/>
      </c>
    </row>
    <row r="2192">
      <c r="A2192" s="0" t="inlineStr">
        <is>
          <t>New</t>
        </is>
      </c>
      <c r="B2192" s="0" t="inlineStr">
        <is>
          <t>Item</t>
        </is>
      </c>
      <c r="C2192" s="0" t="inlineStr">
        <is>
          <t>Acquired</t>
        </is>
      </c>
      <c r="D2192" s="0" t="inlineStr">
        <is>
          <t>:</t>
        </is>
      </c>
      <c r="E2192" s="0" t="inlineStr">
        <is>
          <t>125.00K</t>
        </is>
      </c>
      <c r="F2192" s="0" t="inlineStr">
        <is>
          <t>(6,</t>
        </is>
      </c>
      <c r="G2192" s="0" t="inlineStr">
        <is>
          <t>14)</t>
        </is>
      </c>
      <c r="K2192" s="0">
        <f>IF(H2191="1)",1,IF(H2191="2)",2,IF(H2191="3)",3,IF(H2191="4)",4,IF(H2191="5)",5,IF(H2191="6)",6,IF(H2191="7)",7,IF(H2191="8)",8,0))))))))</f>
        <v/>
      </c>
      <c r="L2192" s="0">
        <f>IF(H2191="1)",J2191,IF(H2191="2)",J2191,IF(H2191="3)",J2191,IF(H2191="4)",J2191,IF(H2191="5)",J2191,IF(H2191="6)",J2191,IF(H2191="7)",J2191,IF(H2191="8)",J2191,0))))))))</f>
        <v/>
      </c>
    </row>
    <row r="2193">
      <c r="A2193" s="0" t="inlineStr">
        <is>
          <t>New</t>
        </is>
      </c>
      <c r="B2193" s="0" t="inlineStr">
        <is>
          <t>Item</t>
        </is>
      </c>
      <c r="C2193" s="0" t="inlineStr">
        <is>
          <t>Acquired</t>
        </is>
      </c>
      <c r="D2193" s="0" t="inlineStr">
        <is>
          <t>:</t>
        </is>
      </c>
      <c r="E2193" s="0" t="inlineStr">
        <is>
          <t>75.00K</t>
        </is>
      </c>
      <c r="F2193" s="0" t="inlineStr">
        <is>
          <t>(6,</t>
        </is>
      </c>
      <c r="G2193" s="0" t="inlineStr">
        <is>
          <t>10)</t>
        </is>
      </c>
      <c r="K2193" s="0">
        <f>IF(H2192="1)",1,IF(H2192="2)",2,IF(H2192="3)",3,IF(H2192="4)",4,IF(H2192="5)",5,IF(H2192="6)",6,IF(H2192="7)",7,IF(H2192="8)",8,0))))))))</f>
        <v/>
      </c>
      <c r="L2193" s="0">
        <f>IF(H2192="1)",J2192,IF(H2192="2)",J2192,IF(H2192="3)",J2192,IF(H2192="4)",J2192,IF(H2192="5)",J2192,IF(H2192="6)",J2192,IF(H2192="7)",J2192,IF(H2192="8)",J2192,0))))))))</f>
        <v/>
      </c>
    </row>
    <row r="2194">
      <c r="A2194" s="0" t="inlineStr">
        <is>
          <t>New</t>
        </is>
      </c>
      <c r="B2194" s="0" t="inlineStr">
        <is>
          <t>Item</t>
        </is>
      </c>
      <c r="C2194" s="0" t="inlineStr">
        <is>
          <t>Acquired</t>
        </is>
      </c>
      <c r="D2194" s="0" t="inlineStr">
        <is>
          <t>:</t>
        </is>
      </c>
      <c r="E2194" s="0" t="inlineStr">
        <is>
          <t>75.00K</t>
        </is>
      </c>
      <c r="F2194" s="0" t="inlineStr">
        <is>
          <t>(6,</t>
        </is>
      </c>
      <c r="G2194" s="0" t="inlineStr">
        <is>
          <t>20)</t>
        </is>
      </c>
      <c r="K2194" s="0">
        <f>IF(H2193="1)",1,IF(H2193="2)",2,IF(H2193="3)",3,IF(H2193="4)",4,IF(H2193="5)",5,IF(H2193="6)",6,IF(H2193="7)",7,IF(H2193="8)",8,0))))))))</f>
        <v/>
      </c>
      <c r="L2194" s="0">
        <f>IF(H2193="1)",J2193,IF(H2193="2)",J2193,IF(H2193="3)",J2193,IF(H2193="4)",J2193,IF(H2193="5)",J2193,IF(H2193="6)",J2193,IF(H2193="7)",J2193,IF(H2193="8)",J2193,0))))))))</f>
        <v/>
      </c>
    </row>
    <row r="2195">
      <c r="A2195" s="0" t="inlineStr">
        <is>
          <t>New</t>
        </is>
      </c>
      <c r="B2195" s="0" t="inlineStr">
        <is>
          <t>Item</t>
        </is>
      </c>
      <c r="C2195" s="0" t="inlineStr">
        <is>
          <t>Acquired</t>
        </is>
      </c>
      <c r="D2195" s="0" t="inlineStr">
        <is>
          <t>:</t>
        </is>
      </c>
      <c r="E2195" s="0" t="inlineStr">
        <is>
          <t>Minor</t>
        </is>
      </c>
      <c r="F2195" s="0" t="inlineStr">
        <is>
          <t>(2,</t>
        </is>
      </c>
      <c r="G2195" s="0" t="inlineStr">
        <is>
          <t>8)</t>
        </is>
      </c>
      <c r="K2195" s="0">
        <f>IF(H2194="1)",1,IF(H2194="2)",2,IF(H2194="3)",3,IF(H2194="4)",4,IF(H2194="5)",5,IF(H2194="6)",6,IF(H2194="7)",7,IF(H2194="8)",8,0))))))))</f>
        <v/>
      </c>
      <c r="L2195" s="0">
        <f>IF(H2194="1)",J2194,IF(H2194="2)",J2194,IF(H2194="3)",J2194,IF(H2194="4)",J2194,IF(H2194="5)",J2194,IF(H2194="6)",J2194,IF(H2194="7)",J2194,IF(H2194="8)",J2194,0))))))))</f>
        <v/>
      </c>
    </row>
    <row r="2196">
      <c r="A2196" s="0" t="inlineStr">
        <is>
          <t>New</t>
        </is>
      </c>
      <c r="B2196" s="0" t="inlineStr">
        <is>
          <t>Item</t>
        </is>
      </c>
      <c r="C2196" s="0" t="inlineStr">
        <is>
          <t>Acquired</t>
        </is>
      </c>
      <c r="D2196" s="0" t="inlineStr">
        <is>
          <t>:</t>
        </is>
      </c>
      <c r="E2196" s="0" t="inlineStr">
        <is>
          <t>37.50K</t>
        </is>
      </c>
      <c r="F2196" s="0" t="inlineStr">
        <is>
          <t>(2,</t>
        </is>
      </c>
      <c r="G2196" s="0" t="inlineStr">
        <is>
          <t>20)</t>
        </is>
      </c>
      <c r="K2196" s="0">
        <f>IF(H2195="1)",1,IF(H2195="2)",2,IF(H2195="3)",3,IF(H2195="4)",4,IF(H2195="5)",5,IF(H2195="6)",6,IF(H2195="7)",7,IF(H2195="8)",8,0))))))))</f>
        <v/>
      </c>
      <c r="L2196" s="0">
        <f>IF(H2195="1)",J2195,IF(H2195="2)",J2195,IF(H2195="3)",J2195,IF(H2195="4)",J2195,IF(H2195="5)",J2195,IF(H2195="6)",J2195,IF(H2195="7)",J2195,IF(H2195="8)",J2195,0))))))))</f>
        <v/>
      </c>
    </row>
    <row r="2197">
      <c r="A2197" s="0" t="inlineStr">
        <is>
          <t>New</t>
        </is>
      </c>
      <c r="B2197" s="0" t="inlineStr">
        <is>
          <t>Item</t>
        </is>
      </c>
      <c r="C2197" s="0" t="inlineStr">
        <is>
          <t>Acquired</t>
        </is>
      </c>
      <c r="D2197" s="0" t="inlineStr">
        <is>
          <t>:</t>
        </is>
      </c>
      <c r="E2197" s="0" t="inlineStr">
        <is>
          <t>67.50K</t>
        </is>
      </c>
      <c r="F2197" s="0" t="inlineStr">
        <is>
          <t>(5,</t>
        </is>
      </c>
      <c r="G2197" s="0" t="inlineStr">
        <is>
          <t>8)</t>
        </is>
      </c>
      <c r="K2197" s="0">
        <f>IF(H2196="1)",1,IF(H2196="2)",2,IF(H2196="3)",3,IF(H2196="4)",4,IF(H2196="5)",5,IF(H2196="6)",6,IF(H2196="7)",7,IF(H2196="8)",8,0))))))))</f>
        <v/>
      </c>
      <c r="L2197" s="0">
        <f>IF(H2196="1)",J2196,IF(H2196="2)",J2196,IF(H2196="3)",J2196,IF(H2196="4)",J2196,IF(H2196="5)",J2196,IF(H2196="6)",J2196,IF(H2196="7)",J2196,IF(H2196="8)",J2196,0))))))))</f>
        <v/>
      </c>
    </row>
    <row r="2198">
      <c r="A2198" s="0" t="inlineStr">
        <is>
          <t>New</t>
        </is>
      </c>
      <c r="B2198" s="0" t="inlineStr">
        <is>
          <t>Item</t>
        </is>
      </c>
      <c r="C2198" s="0" t="inlineStr">
        <is>
          <t>Acquired</t>
        </is>
      </c>
      <c r="D2198" s="0" t="inlineStr">
        <is>
          <t>:</t>
        </is>
      </c>
      <c r="E2198" s="0" t="inlineStr">
        <is>
          <t>125.00K</t>
        </is>
      </c>
      <c r="F2198" s="0" t="inlineStr">
        <is>
          <t>(6,</t>
        </is>
      </c>
      <c r="G2198" s="0" t="inlineStr">
        <is>
          <t>1)</t>
        </is>
      </c>
      <c r="K2198" s="0">
        <f>IF(H2197="1)",1,IF(H2197="2)",2,IF(H2197="3)",3,IF(H2197="4)",4,IF(H2197="5)",5,IF(H2197="6)",6,IF(H2197="7)",7,IF(H2197="8)",8,0))))))))</f>
        <v/>
      </c>
      <c r="L2198" s="0">
        <f>IF(H2197="1)",J2197,IF(H2197="2)",J2197,IF(H2197="3)",J2197,IF(H2197="4)",J2197,IF(H2197="5)",J2197,IF(H2197="6)",J2197,IF(H2197="7)",J2197,IF(H2197="8)",J2197,0))))))))</f>
        <v/>
      </c>
    </row>
    <row r="2199">
      <c r="A2199" s="0" t="inlineStr">
        <is>
          <t>New</t>
        </is>
      </c>
      <c r="B2199" s="0" t="inlineStr">
        <is>
          <t>Item</t>
        </is>
      </c>
      <c r="C2199" s="0" t="inlineStr">
        <is>
          <t>Acquired</t>
        </is>
      </c>
      <c r="D2199" s="0" t="inlineStr">
        <is>
          <t>:</t>
        </is>
      </c>
      <c r="E2199" s="0" t="inlineStr">
        <is>
          <t>37.50K</t>
        </is>
      </c>
      <c r="F2199" s="0" t="inlineStr">
        <is>
          <t>(2,</t>
        </is>
      </c>
      <c r="G2199" s="0" t="inlineStr">
        <is>
          <t>7)</t>
        </is>
      </c>
      <c r="K2199" s="0">
        <f>IF(H2198="1)",1,IF(H2198="2)",2,IF(H2198="3)",3,IF(H2198="4)",4,IF(H2198="5)",5,IF(H2198="6)",6,IF(H2198="7)",7,IF(H2198="8)",8,0))))))))</f>
        <v/>
      </c>
      <c r="L2199" s="0">
        <f>IF(H2198="1)",J2198,IF(H2198="2)",J2198,IF(H2198="3)",J2198,IF(H2198="4)",J2198,IF(H2198="5)",J2198,IF(H2198="6)",J2198,IF(H2198="7)",J2198,IF(H2198="8)",J2198,0))))))))</f>
        <v/>
      </c>
    </row>
    <row r="2200">
      <c r="A2200" s="0" t="inlineStr">
        <is>
          <t>New</t>
        </is>
      </c>
      <c r="B2200" s="0" t="inlineStr">
        <is>
          <t>Item</t>
        </is>
      </c>
      <c r="C2200" s="0" t="inlineStr">
        <is>
          <t>Acquired</t>
        </is>
      </c>
      <c r="D2200" s="0" t="inlineStr">
        <is>
          <t>:</t>
        </is>
      </c>
      <c r="E2200" s="0" t="inlineStr">
        <is>
          <t>75.00K</t>
        </is>
      </c>
      <c r="F2200" s="0" t="inlineStr">
        <is>
          <t>(4,</t>
        </is>
      </c>
      <c r="G2200" s="0" t="inlineStr">
        <is>
          <t>4)</t>
        </is>
      </c>
      <c r="K2200" s="0">
        <f>IF(H2199="1)",1,IF(H2199="2)",2,IF(H2199="3)",3,IF(H2199="4)",4,IF(H2199="5)",5,IF(H2199="6)",6,IF(H2199="7)",7,IF(H2199="8)",8,0))))))))</f>
        <v/>
      </c>
      <c r="L2200" s="0">
        <f>IF(H2199="1)",J2199,IF(H2199="2)",J2199,IF(H2199="3)",J2199,IF(H2199="4)",J2199,IF(H2199="5)",J2199,IF(H2199="6)",J2199,IF(H2199="7)",J2199,IF(H2199="8)",J2199,0))))))))</f>
        <v/>
      </c>
    </row>
    <row r="2201">
      <c r="A2201" s="0" t="inlineStr">
        <is>
          <t>New</t>
        </is>
      </c>
      <c r="B2201" s="0" t="inlineStr">
        <is>
          <t>Item</t>
        </is>
      </c>
      <c r="C2201" s="0" t="inlineStr">
        <is>
          <t>Acquired</t>
        </is>
      </c>
      <c r="D2201" s="0" t="inlineStr">
        <is>
          <t>:</t>
        </is>
      </c>
      <c r="E2201" s="0" t="inlineStr">
        <is>
          <t>175.00K</t>
        </is>
      </c>
      <c r="F2201" s="0" t="inlineStr">
        <is>
          <t>(6,</t>
        </is>
      </c>
      <c r="G2201" s="0" t="inlineStr">
        <is>
          <t>19)</t>
        </is>
      </c>
      <c r="K2201" s="0">
        <f>IF(H2200="1)",1,IF(H2200="2)",2,IF(H2200="3)",3,IF(H2200="4)",4,IF(H2200="5)",5,IF(H2200="6)",6,IF(H2200="7)",7,IF(H2200="8)",8,0))))))))</f>
        <v/>
      </c>
      <c r="L2201" s="0">
        <f>IF(H2200="1)",J2200,IF(H2200="2)",J2200,IF(H2200="3)",J2200,IF(H2200="4)",J2200,IF(H2200="5)",J2200,IF(H2200="6)",J2200,IF(H2200="7)",J2200,IF(H2200="8)",J2200,0))))))))</f>
        <v/>
      </c>
    </row>
    <row r="2202">
      <c r="A2202" s="0" t="inlineStr">
        <is>
          <t>New</t>
        </is>
      </c>
      <c r="B2202" s="0" t="inlineStr">
        <is>
          <t>Item</t>
        </is>
      </c>
      <c r="C2202" s="0" t="inlineStr">
        <is>
          <t>Acquired</t>
        </is>
      </c>
      <c r="D2202" s="0" t="inlineStr">
        <is>
          <t>:</t>
        </is>
      </c>
      <c r="E2202" s="0" t="inlineStr">
        <is>
          <t>67.50K</t>
        </is>
      </c>
      <c r="F2202" s="0" t="inlineStr">
        <is>
          <t>(5,</t>
        </is>
      </c>
      <c r="G2202" s="0" t="inlineStr">
        <is>
          <t>25)</t>
        </is>
      </c>
      <c r="K2202" s="0">
        <f>IF(H2201="1)",1,IF(H2201="2)",2,IF(H2201="3)",3,IF(H2201="4)",4,IF(H2201="5)",5,IF(H2201="6)",6,IF(H2201="7)",7,IF(H2201="8)",8,0))))))))</f>
        <v/>
      </c>
      <c r="L2202" s="0">
        <f>IF(H2201="1)",J2201,IF(H2201="2)",J2201,IF(H2201="3)",J2201,IF(H2201="4)",J2201,IF(H2201="5)",J2201,IF(H2201="6)",J2201,IF(H2201="7)",J2201,IF(H2201="8)",J2201,0))))))))</f>
        <v/>
      </c>
    </row>
    <row r="2203">
      <c r="A2203" s="0" t="inlineStr">
        <is>
          <t>New</t>
        </is>
      </c>
      <c r="B2203" s="0" t="inlineStr">
        <is>
          <t>Item</t>
        </is>
      </c>
      <c r="C2203" s="0" t="inlineStr">
        <is>
          <t>Acquired</t>
        </is>
      </c>
      <c r="D2203" s="0" t="inlineStr">
        <is>
          <t>:</t>
        </is>
      </c>
      <c r="E2203" s="0" t="inlineStr">
        <is>
          <t>175.00K</t>
        </is>
      </c>
      <c r="F2203" s="0" t="inlineStr">
        <is>
          <t>(6,</t>
        </is>
      </c>
      <c r="G2203" s="0" t="inlineStr">
        <is>
          <t>23)</t>
        </is>
      </c>
      <c r="K2203" s="0">
        <f>IF(H2202="1)",1,IF(H2202="2)",2,IF(H2202="3)",3,IF(H2202="4)",4,IF(H2202="5)",5,IF(H2202="6)",6,IF(H2202="7)",7,IF(H2202="8)",8,0))))))))</f>
        <v/>
      </c>
      <c r="L2203" s="0">
        <f>IF(H2202="1)",J2202,IF(H2202="2)",J2202,IF(H2202="3)",J2202,IF(H2202="4)",J2202,IF(H2202="5)",J2202,IF(H2202="6)",J2202,IF(H2202="7)",J2202,IF(H2202="8)",J2202,0))))))))</f>
        <v/>
      </c>
    </row>
    <row r="2204">
      <c r="A2204" s="0" t="inlineStr">
        <is>
          <t>New</t>
        </is>
      </c>
      <c r="B2204" s="0" t="inlineStr">
        <is>
          <t>Item</t>
        </is>
      </c>
      <c r="C2204" s="0" t="inlineStr">
        <is>
          <t>Acquired</t>
        </is>
      </c>
      <c r="D2204" s="0" t="inlineStr">
        <is>
          <t>:</t>
        </is>
      </c>
      <c r="E2204" s="0" t="inlineStr">
        <is>
          <t>37.50K</t>
        </is>
      </c>
      <c r="F2204" s="0" t="inlineStr">
        <is>
          <t>(2,</t>
        </is>
      </c>
      <c r="G2204" s="0" t="inlineStr">
        <is>
          <t>12)</t>
        </is>
      </c>
      <c r="K2204" s="0">
        <f>IF(H2203="1)",1,IF(H2203="2)",2,IF(H2203="3)",3,IF(H2203="4)",4,IF(H2203="5)",5,IF(H2203="6)",6,IF(H2203="7)",7,IF(H2203="8)",8,0))))))))</f>
        <v/>
      </c>
      <c r="L2204" s="0">
        <f>IF(H2203="1)",J2203,IF(H2203="2)",J2203,IF(H2203="3)",J2203,IF(H2203="4)",J2203,IF(H2203="5)",J2203,IF(H2203="6)",J2203,IF(H2203="7)",J2203,IF(H2203="8)",J2203,0))))))))</f>
        <v/>
      </c>
    </row>
    <row r="2205">
      <c r="A2205" s="0" t="inlineStr">
        <is>
          <t>Item</t>
        </is>
      </c>
      <c r="B2205" s="0" t="inlineStr">
        <is>
          <t>ReSelect</t>
        </is>
      </c>
      <c r="C2205" s="0" t="inlineStr">
        <is>
          <t>Failed</t>
        </is>
      </c>
      <c r="D2205" s="0" t="inlineStr">
        <is>
          <t>:</t>
        </is>
      </c>
      <c r="E2205" s="0" t="inlineStr">
        <is>
          <t>Attempt</t>
        </is>
      </c>
      <c r="F2205" s="0" t="inlineStr">
        <is>
          <t>Count</t>
        </is>
      </c>
      <c r="G2205" s="0" t="inlineStr">
        <is>
          <t>-</t>
        </is>
      </c>
      <c r="H2205" s="0" t="n">
        <v>3</v>
      </c>
      <c r="K2205" s="0">
        <f>IF(H2204="1)",1,IF(H2204="2)",2,IF(H2204="3)",3,IF(H2204="4)",4,IF(H2204="5)",5,IF(H2204="6)",6,IF(H2204="7)",7,IF(H2204="8)",8,0))))))))</f>
        <v/>
      </c>
      <c r="L2205" s="0">
        <f>IF(H2204="1)",J2204,IF(H2204="2)",J2204,IF(H2204="3)",J2204,IF(H2204="4)",J2204,IF(H2204="5)",J2204,IF(H2204="6)",J2204,IF(H2204="7)",J2204,IF(H2204="8)",J2204,0))))))))</f>
        <v/>
      </c>
    </row>
    <row r="2206">
      <c r="A2206" s="0" t="inlineStr">
        <is>
          <t>New</t>
        </is>
      </c>
      <c r="B2206" s="0" t="inlineStr">
        <is>
          <t>Item</t>
        </is>
      </c>
      <c r="C2206" s="0" t="inlineStr">
        <is>
          <t>Acquired</t>
        </is>
      </c>
      <c r="D2206" s="0" t="inlineStr">
        <is>
          <t>:</t>
        </is>
      </c>
      <c r="E2206" s="0" t="inlineStr">
        <is>
          <t>90.00K</t>
        </is>
      </c>
      <c r="F2206" s="0" t="inlineStr">
        <is>
          <t>(7,</t>
        </is>
      </c>
      <c r="G2206" s="0" t="inlineStr">
        <is>
          <t>25)</t>
        </is>
      </c>
      <c r="K2206" s="0">
        <f>IF(H2205="1)",1,IF(H2205="2)",2,IF(H2205="3)",3,IF(H2205="4)",4,IF(H2205="5)",5,IF(H2205="6)",6,IF(H2205="7)",7,IF(H2205="8)",8,0))))))))</f>
        <v/>
      </c>
      <c r="L2206" s="0">
        <f>IF(H2205="1)",J2205,IF(H2205="2)",J2205,IF(H2205="3)",J2205,IF(H2205="4)",J2205,IF(H2205="5)",J2205,IF(H2205="6)",J2205,IF(H2205="7)",J2205,IF(H2205="8)",J2205,0))))))))</f>
        <v/>
      </c>
    </row>
    <row r="2207">
      <c r="A2207" s="0" t="inlineStr">
        <is>
          <t>New</t>
        </is>
      </c>
      <c r="B2207" s="0" t="inlineStr">
        <is>
          <t>Item</t>
        </is>
      </c>
      <c r="C2207" s="0" t="inlineStr">
        <is>
          <t>Acquired</t>
        </is>
      </c>
      <c r="D2207" s="0" t="inlineStr">
        <is>
          <t>:</t>
        </is>
      </c>
      <c r="E2207" s="0" t="inlineStr">
        <is>
          <t>200.00K</t>
        </is>
      </c>
      <c r="F2207" s="0" t="inlineStr">
        <is>
          <t>(8,</t>
        </is>
      </c>
      <c r="G2207" s="0" t="inlineStr">
        <is>
          <t>18)</t>
        </is>
      </c>
      <c r="K2207" s="0">
        <f>IF(H2206="1)",1,IF(H2206="2)",2,IF(H2206="3)",3,IF(H2206="4)",4,IF(H2206="5)",5,IF(H2206="6)",6,IF(H2206="7)",7,IF(H2206="8)",8,0))))))))</f>
        <v/>
      </c>
      <c r="L2207" s="0">
        <f>IF(H2206="1)",J2206,IF(H2206="2)",J2206,IF(H2206="3)",J2206,IF(H2206="4)",J2206,IF(H2206="5)",J2206,IF(H2206="6)",J2206,IF(H2206="7)",J2206,IF(H2206="8)",J2206,0))))))))</f>
        <v/>
      </c>
    </row>
    <row r="2208">
      <c r="A2208" s="0" t="inlineStr">
        <is>
          <t>Item</t>
        </is>
      </c>
      <c r="B2208" s="0" t="inlineStr">
        <is>
          <t>ReSelect</t>
        </is>
      </c>
      <c r="C2208" s="0" t="inlineStr">
        <is>
          <t>Failed</t>
        </is>
      </c>
      <c r="D2208" s="0" t="inlineStr">
        <is>
          <t>:</t>
        </is>
      </c>
      <c r="E2208" s="0" t="inlineStr">
        <is>
          <t>Attempt</t>
        </is>
      </c>
      <c r="F2208" s="0" t="inlineStr">
        <is>
          <t>Count</t>
        </is>
      </c>
      <c r="G2208" s="0" t="inlineStr">
        <is>
          <t>-</t>
        </is>
      </c>
      <c r="H2208" s="0" t="n">
        <v>3</v>
      </c>
      <c r="K2208" s="0">
        <f>IF(H2207="1)",1,IF(H2207="2)",2,IF(H2207="3)",3,IF(H2207="4)",4,IF(H2207="5)",5,IF(H2207="6)",6,IF(H2207="7)",7,IF(H2207="8)",8,0))))))))</f>
        <v/>
      </c>
      <c r="L2208" s="0">
        <f>IF(H2207="1)",J2207,IF(H2207="2)",J2207,IF(H2207="3)",J2207,IF(H2207="4)",J2207,IF(H2207="5)",J2207,IF(H2207="6)",J2207,IF(H2207="7)",J2207,IF(H2207="8)",J2207,0))))))))</f>
        <v/>
      </c>
    </row>
    <row r="2209">
      <c r="A2209" s="0" t="inlineStr">
        <is>
          <t>New</t>
        </is>
      </c>
      <c r="B2209" s="0" t="inlineStr">
        <is>
          <t>Item</t>
        </is>
      </c>
      <c r="C2209" s="0" t="inlineStr">
        <is>
          <t>Acquired</t>
        </is>
      </c>
      <c r="D2209" s="0" t="inlineStr">
        <is>
          <t>:</t>
        </is>
      </c>
      <c r="E2209" s="0" t="inlineStr">
        <is>
          <t>87.50K</t>
        </is>
      </c>
      <c r="F2209" s="0" t="inlineStr">
        <is>
          <t>(2,</t>
        </is>
      </c>
      <c r="G2209" s="0" t="inlineStr">
        <is>
          <t>2)</t>
        </is>
      </c>
      <c r="K2209" s="0">
        <f>IF(H2208="1)",1,IF(H2208="2)",2,IF(H2208="3)",3,IF(H2208="4)",4,IF(H2208="5)",5,IF(H2208="6)",6,IF(H2208="7)",7,IF(H2208="8)",8,0))))))))</f>
        <v/>
      </c>
      <c r="L2209" s="0">
        <f>IF(H2208="1)",J2208,IF(H2208="2)",J2208,IF(H2208="3)",J2208,IF(H2208="4)",J2208,IF(H2208="5)",J2208,IF(H2208="6)",J2208,IF(H2208="7)",J2208,IF(H2208="8)",J2208,0))))))))</f>
        <v/>
      </c>
    </row>
    <row r="2210">
      <c r="A2210" s="0" t="inlineStr">
        <is>
          <t>New</t>
        </is>
      </c>
      <c r="B2210" s="0" t="inlineStr">
        <is>
          <t>Item</t>
        </is>
      </c>
      <c r="C2210" s="0" t="inlineStr">
        <is>
          <t>Acquired</t>
        </is>
      </c>
      <c r="D2210" s="0" t="inlineStr">
        <is>
          <t>:</t>
        </is>
      </c>
      <c r="E2210" s="0" t="inlineStr">
        <is>
          <t>Minor</t>
        </is>
      </c>
      <c r="F2210" s="0" t="inlineStr">
        <is>
          <t>(6,</t>
        </is>
      </c>
      <c r="G2210" s="0" t="inlineStr">
        <is>
          <t>15)</t>
        </is>
      </c>
      <c r="K2210" s="0">
        <f>IF(H2209="1)",1,IF(H2209="2)",2,IF(H2209="3)",3,IF(H2209="4)",4,IF(H2209="5)",5,IF(H2209="6)",6,IF(H2209="7)",7,IF(H2209="8)",8,0))))))))</f>
        <v/>
      </c>
      <c r="L2210" s="0">
        <f>IF(H2209="1)",J2209,IF(H2209="2)",J2209,IF(H2209="3)",J2209,IF(H2209="4)",J2209,IF(H2209="5)",J2209,IF(H2209="6)",J2209,IF(H2209="7)",J2209,IF(H2209="8)",J2209,0))))))))</f>
        <v/>
      </c>
    </row>
    <row r="2211">
      <c r="A2211" s="0" t="inlineStr">
        <is>
          <t>New</t>
        </is>
      </c>
      <c r="B2211" s="0" t="inlineStr">
        <is>
          <t>Item</t>
        </is>
      </c>
      <c r="C2211" s="0" t="inlineStr">
        <is>
          <t>Acquired</t>
        </is>
      </c>
      <c r="D2211" s="0" t="inlineStr">
        <is>
          <t>:</t>
        </is>
      </c>
      <c r="E2211" s="0" t="inlineStr">
        <is>
          <t>90.00K</t>
        </is>
      </c>
      <c r="F2211" s="0" t="inlineStr">
        <is>
          <t>(7,</t>
        </is>
      </c>
      <c r="G2211" s="0" t="inlineStr">
        <is>
          <t>14)</t>
        </is>
      </c>
      <c r="K2211" s="0">
        <f>IF(H2210="1)",1,IF(H2210="2)",2,IF(H2210="3)",3,IF(H2210="4)",4,IF(H2210="5)",5,IF(H2210="6)",6,IF(H2210="7)",7,IF(H2210="8)",8,0))))))))</f>
        <v/>
      </c>
      <c r="L2211" s="0">
        <f>IF(H2210="1)",J2210,IF(H2210="2)",J2210,IF(H2210="3)",J2210,IF(H2210="4)",J2210,IF(H2210="5)",J2210,IF(H2210="6)",J2210,IF(H2210="7)",J2210,IF(H2210="8)",J2210,0))))))))</f>
        <v/>
      </c>
    </row>
    <row r="2212">
      <c r="A2212" s="0" t="inlineStr">
        <is>
          <t>New</t>
        </is>
      </c>
      <c r="B2212" s="0" t="inlineStr">
        <is>
          <t>Item</t>
        </is>
      </c>
      <c r="C2212" s="0" t="inlineStr">
        <is>
          <t>Acquired</t>
        </is>
      </c>
      <c r="D2212" s="0" t="inlineStr">
        <is>
          <t>:</t>
        </is>
      </c>
      <c r="E2212" s="0" t="inlineStr">
        <is>
          <t>90.00K</t>
        </is>
      </c>
      <c r="F2212" s="0" t="inlineStr">
        <is>
          <t>(7,</t>
        </is>
      </c>
      <c r="G2212" s="0" t="inlineStr">
        <is>
          <t>1)</t>
        </is>
      </c>
      <c r="K2212" s="0">
        <f>IF(H2211="1)",1,IF(H2211="2)",2,IF(H2211="3)",3,IF(H2211="4)",4,IF(H2211="5)",5,IF(H2211="6)",6,IF(H2211="7)",7,IF(H2211="8)",8,0))))))))</f>
        <v/>
      </c>
      <c r="L2212" s="0">
        <f>IF(H2211="1)",J2211,IF(H2211="2)",J2211,IF(H2211="3)",J2211,IF(H2211="4)",J2211,IF(H2211="5)",J2211,IF(H2211="6)",J2211,IF(H2211="7)",J2211,IF(H2211="8)",J2211,0))))))))</f>
        <v/>
      </c>
    </row>
    <row r="2213">
      <c r="A2213" s="0" t="inlineStr">
        <is>
          <t>New</t>
        </is>
      </c>
      <c r="B2213" s="0" t="inlineStr">
        <is>
          <t>Item</t>
        </is>
      </c>
      <c r="C2213" s="0" t="inlineStr">
        <is>
          <t>Acquired</t>
        </is>
      </c>
      <c r="D2213" s="0" t="inlineStr">
        <is>
          <t>:</t>
        </is>
      </c>
      <c r="E2213" s="0" t="inlineStr">
        <is>
          <t>45.00K</t>
        </is>
      </c>
      <c r="F2213" s="0" t="inlineStr">
        <is>
          <t>(3,</t>
        </is>
      </c>
      <c r="G2213" s="0" t="inlineStr">
        <is>
          <t>6)</t>
        </is>
      </c>
      <c r="K2213" s="0">
        <f>IF(H2212="1)",1,IF(H2212="2)",2,IF(H2212="3)",3,IF(H2212="4)",4,IF(H2212="5)",5,IF(H2212="6)",6,IF(H2212="7)",7,IF(H2212="8)",8,0))))))))</f>
        <v/>
      </c>
      <c r="L2213" s="0">
        <f>IF(H2212="1)",J2212,IF(H2212="2)",J2212,IF(H2212="3)",J2212,IF(H2212="4)",J2212,IF(H2212="5)",J2212,IF(H2212="6)",J2212,IF(H2212="7)",J2212,IF(H2212="8)",J2212,0))))))))</f>
        <v/>
      </c>
    </row>
    <row r="2214">
      <c r="A2214" s="0" t="inlineStr">
        <is>
          <t>New</t>
        </is>
      </c>
      <c r="B2214" s="0" t="inlineStr">
        <is>
          <t>Item</t>
        </is>
      </c>
      <c r="C2214" s="0" t="inlineStr">
        <is>
          <t>Acquired</t>
        </is>
      </c>
      <c r="D2214" s="0" t="inlineStr">
        <is>
          <t>:</t>
        </is>
      </c>
      <c r="E2214" s="0" t="inlineStr">
        <is>
          <t>175.00K</t>
        </is>
      </c>
      <c r="F2214" s="0" t="inlineStr">
        <is>
          <t>(6,</t>
        </is>
      </c>
      <c r="G2214" s="0" t="inlineStr">
        <is>
          <t>18)</t>
        </is>
      </c>
      <c r="K2214" s="0">
        <f>IF(H2213="1)",1,IF(H2213="2)",2,IF(H2213="3)",3,IF(H2213="4)",4,IF(H2213="5)",5,IF(H2213="6)",6,IF(H2213="7)",7,IF(H2213="8)",8,0))))))))</f>
        <v/>
      </c>
      <c r="L2214" s="0">
        <f>IF(H2213="1)",J2213,IF(H2213="2)",J2213,IF(H2213="3)",J2213,IF(H2213="4)",J2213,IF(H2213="5)",J2213,IF(H2213="6)",J2213,IF(H2213="7)",J2213,IF(H2213="8)",J2213,0))))))))</f>
        <v/>
      </c>
    </row>
    <row r="2215">
      <c r="A2215" s="0" t="inlineStr">
        <is>
          <t>New</t>
        </is>
      </c>
      <c r="B2215" s="0" t="inlineStr">
        <is>
          <t>Item</t>
        </is>
      </c>
      <c r="C2215" s="0" t="inlineStr">
        <is>
          <t>Acquired</t>
        </is>
      </c>
      <c r="D2215" s="0" t="inlineStr">
        <is>
          <t>:</t>
        </is>
      </c>
      <c r="E2215" s="0" t="inlineStr">
        <is>
          <t>120.00K</t>
        </is>
      </c>
      <c r="F2215" s="0" t="inlineStr">
        <is>
          <t>(8,</t>
        </is>
      </c>
      <c r="G2215" s="0" t="inlineStr">
        <is>
          <t>5)</t>
        </is>
      </c>
      <c r="K2215" s="0">
        <f>IF(H2214="1)",1,IF(H2214="2)",2,IF(H2214="3)",3,IF(H2214="4)",4,IF(H2214="5)",5,IF(H2214="6)",6,IF(H2214="7)",7,IF(H2214="8)",8,0))))))))</f>
        <v/>
      </c>
      <c r="L2215" s="0">
        <f>IF(H2214="1)",J2214,IF(H2214="2)",J2214,IF(H2214="3)",J2214,IF(H2214="4)",J2214,IF(H2214="5)",J2214,IF(H2214="6)",J2214,IF(H2214="7)",J2214,IF(H2214="8)",J2214,0))))))))</f>
        <v/>
      </c>
    </row>
    <row r="2216">
      <c r="A2216" s="0" t="inlineStr">
        <is>
          <t>Line</t>
        </is>
      </c>
      <c r="B2216" s="0" t="inlineStr">
        <is>
          <t>Prize</t>
        </is>
      </c>
      <c r="C2216" s="0" t="inlineStr">
        <is>
          <t>Acquired</t>
        </is>
      </c>
      <c r="D2216" s="0" t="inlineStr">
        <is>
          <t>:</t>
        </is>
      </c>
      <c r="E2216" s="0" t="inlineStr">
        <is>
          <t>1.44M</t>
        </is>
      </c>
      <c r="F2216" s="0" t="inlineStr">
        <is>
          <t>(Stage</t>
        </is>
      </c>
      <c r="G2216" s="0" t="inlineStr">
        <is>
          <t>:</t>
        </is>
      </c>
      <c r="H2216" s="0" t="inlineStr">
        <is>
          <t>8)</t>
        </is>
      </c>
      <c r="I2216" s="0" t="inlineStr">
        <is>
          <t>-</t>
        </is>
      </c>
      <c r="J2216" s="0" t="n">
        <v>1440000</v>
      </c>
      <c r="K2216" s="0">
        <f>IF(H2215="1)",1,IF(H2215="2)",2,IF(H2215="3)",3,IF(H2215="4)",4,IF(H2215="5)",5,IF(H2215="6)",6,IF(H2215="7)",7,IF(H2215="8)",8,0))))))))</f>
        <v/>
      </c>
      <c r="L2216" s="0">
        <f>IF(H2215="1)",J2215,IF(H2215="2)",J2215,IF(H2215="3)",J2215,IF(H2215="4)",J2215,IF(H2215="5)",J2215,IF(H2215="6)",J2215,IF(H2215="7)",J2215,IF(H2215="8)",J2215,0))))))))</f>
        <v/>
      </c>
    </row>
    <row r="2217">
      <c r="A2217" s="0" t="inlineStr">
        <is>
          <t>Clear</t>
        </is>
      </c>
      <c r="B2217" s="0" t="inlineStr">
        <is>
          <t>Gem</t>
        </is>
      </c>
      <c r="C2217" s="0" t="inlineStr">
        <is>
          <t>Acquired</t>
        </is>
      </c>
      <c r="D2217" s="0" t="inlineStr">
        <is>
          <t>:</t>
        </is>
      </c>
      <c r="E2217" s="0" t="n">
        <v>13400</v>
      </c>
      <c r="F2217" s="0" t="inlineStr">
        <is>
          <t>-&gt;</t>
        </is>
      </c>
      <c r="G2217" s="0" t="n">
        <v>13500</v>
      </c>
      <c r="H2217" s="0" t="inlineStr">
        <is>
          <t>(Stage</t>
        </is>
      </c>
      <c r="I2217" s="0" t="inlineStr">
        <is>
          <t>:</t>
        </is>
      </c>
      <c r="J2217" s="0" t="inlineStr">
        <is>
          <t>8)</t>
        </is>
      </c>
      <c r="K2217" s="0">
        <f>IF(H2216="1)",1,IF(H2216="2)",2,IF(H2216="3)",3,IF(H2216="4)",4,IF(H2216="5)",5,IF(H2216="6)",6,IF(H2216="7)",7,IF(H2216="8)",8,0))))))))</f>
        <v/>
      </c>
      <c r="L2217" s="0">
        <f>IF(H2216="1)",J2216,IF(H2216="2)",J2216,IF(H2216="3)",J2216,IF(H2216="4)",J2216,IF(H2216="5)",J2216,IF(H2216="6)",J2216,IF(H2216="7)",J2216,IF(H2216="8)",J2216,0))))))))</f>
        <v/>
      </c>
    </row>
    <row r="2218">
      <c r="A2218" s="0" t="inlineStr">
        <is>
          <t>New</t>
        </is>
      </c>
      <c r="B2218" s="0" t="inlineStr">
        <is>
          <t>Item</t>
        </is>
      </c>
      <c r="C2218" s="0" t="inlineStr">
        <is>
          <t>Acquired</t>
        </is>
      </c>
      <c r="D2218" s="0" t="inlineStr">
        <is>
          <t>:</t>
        </is>
      </c>
      <c r="E2218" s="0" t="inlineStr">
        <is>
          <t>Minor</t>
        </is>
      </c>
      <c r="F2218" s="0" t="inlineStr">
        <is>
          <t>(6,</t>
        </is>
      </c>
      <c r="G2218" s="0" t="inlineStr">
        <is>
          <t>6)</t>
        </is>
      </c>
      <c r="K2218" s="0">
        <f>IF(H2217="1)",1,IF(H2217="2)",2,IF(H2217="3)",3,IF(H2217="4)",4,IF(H2217="5)",5,IF(H2217="6)",6,IF(H2217="7)",7,IF(H2217="8)",8,0))))))))</f>
        <v/>
      </c>
      <c r="L2218" s="0">
        <f>IF(H2217="1)",J2217,IF(H2217="2)",J2217,IF(H2217="3)",J2217,IF(H2217="4)",J2217,IF(H2217="5)",J2217,IF(H2217="6)",J2217,IF(H2217="7)",J2217,IF(H2217="8)",J2217,0))))))))</f>
        <v/>
      </c>
    </row>
    <row r="2219">
      <c r="A2219" s="0" t="inlineStr">
        <is>
          <t>New</t>
        </is>
      </c>
      <c r="B2219" s="0" t="inlineStr">
        <is>
          <t>Item</t>
        </is>
      </c>
      <c r="C2219" s="0" t="inlineStr">
        <is>
          <t>Acquired</t>
        </is>
      </c>
      <c r="D2219" s="0" t="inlineStr">
        <is>
          <t>:</t>
        </is>
      </c>
      <c r="E2219" s="0" t="inlineStr">
        <is>
          <t>37.50K</t>
        </is>
      </c>
      <c r="F2219" s="0" t="inlineStr">
        <is>
          <t>(2,</t>
        </is>
      </c>
      <c r="G2219" s="0" t="inlineStr">
        <is>
          <t>4)</t>
        </is>
      </c>
      <c r="K2219" s="0">
        <f>IF(H2218="1)",1,IF(H2218="2)",2,IF(H2218="3)",3,IF(H2218="4)",4,IF(H2218="5)",5,IF(H2218="6)",6,IF(H2218="7)",7,IF(H2218="8)",8,0))))))))</f>
        <v/>
      </c>
      <c r="L2219" s="0">
        <f>IF(H2218="1)",J2218,IF(H2218="2)",J2218,IF(H2218="3)",J2218,IF(H2218="4)",J2218,IF(H2218="5)",J2218,IF(H2218="6)",J2218,IF(H2218="7)",J2218,IF(H2218="8)",J2218,0))))))))</f>
        <v/>
      </c>
    </row>
    <row r="2220">
      <c r="A2220" s="0" t="inlineStr">
        <is>
          <t>New</t>
        </is>
      </c>
      <c r="B2220" s="0" t="inlineStr">
        <is>
          <t>Item</t>
        </is>
      </c>
      <c r="C2220" s="0" t="inlineStr">
        <is>
          <t>Acquired</t>
        </is>
      </c>
      <c r="D2220" s="0" t="inlineStr">
        <is>
          <t>:</t>
        </is>
      </c>
      <c r="E2220" s="0" t="inlineStr">
        <is>
          <t>62.50K</t>
        </is>
      </c>
      <c r="F2220" s="0" t="inlineStr">
        <is>
          <t>(2,</t>
        </is>
      </c>
      <c r="G2220" s="0" t="inlineStr">
        <is>
          <t>21)</t>
        </is>
      </c>
      <c r="K2220" s="0">
        <f>IF(H2219="1)",1,IF(H2219="2)",2,IF(H2219="3)",3,IF(H2219="4)",4,IF(H2219="5)",5,IF(H2219="6)",6,IF(H2219="7)",7,IF(H2219="8)",8,0))))))))</f>
        <v/>
      </c>
      <c r="L2220" s="0">
        <f>IF(H2219="1)",J2219,IF(H2219="2)",J2219,IF(H2219="3)",J2219,IF(H2219="4)",J2219,IF(H2219="5)",J2219,IF(H2219="6)",J2219,IF(H2219="7)",J2219,IF(H2219="8)",J2219,0))))))))</f>
        <v/>
      </c>
    </row>
    <row r="2221">
      <c r="A2221" s="0" t="inlineStr">
        <is>
          <t>New</t>
        </is>
      </c>
      <c r="B2221" s="0" t="inlineStr">
        <is>
          <t>Item</t>
        </is>
      </c>
      <c r="C2221" s="0" t="inlineStr">
        <is>
          <t>Acquired</t>
        </is>
      </c>
      <c r="D2221" s="0" t="inlineStr">
        <is>
          <t>:</t>
        </is>
      </c>
      <c r="E2221" s="0" t="inlineStr">
        <is>
          <t>75.00K</t>
        </is>
      </c>
      <c r="F2221" s="0" t="inlineStr">
        <is>
          <t>(3,</t>
        </is>
      </c>
      <c r="G2221" s="0" t="inlineStr">
        <is>
          <t>25)</t>
        </is>
      </c>
      <c r="K2221" s="0">
        <f>IF(H2220="1)",1,IF(H2220="2)",2,IF(H2220="3)",3,IF(H2220="4)",4,IF(H2220="5)",5,IF(H2220="6)",6,IF(H2220="7)",7,IF(H2220="8)",8,0))))))))</f>
        <v/>
      </c>
      <c r="L2221" s="0">
        <f>IF(H2220="1)",J2220,IF(H2220="2)",J2220,IF(H2220="3)",J2220,IF(H2220="4)",J2220,IF(H2220="5)",J2220,IF(H2220="6)",J2220,IF(H2220="7)",J2220,IF(H2220="8)",J2220,0))))))))</f>
        <v/>
      </c>
    </row>
    <row r="2222">
      <c r="A2222" s="0" t="inlineStr">
        <is>
          <t>Line</t>
        </is>
      </c>
      <c r="B2222" s="0" t="inlineStr">
        <is>
          <t>Prize</t>
        </is>
      </c>
      <c r="C2222" s="0" t="inlineStr">
        <is>
          <t>Acquired</t>
        </is>
      </c>
      <c r="D2222" s="0" t="inlineStr">
        <is>
          <t>:</t>
        </is>
      </c>
      <c r="E2222" s="0" t="inlineStr">
        <is>
          <t>345.00K</t>
        </is>
      </c>
      <c r="F2222" s="0" t="inlineStr">
        <is>
          <t>(Stage</t>
        </is>
      </c>
      <c r="G2222" s="0" t="inlineStr">
        <is>
          <t>:</t>
        </is>
      </c>
      <c r="H2222" s="0" t="inlineStr">
        <is>
          <t>3)</t>
        </is>
      </c>
      <c r="I2222" s="0" t="inlineStr">
        <is>
          <t>-</t>
        </is>
      </c>
      <c r="J2222" s="0" t="n">
        <v>345000</v>
      </c>
      <c r="K2222" s="0">
        <f>IF(H2221="1)",1,IF(H2221="2)",2,IF(H2221="3)",3,IF(H2221="4)",4,IF(H2221="5)",5,IF(H2221="6)",6,IF(H2221="7)",7,IF(H2221="8)",8,0))))))))</f>
        <v/>
      </c>
      <c r="L2222" s="0">
        <f>IF(H2221="1)",J2221,IF(H2221="2)",J2221,IF(H2221="3)",J2221,IF(H2221="4)",J2221,IF(H2221="5)",J2221,IF(H2221="6)",J2221,IF(H2221="7)",J2221,IF(H2221="8)",J2221,0))))))))</f>
        <v/>
      </c>
    </row>
    <row r="2223">
      <c r="A2223" s="0" t="inlineStr">
        <is>
          <t>Clear</t>
        </is>
      </c>
      <c r="B2223" s="0" t="inlineStr">
        <is>
          <t>Gem</t>
        </is>
      </c>
      <c r="C2223" s="0" t="inlineStr">
        <is>
          <t>Acquired</t>
        </is>
      </c>
      <c r="D2223" s="0" t="inlineStr">
        <is>
          <t>:</t>
        </is>
      </c>
      <c r="E2223" s="0" t="n">
        <v>13500</v>
      </c>
      <c r="F2223" s="0" t="inlineStr">
        <is>
          <t>-&gt;</t>
        </is>
      </c>
      <c r="G2223" s="0" t="n">
        <v>13600</v>
      </c>
      <c r="H2223" s="0" t="inlineStr">
        <is>
          <t>(Stage</t>
        </is>
      </c>
      <c r="I2223" s="0" t="inlineStr">
        <is>
          <t>:</t>
        </is>
      </c>
      <c r="J2223" s="0" t="inlineStr">
        <is>
          <t>3)</t>
        </is>
      </c>
      <c r="K2223" s="0">
        <f>IF(H2222="1)",1,IF(H2222="2)",2,IF(H2222="3)",3,IF(H2222="4)",4,IF(H2222="5)",5,IF(H2222="6)",6,IF(H2222="7)",7,IF(H2222="8)",8,0))))))))</f>
        <v/>
      </c>
      <c r="L2223" s="0">
        <f>IF(H2222="1)",J2222,IF(H2222="2)",J2222,IF(H2222="3)",J2222,IF(H2222="4)",J2222,IF(H2222="5)",J2222,IF(H2222="6)",J2222,IF(H2222="7)",J2222,IF(H2222="8)",J2222,0))))))))</f>
        <v/>
      </c>
    </row>
    <row r="2224">
      <c r="A2224" s="0" t="inlineStr">
        <is>
          <t>New</t>
        </is>
      </c>
      <c r="B2224" s="0" t="inlineStr">
        <is>
          <t>Item</t>
        </is>
      </c>
      <c r="C2224" s="0" t="inlineStr">
        <is>
          <t>Acquired</t>
        </is>
      </c>
      <c r="D2224" s="0" t="inlineStr">
        <is>
          <t>:</t>
        </is>
      </c>
      <c r="E2224" s="0" t="inlineStr">
        <is>
          <t>90.00K</t>
        </is>
      </c>
      <c r="F2224" s="0" t="inlineStr">
        <is>
          <t>(7,</t>
        </is>
      </c>
      <c r="G2224" s="0" t="inlineStr">
        <is>
          <t>24)</t>
        </is>
      </c>
      <c r="K2224" s="0">
        <f>IF(H2223="1)",1,IF(H2223="2)",2,IF(H2223="3)",3,IF(H2223="4)",4,IF(H2223="5)",5,IF(H2223="6)",6,IF(H2223="7)",7,IF(H2223="8)",8,0))))))))</f>
        <v/>
      </c>
      <c r="L2224" s="0">
        <f>IF(H2223="1)",J2223,IF(H2223="2)",J2223,IF(H2223="3)",J2223,IF(H2223="4)",J2223,IF(H2223="5)",J2223,IF(H2223="6)",J2223,IF(H2223="7)",J2223,IF(H2223="8)",J2223,0))))))))</f>
        <v/>
      </c>
    </row>
    <row r="2225">
      <c r="A2225" s="0" t="inlineStr">
        <is>
          <t>New</t>
        </is>
      </c>
      <c r="B2225" s="0" t="inlineStr">
        <is>
          <t>Item</t>
        </is>
      </c>
      <c r="C2225" s="0" t="inlineStr">
        <is>
          <t>Acquired</t>
        </is>
      </c>
      <c r="D2225" s="0" t="inlineStr">
        <is>
          <t>:</t>
        </is>
      </c>
      <c r="E2225" s="0" t="inlineStr">
        <is>
          <t>75.00K</t>
        </is>
      </c>
      <c r="F2225" s="0" t="inlineStr">
        <is>
          <t>(6,</t>
        </is>
      </c>
      <c r="G2225" s="0" t="inlineStr">
        <is>
          <t>16)</t>
        </is>
      </c>
      <c r="K2225" s="0">
        <f>IF(H2224="1)",1,IF(H2224="2)",2,IF(H2224="3)",3,IF(H2224="4)",4,IF(H2224="5)",5,IF(H2224="6)",6,IF(H2224="7)",7,IF(H2224="8)",8,0))))))))</f>
        <v/>
      </c>
      <c r="L2225" s="0">
        <f>IF(H2224="1)",J2224,IF(H2224="2)",J2224,IF(H2224="3)",J2224,IF(H2224="4)",J2224,IF(H2224="5)",J2224,IF(H2224="6)",J2224,IF(H2224="7)",J2224,IF(H2224="8)",J2224,0))))))))</f>
        <v/>
      </c>
    </row>
    <row r="2226">
      <c r="A2226" s="0" t="inlineStr">
        <is>
          <t>Line</t>
        </is>
      </c>
      <c r="B2226" s="0" t="inlineStr">
        <is>
          <t>Prize</t>
        </is>
      </c>
      <c r="C2226" s="0" t="inlineStr">
        <is>
          <t>Acquired</t>
        </is>
      </c>
      <c r="D2226" s="0" t="inlineStr">
        <is>
          <t>:</t>
        </is>
      </c>
      <c r="E2226" s="0" t="inlineStr">
        <is>
          <t>1.25M</t>
        </is>
      </c>
      <c r="F2226" s="0" t="inlineStr">
        <is>
          <t>(Stage</t>
        </is>
      </c>
      <c r="G2226" s="0" t="inlineStr">
        <is>
          <t>:</t>
        </is>
      </c>
      <c r="H2226" s="0" t="inlineStr">
        <is>
          <t>6)</t>
        </is>
      </c>
      <c r="I2226" s="0" t="inlineStr">
        <is>
          <t>-</t>
        </is>
      </c>
      <c r="J2226" s="0" t="n">
        <v>1250000</v>
      </c>
      <c r="K2226" s="0">
        <f>IF(H2225="1)",1,IF(H2225="2)",2,IF(H2225="3)",3,IF(H2225="4)",4,IF(H2225="5)",5,IF(H2225="6)",6,IF(H2225="7)",7,IF(H2225="8)",8,0))))))))</f>
        <v/>
      </c>
      <c r="L2226" s="0">
        <f>IF(H2225="1)",J2225,IF(H2225="2)",J2225,IF(H2225="3)",J2225,IF(H2225="4)",J2225,IF(H2225="5)",J2225,IF(H2225="6)",J2225,IF(H2225="7)",J2225,IF(H2225="8)",J2225,0))))))))</f>
        <v/>
      </c>
    </row>
    <row r="2227">
      <c r="A2227" s="0" t="inlineStr">
        <is>
          <t>Clear</t>
        </is>
      </c>
      <c r="B2227" s="0" t="inlineStr">
        <is>
          <t>Gem</t>
        </is>
      </c>
      <c r="C2227" s="0" t="inlineStr">
        <is>
          <t>Acquired</t>
        </is>
      </c>
      <c r="D2227" s="0" t="inlineStr">
        <is>
          <t>:</t>
        </is>
      </c>
      <c r="E2227" s="0" t="n">
        <v>13600</v>
      </c>
      <c r="F2227" s="0" t="inlineStr">
        <is>
          <t>-&gt;</t>
        </is>
      </c>
      <c r="G2227" s="0" t="n">
        <v>13700</v>
      </c>
      <c r="H2227" s="0" t="inlineStr">
        <is>
          <t>(Stage</t>
        </is>
      </c>
      <c r="I2227" s="0" t="inlineStr">
        <is>
          <t>:</t>
        </is>
      </c>
      <c r="J2227" s="0" t="inlineStr">
        <is>
          <t>6)</t>
        </is>
      </c>
      <c r="K2227" s="0">
        <f>IF(H2226="1)",1,IF(H2226="2)",2,IF(H2226="3)",3,IF(H2226="4)",4,IF(H2226="5)",5,IF(H2226="6)",6,IF(H2226="7)",7,IF(H2226="8)",8,0))))))))</f>
        <v/>
      </c>
      <c r="L2227" s="0">
        <f>IF(H2226="1)",J2226,IF(H2226="2)",J2226,IF(H2226="3)",J2226,IF(H2226="4)",J2226,IF(H2226="5)",J2226,IF(H2226="6)",J2226,IF(H2226="7)",J2226,IF(H2226="8)",J2226,0))))))))</f>
        <v/>
      </c>
    </row>
    <row r="2228">
      <c r="A2228" s="0" t="inlineStr">
        <is>
          <t>New</t>
        </is>
      </c>
      <c r="B2228" s="0" t="inlineStr">
        <is>
          <t>Item</t>
        </is>
      </c>
      <c r="C2228" s="0" t="inlineStr">
        <is>
          <t>Acquired</t>
        </is>
      </c>
      <c r="D2228" s="0" t="inlineStr">
        <is>
          <t>:</t>
        </is>
      </c>
      <c r="E2228" s="0" t="inlineStr">
        <is>
          <t>157.50K</t>
        </is>
      </c>
      <c r="F2228" s="0" t="inlineStr">
        <is>
          <t>(5,</t>
        </is>
      </c>
      <c r="G2228" s="0" t="inlineStr">
        <is>
          <t>1)</t>
        </is>
      </c>
      <c r="K2228" s="0">
        <f>IF(H2227="1)",1,IF(H2227="2)",2,IF(H2227="3)",3,IF(H2227="4)",4,IF(H2227="5)",5,IF(H2227="6)",6,IF(H2227="7)",7,IF(H2227="8)",8,0))))))))</f>
        <v/>
      </c>
      <c r="L2228" s="0">
        <f>IF(H2227="1)",J2227,IF(H2227="2)",J2227,IF(H2227="3)",J2227,IF(H2227="4)",J2227,IF(H2227="5)",J2227,IF(H2227="6)",J2227,IF(H2227="7)",J2227,IF(H2227="8)",J2227,0))))))))</f>
        <v/>
      </c>
    </row>
    <row r="2229">
      <c r="A2229" s="0" t="inlineStr">
        <is>
          <t>New</t>
        </is>
      </c>
      <c r="B2229" s="0" t="inlineStr">
        <is>
          <t>Item</t>
        </is>
      </c>
      <c r="C2229" s="0" t="inlineStr">
        <is>
          <t>Acquired</t>
        </is>
      </c>
      <c r="D2229" s="0" t="inlineStr">
        <is>
          <t>:</t>
        </is>
      </c>
      <c r="E2229" s="0" t="inlineStr">
        <is>
          <t>87.50K</t>
        </is>
      </c>
      <c r="F2229" s="0" t="inlineStr">
        <is>
          <t>(2,</t>
        </is>
      </c>
      <c r="G2229" s="0" t="inlineStr">
        <is>
          <t>23)</t>
        </is>
      </c>
      <c r="K2229" s="0">
        <f>IF(H2228="1)",1,IF(H2228="2)",2,IF(H2228="3)",3,IF(H2228="4)",4,IF(H2228="5)",5,IF(H2228="6)",6,IF(H2228="7)",7,IF(H2228="8)",8,0))))))))</f>
        <v/>
      </c>
      <c r="L2229" s="0">
        <f>IF(H2228="1)",J2228,IF(H2228="2)",J2228,IF(H2228="3)",J2228,IF(H2228="4)",J2228,IF(H2228="5)",J2228,IF(H2228="6)",J2228,IF(H2228="7)",J2228,IF(H2228="8)",J2228,0))))))))</f>
        <v/>
      </c>
    </row>
    <row r="2230">
      <c r="A2230" s="0" t="inlineStr">
        <is>
          <t>Item</t>
        </is>
      </c>
      <c r="B2230" s="0" t="inlineStr">
        <is>
          <t>ReSelect</t>
        </is>
      </c>
      <c r="C2230" s="0" t="inlineStr">
        <is>
          <t>Failed</t>
        </is>
      </c>
      <c r="D2230" s="0" t="inlineStr">
        <is>
          <t>:</t>
        </is>
      </c>
      <c r="E2230" s="0" t="inlineStr">
        <is>
          <t>Attempt</t>
        </is>
      </c>
      <c r="F2230" s="0" t="inlineStr">
        <is>
          <t>Count</t>
        </is>
      </c>
      <c r="G2230" s="0" t="inlineStr">
        <is>
          <t>-</t>
        </is>
      </c>
      <c r="H2230" s="0" t="n">
        <v>3</v>
      </c>
      <c r="K2230" s="0">
        <f>IF(H2229="1)",1,IF(H2229="2)",2,IF(H2229="3)",3,IF(H2229="4)",4,IF(H2229="5)",5,IF(H2229="6)",6,IF(H2229="7)",7,IF(H2229="8)",8,0))))))))</f>
        <v/>
      </c>
      <c r="L2230" s="0">
        <f>IF(H2229="1)",J2229,IF(H2229="2)",J2229,IF(H2229="3)",J2229,IF(H2229="4)",J2229,IF(H2229="5)",J2229,IF(H2229="6)",J2229,IF(H2229="7)",J2229,IF(H2229="8)",J2229,0))))))))</f>
        <v/>
      </c>
    </row>
    <row r="2231">
      <c r="A2231" s="0" t="inlineStr">
        <is>
          <t>New</t>
        </is>
      </c>
      <c r="B2231" s="0" t="inlineStr">
        <is>
          <t>Item</t>
        </is>
      </c>
      <c r="C2231" s="0" t="inlineStr">
        <is>
          <t>Acquired</t>
        </is>
      </c>
      <c r="D2231" s="0" t="inlineStr">
        <is>
          <t>:</t>
        </is>
      </c>
      <c r="E2231" s="0" t="inlineStr">
        <is>
          <t>125.00K</t>
        </is>
      </c>
      <c r="F2231" s="0" t="inlineStr">
        <is>
          <t>(6,</t>
        </is>
      </c>
      <c r="G2231" s="0" t="inlineStr">
        <is>
          <t>9)</t>
        </is>
      </c>
      <c r="K2231" s="0">
        <f>IF(H2230="1)",1,IF(H2230="2)",2,IF(H2230="3)",3,IF(H2230="4)",4,IF(H2230="5)",5,IF(H2230="6)",6,IF(H2230="7)",7,IF(H2230="8)",8,0))))))))</f>
        <v/>
      </c>
      <c r="L2231" s="0">
        <f>IF(H2230="1)",J2230,IF(H2230="2)",J2230,IF(H2230="3)",J2230,IF(H2230="4)",J2230,IF(H2230="5)",J2230,IF(H2230="6)",J2230,IF(H2230="7)",J2230,IF(H2230="8)",J2230,0))))))))</f>
        <v/>
      </c>
    </row>
    <row r="2232">
      <c r="A2232" s="0" t="inlineStr">
        <is>
          <t>New</t>
        </is>
      </c>
      <c r="B2232" s="0" t="inlineStr">
        <is>
          <t>Item</t>
        </is>
      </c>
      <c r="C2232" s="0" t="inlineStr">
        <is>
          <t>Acquired</t>
        </is>
      </c>
      <c r="D2232" s="0" t="inlineStr">
        <is>
          <t>:</t>
        </is>
      </c>
      <c r="E2232" s="0" t="inlineStr">
        <is>
          <t>120.00K</t>
        </is>
      </c>
      <c r="F2232" s="0" t="inlineStr">
        <is>
          <t>(8,</t>
        </is>
      </c>
      <c r="G2232" s="0" t="inlineStr">
        <is>
          <t>20)</t>
        </is>
      </c>
      <c r="K2232" s="0">
        <f>IF(H2231="1)",1,IF(H2231="2)",2,IF(H2231="3)",3,IF(H2231="4)",4,IF(H2231="5)",5,IF(H2231="6)",6,IF(H2231="7)",7,IF(H2231="8)",8,0))))))))</f>
        <v/>
      </c>
      <c r="L2232" s="0">
        <f>IF(H2231="1)",J2231,IF(H2231="2)",J2231,IF(H2231="3)",J2231,IF(H2231="4)",J2231,IF(H2231="5)",J2231,IF(H2231="6)",J2231,IF(H2231="7)",J2231,IF(H2231="8)",J2231,0))))))))</f>
        <v/>
      </c>
    </row>
    <row r="2233">
      <c r="A2233" s="0" t="inlineStr">
        <is>
          <t>New</t>
        </is>
      </c>
      <c r="B2233" s="0" t="inlineStr">
        <is>
          <t>Item</t>
        </is>
      </c>
      <c r="C2233" s="0" t="inlineStr">
        <is>
          <t>Acquired</t>
        </is>
      </c>
      <c r="D2233" s="0" t="inlineStr">
        <is>
          <t>:</t>
        </is>
      </c>
      <c r="E2233" s="0" t="inlineStr">
        <is>
          <t>75.00K</t>
        </is>
      </c>
      <c r="F2233" s="0" t="inlineStr">
        <is>
          <t>(4,</t>
        </is>
      </c>
      <c r="G2233" s="0" t="inlineStr">
        <is>
          <t>19)</t>
        </is>
      </c>
      <c r="K2233" s="0">
        <f>IF(H2232="1)",1,IF(H2232="2)",2,IF(H2232="3)",3,IF(H2232="4)",4,IF(H2232="5)",5,IF(H2232="6)",6,IF(H2232="7)",7,IF(H2232="8)",8,0))))))))</f>
        <v/>
      </c>
      <c r="L2233" s="0">
        <f>IF(H2232="1)",J2232,IF(H2232="2)",J2232,IF(H2232="3)",J2232,IF(H2232="4)",J2232,IF(H2232="5)",J2232,IF(H2232="6)",J2232,IF(H2232="7)",J2232,IF(H2232="8)",J2232,0))))))))</f>
        <v/>
      </c>
    </row>
    <row r="2234">
      <c r="A2234" s="0" t="inlineStr">
        <is>
          <t>Line</t>
        </is>
      </c>
      <c r="B2234" s="0" t="inlineStr">
        <is>
          <t>Prize</t>
        </is>
      </c>
      <c r="C2234" s="0" t="inlineStr">
        <is>
          <t>Acquired</t>
        </is>
      </c>
      <c r="D2234" s="0" t="inlineStr">
        <is>
          <t>:</t>
        </is>
      </c>
      <c r="E2234" s="0" t="inlineStr">
        <is>
          <t>1.15M</t>
        </is>
      </c>
      <c r="F2234" s="0" t="inlineStr">
        <is>
          <t>(Stage</t>
        </is>
      </c>
      <c r="G2234" s="0" t="inlineStr">
        <is>
          <t>:</t>
        </is>
      </c>
      <c r="H2234" s="0" t="inlineStr">
        <is>
          <t>4)</t>
        </is>
      </c>
      <c r="I2234" s="0" t="inlineStr">
        <is>
          <t>-</t>
        </is>
      </c>
      <c r="J2234" s="0" t="n">
        <v>1145000</v>
      </c>
      <c r="K2234" s="0">
        <f>IF(H2233="1)",1,IF(H2233="2)",2,IF(H2233="3)",3,IF(H2233="4)",4,IF(H2233="5)",5,IF(H2233="6)",6,IF(H2233="7)",7,IF(H2233="8)",8,0))))))))</f>
        <v/>
      </c>
      <c r="L2234" s="0">
        <f>IF(H2233="1)",J2233,IF(H2233="2)",J2233,IF(H2233="3)",J2233,IF(H2233="4)",J2233,IF(H2233="5)",J2233,IF(H2233="6)",J2233,IF(H2233="7)",J2233,IF(H2233="8)",J2233,0))))))))</f>
        <v/>
      </c>
    </row>
    <row r="2235">
      <c r="A2235" s="0" t="inlineStr">
        <is>
          <t>Clear</t>
        </is>
      </c>
      <c r="B2235" s="0" t="inlineStr">
        <is>
          <t>Gem</t>
        </is>
      </c>
      <c r="C2235" s="0" t="inlineStr">
        <is>
          <t>Acquired</t>
        </is>
      </c>
      <c r="D2235" s="0" t="inlineStr">
        <is>
          <t>:</t>
        </is>
      </c>
      <c r="E2235" s="0" t="n">
        <v>13700</v>
      </c>
      <c r="F2235" s="0" t="inlineStr">
        <is>
          <t>-&gt;</t>
        </is>
      </c>
      <c r="G2235" s="0" t="n">
        <v>13800</v>
      </c>
      <c r="H2235" s="0" t="inlineStr">
        <is>
          <t>(Stage</t>
        </is>
      </c>
      <c r="I2235" s="0" t="inlineStr">
        <is>
          <t>:</t>
        </is>
      </c>
      <c r="J2235" s="0" t="inlineStr">
        <is>
          <t>4)</t>
        </is>
      </c>
      <c r="K2235" s="0">
        <f>IF(H2234="1)",1,IF(H2234="2)",2,IF(H2234="3)",3,IF(H2234="4)",4,IF(H2234="5)",5,IF(H2234="6)",6,IF(H2234="7)",7,IF(H2234="8)",8,0))))))))</f>
        <v/>
      </c>
      <c r="L2235" s="0">
        <f>IF(H2234="1)",J2234,IF(H2234="2)",J2234,IF(H2234="3)",J2234,IF(H2234="4)",J2234,IF(H2234="5)",J2234,IF(H2234="6)",J2234,IF(H2234="7)",J2234,IF(H2234="8)",J2234,0))))))))</f>
        <v/>
      </c>
    </row>
    <row r="2236">
      <c r="A2236" s="0" t="inlineStr">
        <is>
          <t>New</t>
        </is>
      </c>
      <c r="B2236" s="0" t="inlineStr">
        <is>
          <t>Item</t>
        </is>
      </c>
      <c r="C2236" s="0" t="inlineStr">
        <is>
          <t>Acquired</t>
        </is>
      </c>
      <c r="D2236" s="0" t="inlineStr">
        <is>
          <t>:</t>
        </is>
      </c>
      <c r="E2236" s="0" t="inlineStr">
        <is>
          <t>62.50K</t>
        </is>
      </c>
      <c r="F2236" s="0" t="inlineStr">
        <is>
          <t>(2,</t>
        </is>
      </c>
      <c r="G2236" s="0" t="inlineStr">
        <is>
          <t>14)</t>
        </is>
      </c>
      <c r="K2236" s="0">
        <f>IF(H2235="1)",1,IF(H2235="2)",2,IF(H2235="3)",3,IF(H2235="4)",4,IF(H2235="5)",5,IF(H2235="6)",6,IF(H2235="7)",7,IF(H2235="8)",8,0))))))))</f>
        <v/>
      </c>
      <c r="L2236" s="0">
        <f>IF(H2235="1)",J2235,IF(H2235="2)",J2235,IF(H2235="3)",J2235,IF(H2235="4)",J2235,IF(H2235="5)",J2235,IF(H2235="6)",J2235,IF(H2235="7)",J2235,IF(H2235="8)",J2235,0))))))))</f>
        <v/>
      </c>
    </row>
    <row r="2237">
      <c r="A2237" s="0" t="inlineStr">
        <is>
          <t>New</t>
        </is>
      </c>
      <c r="B2237" s="0" t="inlineStr">
        <is>
          <t>Item</t>
        </is>
      </c>
      <c r="C2237" s="0" t="inlineStr">
        <is>
          <t>Acquired</t>
        </is>
      </c>
      <c r="D2237" s="0" t="inlineStr">
        <is>
          <t>:</t>
        </is>
      </c>
      <c r="E2237" s="0" t="inlineStr">
        <is>
          <t>75.00K</t>
        </is>
      </c>
      <c r="F2237" s="0" t="inlineStr">
        <is>
          <t>(6,</t>
        </is>
      </c>
      <c r="G2237" s="0" t="inlineStr">
        <is>
          <t>16)</t>
        </is>
      </c>
      <c r="K2237" s="0">
        <f>IF(H2236="1)",1,IF(H2236="2)",2,IF(H2236="3)",3,IF(H2236="4)",4,IF(H2236="5)",5,IF(H2236="6)",6,IF(H2236="7)",7,IF(H2236="8)",8,0))))))))</f>
        <v/>
      </c>
      <c r="L2237" s="0">
        <f>IF(H2236="1)",J2236,IF(H2236="2)",J2236,IF(H2236="3)",J2236,IF(H2236="4)",J2236,IF(H2236="5)",J2236,IF(H2236="6)",J2236,IF(H2236="7)",J2236,IF(H2236="8)",J2236,0))))))))</f>
        <v/>
      </c>
    </row>
    <row r="2238">
      <c r="A2238" s="0" t="inlineStr">
        <is>
          <t>New</t>
        </is>
      </c>
      <c r="B2238" s="0" t="inlineStr">
        <is>
          <t>Item</t>
        </is>
      </c>
      <c r="C2238" s="0" t="inlineStr">
        <is>
          <t>Acquired</t>
        </is>
      </c>
      <c r="D2238" s="0" t="inlineStr">
        <is>
          <t>:</t>
        </is>
      </c>
      <c r="E2238" s="0" t="inlineStr">
        <is>
          <t>112.50K</t>
        </is>
      </c>
      <c r="F2238" s="0" t="inlineStr">
        <is>
          <t>(5,</t>
        </is>
      </c>
      <c r="G2238" s="0" t="inlineStr">
        <is>
          <t>6)</t>
        </is>
      </c>
      <c r="K2238" s="0">
        <f>IF(H2237="1)",1,IF(H2237="2)",2,IF(H2237="3)",3,IF(H2237="4)",4,IF(H2237="5)",5,IF(H2237="6)",6,IF(H2237="7)",7,IF(H2237="8)",8,0))))))))</f>
        <v/>
      </c>
      <c r="L2238" s="0">
        <f>IF(H2237="1)",J2237,IF(H2237="2)",J2237,IF(H2237="3)",J2237,IF(H2237="4)",J2237,IF(H2237="5)",J2237,IF(H2237="6)",J2237,IF(H2237="7)",J2237,IF(H2237="8)",J2237,0))))))))</f>
        <v/>
      </c>
    </row>
    <row r="2239">
      <c r="A2239" s="0" t="inlineStr">
        <is>
          <t>New</t>
        </is>
      </c>
      <c r="B2239" s="0" t="inlineStr">
        <is>
          <t>Item</t>
        </is>
      </c>
      <c r="C2239" s="0" t="inlineStr">
        <is>
          <t>Acquired</t>
        </is>
      </c>
      <c r="D2239" s="0" t="inlineStr">
        <is>
          <t>:</t>
        </is>
      </c>
      <c r="E2239" s="0" t="inlineStr">
        <is>
          <t>45.00K</t>
        </is>
      </c>
      <c r="F2239" s="0" t="inlineStr">
        <is>
          <t>(3,</t>
        </is>
      </c>
      <c r="G2239" s="0" t="inlineStr">
        <is>
          <t>15)</t>
        </is>
      </c>
      <c r="K2239" s="0">
        <f>IF(H2238="1)",1,IF(H2238="2)",2,IF(H2238="3)",3,IF(H2238="4)",4,IF(H2238="5)",5,IF(H2238="6)",6,IF(H2238="7)",7,IF(H2238="8)",8,0))))))))</f>
        <v/>
      </c>
      <c r="L2239" s="0">
        <f>IF(H2238="1)",J2238,IF(H2238="2)",J2238,IF(H2238="3)",J2238,IF(H2238="4)",J2238,IF(H2238="5)",J2238,IF(H2238="6)",J2238,IF(H2238="7)",J2238,IF(H2238="8)",J2238,0))))))))</f>
        <v/>
      </c>
    </row>
    <row r="2240">
      <c r="A2240" s="0" t="inlineStr">
        <is>
          <t>New</t>
        </is>
      </c>
      <c r="B2240" s="0" t="inlineStr">
        <is>
          <t>Item</t>
        </is>
      </c>
      <c r="C2240" s="0" t="inlineStr">
        <is>
          <t>Acquired</t>
        </is>
      </c>
      <c r="D2240" s="0" t="inlineStr">
        <is>
          <t>:</t>
        </is>
      </c>
      <c r="E2240" s="0" t="inlineStr">
        <is>
          <t>112.50K</t>
        </is>
      </c>
      <c r="F2240" s="0" t="inlineStr">
        <is>
          <t>(5,</t>
        </is>
      </c>
      <c r="G2240" s="0" t="inlineStr">
        <is>
          <t>9)</t>
        </is>
      </c>
      <c r="K2240" s="0">
        <f>IF(H2239="1)",1,IF(H2239="2)",2,IF(H2239="3)",3,IF(H2239="4)",4,IF(H2239="5)",5,IF(H2239="6)",6,IF(H2239="7)",7,IF(H2239="8)",8,0))))))))</f>
        <v/>
      </c>
      <c r="L2240" s="0">
        <f>IF(H2239="1)",J2239,IF(H2239="2)",J2239,IF(H2239="3)",J2239,IF(H2239="4)",J2239,IF(H2239="5)",J2239,IF(H2239="6)",J2239,IF(H2239="7)",J2239,IF(H2239="8)",J2239,0))))))))</f>
        <v/>
      </c>
    </row>
    <row r="2241">
      <c r="A2241" s="0" t="inlineStr">
        <is>
          <t>New</t>
        </is>
      </c>
      <c r="B2241" s="0" t="inlineStr">
        <is>
          <t>Item</t>
        </is>
      </c>
      <c r="C2241" s="0" t="inlineStr">
        <is>
          <t>Acquired</t>
        </is>
      </c>
      <c r="D2241" s="0" t="inlineStr">
        <is>
          <t>:</t>
        </is>
      </c>
      <c r="E2241" s="0" t="inlineStr">
        <is>
          <t>45.00K</t>
        </is>
      </c>
      <c r="F2241" s="0" t="inlineStr">
        <is>
          <t>(3,</t>
        </is>
      </c>
      <c r="G2241" s="0" t="inlineStr">
        <is>
          <t>25)</t>
        </is>
      </c>
      <c r="K2241" s="0">
        <f>IF(H2240="1)",1,IF(H2240="2)",2,IF(H2240="3)",3,IF(H2240="4)",4,IF(H2240="5)",5,IF(H2240="6)",6,IF(H2240="7)",7,IF(H2240="8)",8,0))))))))</f>
        <v/>
      </c>
      <c r="L2241" s="0">
        <f>IF(H2240="1)",J2240,IF(H2240="2)",J2240,IF(H2240="3)",J2240,IF(H2240="4)",J2240,IF(H2240="5)",J2240,IF(H2240="6)",J2240,IF(H2240="7)",J2240,IF(H2240="8)",J2240,0))))))))</f>
        <v/>
      </c>
    </row>
    <row r="2242">
      <c r="A2242" s="0" t="inlineStr">
        <is>
          <t>New</t>
        </is>
      </c>
      <c r="B2242" s="0" t="inlineStr">
        <is>
          <t>Item</t>
        </is>
      </c>
      <c r="C2242" s="0" t="inlineStr">
        <is>
          <t>Acquired</t>
        </is>
      </c>
      <c r="D2242" s="0" t="inlineStr">
        <is>
          <t>:</t>
        </is>
      </c>
      <c r="E2242" s="0" t="inlineStr">
        <is>
          <t>45.00K</t>
        </is>
      </c>
      <c r="F2242" s="0" t="inlineStr">
        <is>
          <t>(3,</t>
        </is>
      </c>
      <c r="G2242" s="0" t="inlineStr">
        <is>
          <t>6)</t>
        </is>
      </c>
      <c r="K2242" s="0">
        <f>IF(H2241="1)",1,IF(H2241="2)",2,IF(H2241="3)",3,IF(H2241="4)",4,IF(H2241="5)",5,IF(H2241="6)",6,IF(H2241="7)",7,IF(H2241="8)",8,0))))))))</f>
        <v/>
      </c>
      <c r="L2242" s="0">
        <f>IF(H2241="1)",J2241,IF(H2241="2)",J2241,IF(H2241="3)",J2241,IF(H2241="4)",J2241,IF(H2241="5)",J2241,IF(H2241="6)",J2241,IF(H2241="7)",J2241,IF(H2241="8)",J2241,0))))))))</f>
        <v/>
      </c>
    </row>
    <row r="2243">
      <c r="A2243" s="0" t="inlineStr">
        <is>
          <t>New</t>
        </is>
      </c>
      <c r="B2243" s="0" t="inlineStr">
        <is>
          <t>Item</t>
        </is>
      </c>
      <c r="C2243" s="0" t="inlineStr">
        <is>
          <t>Acquired</t>
        </is>
      </c>
      <c r="D2243" s="0" t="inlineStr">
        <is>
          <t>:</t>
        </is>
      </c>
      <c r="E2243" s="0" t="inlineStr">
        <is>
          <t>37.50K</t>
        </is>
      </c>
      <c r="F2243" s="0" t="inlineStr">
        <is>
          <t>(2,</t>
        </is>
      </c>
      <c r="G2243" s="0" t="inlineStr">
        <is>
          <t>24)</t>
        </is>
      </c>
      <c r="K2243" s="0">
        <f>IF(H2242="1)",1,IF(H2242="2)",2,IF(H2242="3)",3,IF(H2242="4)",4,IF(H2242="5)",5,IF(H2242="6)",6,IF(H2242="7)",7,IF(H2242="8)",8,0))))))))</f>
        <v/>
      </c>
      <c r="L2243" s="0">
        <f>IF(H2242="1)",J2242,IF(H2242="2)",J2242,IF(H2242="3)",J2242,IF(H2242="4)",J2242,IF(H2242="5)",J2242,IF(H2242="6)",J2242,IF(H2242="7)",J2242,IF(H2242="8)",J2242,0))))))))</f>
        <v/>
      </c>
    </row>
    <row r="2244">
      <c r="A2244" s="0" t="inlineStr">
        <is>
          <t>Line</t>
        </is>
      </c>
      <c r="B2244" s="0" t="inlineStr">
        <is>
          <t>Prize</t>
        </is>
      </c>
      <c r="C2244" s="0" t="inlineStr">
        <is>
          <t>Acquired</t>
        </is>
      </c>
      <c r="D2244" s="0" t="inlineStr">
        <is>
          <t>:</t>
        </is>
      </c>
      <c r="E2244" s="0" t="inlineStr">
        <is>
          <t>312.50K</t>
        </is>
      </c>
      <c r="F2244" s="0" t="inlineStr">
        <is>
          <t>(Stage</t>
        </is>
      </c>
      <c r="G2244" s="0" t="inlineStr">
        <is>
          <t>:</t>
        </is>
      </c>
      <c r="H2244" s="0" t="inlineStr">
        <is>
          <t>2)</t>
        </is>
      </c>
      <c r="I2244" s="0" t="inlineStr">
        <is>
          <t>-</t>
        </is>
      </c>
      <c r="J2244" s="0" t="n">
        <v>312500</v>
      </c>
      <c r="K2244" s="0">
        <f>IF(H2243="1)",1,IF(H2243="2)",2,IF(H2243="3)",3,IF(H2243="4)",4,IF(H2243="5)",5,IF(H2243="6)",6,IF(H2243="7)",7,IF(H2243="8)",8,0))))))))</f>
        <v/>
      </c>
      <c r="L2244" s="0">
        <f>IF(H2243="1)",J2243,IF(H2243="2)",J2243,IF(H2243="3)",J2243,IF(H2243="4)",J2243,IF(H2243="5)",J2243,IF(H2243="6)",J2243,IF(H2243="7)",J2243,IF(H2243="8)",J2243,0))))))))</f>
        <v/>
      </c>
    </row>
    <row r="2245">
      <c r="A2245" s="0" t="inlineStr">
        <is>
          <t>Clear</t>
        </is>
      </c>
      <c r="B2245" s="0" t="inlineStr">
        <is>
          <t>Gem</t>
        </is>
      </c>
      <c r="C2245" s="0" t="inlineStr">
        <is>
          <t>Acquired</t>
        </is>
      </c>
      <c r="D2245" s="0" t="inlineStr">
        <is>
          <t>:</t>
        </is>
      </c>
      <c r="E2245" s="0" t="n">
        <v>13800</v>
      </c>
      <c r="F2245" s="0" t="inlineStr">
        <is>
          <t>-&gt;</t>
        </is>
      </c>
      <c r="G2245" s="0" t="n">
        <v>13900</v>
      </c>
      <c r="H2245" s="0" t="inlineStr">
        <is>
          <t>(Stage</t>
        </is>
      </c>
      <c r="I2245" s="0" t="inlineStr">
        <is>
          <t>:</t>
        </is>
      </c>
      <c r="J2245" s="0" t="inlineStr">
        <is>
          <t>2)</t>
        </is>
      </c>
      <c r="K2245" s="0">
        <f>IF(H2244="1)",1,IF(H2244="2)",2,IF(H2244="3)",3,IF(H2244="4)",4,IF(H2244="5)",5,IF(H2244="6)",6,IF(H2244="7)",7,IF(H2244="8)",8,0))))))))</f>
        <v/>
      </c>
      <c r="L2245" s="0">
        <f>IF(H2244="1)",J2244,IF(H2244="2)",J2244,IF(H2244="3)",J2244,IF(H2244="4)",J2244,IF(H2244="5)",J2244,IF(H2244="6)",J2244,IF(H2244="7)",J2244,IF(H2244="8)",J2244,0))))))))</f>
        <v/>
      </c>
    </row>
    <row r="2246">
      <c r="A2246" s="0" t="inlineStr">
        <is>
          <t>New</t>
        </is>
      </c>
      <c r="B2246" s="0" t="inlineStr">
        <is>
          <t>Item</t>
        </is>
      </c>
      <c r="C2246" s="0" t="inlineStr">
        <is>
          <t>Acquired</t>
        </is>
      </c>
      <c r="D2246" s="0" t="inlineStr">
        <is>
          <t>:</t>
        </is>
      </c>
      <c r="E2246" s="0" t="inlineStr">
        <is>
          <t>87.50K</t>
        </is>
      </c>
      <c r="F2246" s="0" t="inlineStr">
        <is>
          <t>(2,</t>
        </is>
      </c>
      <c r="G2246" s="0" t="inlineStr">
        <is>
          <t>17)</t>
        </is>
      </c>
      <c r="K2246" s="0">
        <f>IF(H2245="1)",1,IF(H2245="2)",2,IF(H2245="3)",3,IF(H2245="4)",4,IF(H2245="5)",5,IF(H2245="6)",6,IF(H2245="7)",7,IF(H2245="8)",8,0))))))))</f>
        <v/>
      </c>
      <c r="L2246" s="0">
        <f>IF(H2245="1)",J2245,IF(H2245="2)",J2245,IF(H2245="3)",J2245,IF(H2245="4)",J2245,IF(H2245="5)",J2245,IF(H2245="6)",J2245,IF(H2245="7)",J2245,IF(H2245="8)",J2245,0))))))))</f>
        <v/>
      </c>
    </row>
    <row r="2247">
      <c r="A2247" s="0" t="inlineStr">
        <is>
          <t>New</t>
        </is>
      </c>
      <c r="B2247" s="0" t="inlineStr">
        <is>
          <t>Item</t>
        </is>
      </c>
      <c r="C2247" s="0" t="inlineStr">
        <is>
          <t>Acquired</t>
        </is>
      </c>
      <c r="D2247" s="0" t="inlineStr">
        <is>
          <t>:</t>
        </is>
      </c>
      <c r="E2247" s="0" t="inlineStr">
        <is>
          <t>90.00K</t>
        </is>
      </c>
      <c r="F2247" s="0" t="inlineStr">
        <is>
          <t>(7,</t>
        </is>
      </c>
      <c r="G2247" s="0" t="inlineStr">
        <is>
          <t>21)</t>
        </is>
      </c>
      <c r="K2247" s="0">
        <f>IF(H2246="1)",1,IF(H2246="2)",2,IF(H2246="3)",3,IF(H2246="4)",4,IF(H2246="5)",5,IF(H2246="6)",6,IF(H2246="7)",7,IF(H2246="8)",8,0))))))))</f>
        <v/>
      </c>
      <c r="L2247" s="0">
        <f>IF(H2246="1)",J2246,IF(H2246="2)",J2246,IF(H2246="3)",J2246,IF(H2246="4)",J2246,IF(H2246="5)",J2246,IF(H2246="6)",J2246,IF(H2246="7)",J2246,IF(H2246="8)",J2246,0))))))))</f>
        <v/>
      </c>
    </row>
    <row r="2248">
      <c r="A2248" s="0" t="inlineStr">
        <is>
          <t>New</t>
        </is>
      </c>
      <c r="B2248" s="0" t="inlineStr">
        <is>
          <t>Item</t>
        </is>
      </c>
      <c r="C2248" s="0" t="inlineStr">
        <is>
          <t>Acquired</t>
        </is>
      </c>
      <c r="D2248" s="0" t="inlineStr">
        <is>
          <t>:</t>
        </is>
      </c>
      <c r="E2248" s="0" t="inlineStr">
        <is>
          <t>75.00K</t>
        </is>
      </c>
      <c r="F2248" s="0" t="inlineStr">
        <is>
          <t>(4,</t>
        </is>
      </c>
      <c r="G2248" s="0" t="inlineStr">
        <is>
          <t>11)</t>
        </is>
      </c>
      <c r="K2248" s="0">
        <f>IF(H2247="1)",1,IF(H2247="2)",2,IF(H2247="3)",3,IF(H2247="4)",4,IF(H2247="5)",5,IF(H2247="6)",6,IF(H2247="7)",7,IF(H2247="8)",8,0))))))))</f>
        <v/>
      </c>
      <c r="L2248" s="0">
        <f>IF(H2247="1)",J2247,IF(H2247="2)",J2247,IF(H2247="3)",J2247,IF(H2247="4)",J2247,IF(H2247="5)",J2247,IF(H2247="6)",J2247,IF(H2247="7)",J2247,IF(H2247="8)",J2247,0))))))))</f>
        <v/>
      </c>
    </row>
    <row r="2249">
      <c r="A2249" s="0" t="inlineStr">
        <is>
          <t>New</t>
        </is>
      </c>
      <c r="B2249" s="0" t="inlineStr">
        <is>
          <t>Item</t>
        </is>
      </c>
      <c r="C2249" s="0" t="inlineStr">
        <is>
          <t>Acquired</t>
        </is>
      </c>
      <c r="D2249" s="0" t="inlineStr">
        <is>
          <t>:</t>
        </is>
      </c>
      <c r="E2249" s="0" t="inlineStr">
        <is>
          <t>105.00K</t>
        </is>
      </c>
      <c r="F2249" s="0" t="inlineStr">
        <is>
          <t>(4,</t>
        </is>
      </c>
      <c r="G2249" s="0" t="inlineStr">
        <is>
          <t>5)</t>
        </is>
      </c>
      <c r="K2249" s="0">
        <f>IF(H2248="1)",1,IF(H2248="2)",2,IF(H2248="3)",3,IF(H2248="4)",4,IF(H2248="5)",5,IF(H2248="6)",6,IF(H2248="7)",7,IF(H2248="8)",8,0))))))))</f>
        <v/>
      </c>
      <c r="L2249" s="0">
        <f>IF(H2248="1)",J2248,IF(H2248="2)",J2248,IF(H2248="3)",J2248,IF(H2248="4)",J2248,IF(H2248="5)",J2248,IF(H2248="6)",J2248,IF(H2248="7)",J2248,IF(H2248="8)",J2248,0))))))))</f>
        <v/>
      </c>
    </row>
    <row r="2250">
      <c r="A2250" s="0" t="inlineStr">
        <is>
          <t>New</t>
        </is>
      </c>
      <c r="B2250" s="0" t="inlineStr">
        <is>
          <t>Item</t>
        </is>
      </c>
      <c r="C2250" s="0" t="inlineStr">
        <is>
          <t>Acquired</t>
        </is>
      </c>
      <c r="D2250" s="0" t="inlineStr">
        <is>
          <t>:</t>
        </is>
      </c>
      <c r="E2250" s="0" t="inlineStr">
        <is>
          <t>90.00K</t>
        </is>
      </c>
      <c r="F2250" s="0" t="inlineStr">
        <is>
          <t>(7,</t>
        </is>
      </c>
      <c r="G2250" s="0" t="inlineStr">
        <is>
          <t>5)</t>
        </is>
      </c>
      <c r="K2250" s="0">
        <f>IF(H2249="1)",1,IF(H2249="2)",2,IF(H2249="3)",3,IF(H2249="4)",4,IF(H2249="5)",5,IF(H2249="6)",6,IF(H2249="7)",7,IF(H2249="8)",8,0))))))))</f>
        <v/>
      </c>
      <c r="L2250" s="0">
        <f>IF(H2249="1)",J2249,IF(H2249="2)",J2249,IF(H2249="3)",J2249,IF(H2249="4)",J2249,IF(H2249="5)",J2249,IF(H2249="6)",J2249,IF(H2249="7)",J2249,IF(H2249="8)",J2249,0))))))))</f>
        <v/>
      </c>
    </row>
    <row r="2251">
      <c r="A2251" s="0" t="inlineStr">
        <is>
          <t>New</t>
        </is>
      </c>
      <c r="B2251" s="0" t="inlineStr">
        <is>
          <t>Item</t>
        </is>
      </c>
      <c r="C2251" s="0" t="inlineStr">
        <is>
          <t>Acquired</t>
        </is>
      </c>
      <c r="D2251" s="0" t="inlineStr">
        <is>
          <t>:</t>
        </is>
      </c>
      <c r="E2251" s="0" t="inlineStr">
        <is>
          <t>125.00K</t>
        </is>
      </c>
      <c r="F2251" s="0" t="inlineStr">
        <is>
          <t>(6,</t>
        </is>
      </c>
      <c r="G2251" s="0" t="inlineStr">
        <is>
          <t>25)</t>
        </is>
      </c>
      <c r="K2251" s="0">
        <f>IF(H2250="1)",1,IF(H2250="2)",2,IF(H2250="3)",3,IF(H2250="4)",4,IF(H2250="5)",5,IF(H2250="6)",6,IF(H2250="7)",7,IF(H2250="8)",8,0))))))))</f>
        <v/>
      </c>
      <c r="L2251" s="0">
        <f>IF(H2250="1)",J2250,IF(H2250="2)",J2250,IF(H2250="3)",J2250,IF(H2250="4)",J2250,IF(H2250="5)",J2250,IF(H2250="6)",J2250,IF(H2250="7)",J2250,IF(H2250="8)",J2250,0))))))))</f>
        <v/>
      </c>
    </row>
    <row r="2252">
      <c r="A2252" s="0" t="inlineStr">
        <is>
          <t>New</t>
        </is>
      </c>
      <c r="B2252" s="0" t="inlineStr">
        <is>
          <t>Item</t>
        </is>
      </c>
      <c r="C2252" s="0" t="inlineStr">
        <is>
          <t>Acquired</t>
        </is>
      </c>
      <c r="D2252" s="0" t="inlineStr">
        <is>
          <t>:</t>
        </is>
      </c>
      <c r="E2252" s="0" t="inlineStr">
        <is>
          <t>67.50K</t>
        </is>
      </c>
      <c r="F2252" s="0" t="inlineStr">
        <is>
          <t>(5,</t>
        </is>
      </c>
      <c r="G2252" s="0" t="inlineStr">
        <is>
          <t>14)</t>
        </is>
      </c>
      <c r="K2252" s="0">
        <f>IF(H2251="1)",1,IF(H2251="2)",2,IF(H2251="3)",3,IF(H2251="4)",4,IF(H2251="5)",5,IF(H2251="6)",6,IF(H2251="7)",7,IF(H2251="8)",8,0))))))))</f>
        <v/>
      </c>
      <c r="L2252" s="0">
        <f>IF(H2251="1)",J2251,IF(H2251="2)",J2251,IF(H2251="3)",J2251,IF(H2251="4)",J2251,IF(H2251="5)",J2251,IF(H2251="6)",J2251,IF(H2251="7)",J2251,IF(H2251="8)",J2251,0))))))))</f>
        <v/>
      </c>
    </row>
    <row r="2253">
      <c r="A2253" s="0" t="inlineStr">
        <is>
          <t>New</t>
        </is>
      </c>
      <c r="B2253" s="0" t="inlineStr">
        <is>
          <t>Item</t>
        </is>
      </c>
      <c r="C2253" s="0" t="inlineStr">
        <is>
          <t>Acquired</t>
        </is>
      </c>
      <c r="D2253" s="0" t="inlineStr">
        <is>
          <t>:</t>
        </is>
      </c>
      <c r="E2253" s="0" t="inlineStr">
        <is>
          <t>60.00K</t>
        </is>
      </c>
      <c r="F2253" s="0" t="inlineStr">
        <is>
          <t>(4,</t>
        </is>
      </c>
      <c r="G2253" s="0" t="inlineStr">
        <is>
          <t>8)</t>
        </is>
      </c>
      <c r="K2253" s="0">
        <f>IF(H2252="1)",1,IF(H2252="2)",2,IF(H2252="3)",3,IF(H2252="4)",4,IF(H2252="5)",5,IF(H2252="6)",6,IF(H2252="7)",7,IF(H2252="8)",8,0))))))))</f>
        <v/>
      </c>
      <c r="L2253" s="0">
        <f>IF(H2252="1)",J2252,IF(H2252="2)",J2252,IF(H2252="3)",J2252,IF(H2252="4)",J2252,IF(H2252="5)",J2252,IF(H2252="6)",J2252,IF(H2252="7)",J2252,IF(H2252="8)",J2252,0))))))))</f>
        <v/>
      </c>
    </row>
    <row r="2254">
      <c r="A2254" s="0" t="inlineStr">
        <is>
          <t>New</t>
        </is>
      </c>
      <c r="B2254" s="0" t="inlineStr">
        <is>
          <t>Item</t>
        </is>
      </c>
      <c r="C2254" s="0" t="inlineStr">
        <is>
          <t>Acquired</t>
        </is>
      </c>
      <c r="D2254" s="0" t="inlineStr">
        <is>
          <t>:</t>
        </is>
      </c>
      <c r="E2254" s="0" t="inlineStr">
        <is>
          <t>67.50K</t>
        </is>
      </c>
      <c r="F2254" s="0" t="inlineStr">
        <is>
          <t>(5,</t>
        </is>
      </c>
      <c r="G2254" s="0" t="inlineStr">
        <is>
          <t>10)</t>
        </is>
      </c>
      <c r="K2254" s="0">
        <f>IF(H2253="1)",1,IF(H2253="2)",2,IF(H2253="3)",3,IF(H2253="4)",4,IF(H2253="5)",5,IF(H2253="6)",6,IF(H2253="7)",7,IF(H2253="8)",8,0))))))))</f>
        <v/>
      </c>
      <c r="L2254" s="0">
        <f>IF(H2253="1)",J2253,IF(H2253="2)",J2253,IF(H2253="3)",J2253,IF(H2253="4)",J2253,IF(H2253="5)",J2253,IF(H2253="6)",J2253,IF(H2253="7)",J2253,IF(H2253="8)",J2253,0))))))))</f>
        <v/>
      </c>
    </row>
    <row r="2255">
      <c r="A2255" s="0" t="inlineStr">
        <is>
          <t>New</t>
        </is>
      </c>
      <c r="B2255" s="0" t="inlineStr">
        <is>
          <t>Item</t>
        </is>
      </c>
      <c r="C2255" s="0" t="inlineStr">
        <is>
          <t>Acquired</t>
        </is>
      </c>
      <c r="D2255" s="0" t="inlineStr">
        <is>
          <t>:</t>
        </is>
      </c>
      <c r="E2255" s="0" t="inlineStr">
        <is>
          <t>62.50K</t>
        </is>
      </c>
      <c r="F2255" s="0" t="inlineStr">
        <is>
          <t>(2,</t>
        </is>
      </c>
      <c r="G2255" s="0" t="inlineStr">
        <is>
          <t>5)</t>
        </is>
      </c>
      <c r="K2255" s="0">
        <f>IF(H2254="1)",1,IF(H2254="2)",2,IF(H2254="3)",3,IF(H2254="4)",4,IF(H2254="5)",5,IF(H2254="6)",6,IF(H2254="7)",7,IF(H2254="8)",8,0))))))))</f>
        <v/>
      </c>
      <c r="L2255" s="0">
        <f>IF(H2254="1)",J2254,IF(H2254="2)",J2254,IF(H2254="3)",J2254,IF(H2254="4)",J2254,IF(H2254="5)",J2254,IF(H2254="6)",J2254,IF(H2254="7)",J2254,IF(H2254="8)",J2254,0))))))))</f>
        <v/>
      </c>
    </row>
    <row r="2256">
      <c r="A2256" s="0" t="inlineStr">
        <is>
          <t>New</t>
        </is>
      </c>
      <c r="B2256" s="0" t="inlineStr">
        <is>
          <t>Item</t>
        </is>
      </c>
      <c r="C2256" s="0" t="inlineStr">
        <is>
          <t>Acquired</t>
        </is>
      </c>
      <c r="D2256" s="0" t="inlineStr">
        <is>
          <t>:</t>
        </is>
      </c>
      <c r="E2256" s="0" t="inlineStr">
        <is>
          <t>45.00K</t>
        </is>
      </c>
      <c r="F2256" s="0" t="inlineStr">
        <is>
          <t>(3,</t>
        </is>
      </c>
      <c r="G2256" s="0" t="inlineStr">
        <is>
          <t>23)</t>
        </is>
      </c>
      <c r="K2256" s="0">
        <f>IF(H2255="1)",1,IF(H2255="2)",2,IF(H2255="3)",3,IF(H2255="4)",4,IF(H2255="5)",5,IF(H2255="6)",6,IF(H2255="7)",7,IF(H2255="8)",8,0))))))))</f>
        <v/>
      </c>
      <c r="L2256" s="0">
        <f>IF(H2255="1)",J2255,IF(H2255="2)",J2255,IF(H2255="3)",J2255,IF(H2255="4)",J2255,IF(H2255="5)",J2255,IF(H2255="6)",J2255,IF(H2255="7)",J2255,IF(H2255="8)",J2255,0))))))))</f>
        <v/>
      </c>
    </row>
    <row r="2257">
      <c r="A2257" s="0" t="inlineStr">
        <is>
          <t>New</t>
        </is>
      </c>
      <c r="B2257" s="0" t="inlineStr">
        <is>
          <t>Item</t>
        </is>
      </c>
      <c r="C2257" s="0" t="inlineStr">
        <is>
          <t>Acquired</t>
        </is>
      </c>
      <c r="D2257" s="0" t="inlineStr">
        <is>
          <t>:</t>
        </is>
      </c>
      <c r="E2257" s="0" t="inlineStr">
        <is>
          <t>60.00K</t>
        </is>
      </c>
      <c r="F2257" s="0" t="inlineStr">
        <is>
          <t>(4,</t>
        </is>
      </c>
      <c r="G2257" s="0" t="inlineStr">
        <is>
          <t>3)</t>
        </is>
      </c>
      <c r="K2257" s="0">
        <f>IF(H2256="1)",1,IF(H2256="2)",2,IF(H2256="3)",3,IF(H2256="4)",4,IF(H2256="5)",5,IF(H2256="6)",6,IF(H2256="7)",7,IF(H2256="8)",8,0))))))))</f>
        <v/>
      </c>
      <c r="L2257" s="0">
        <f>IF(H2256="1)",J2256,IF(H2256="2)",J2256,IF(H2256="3)",J2256,IF(H2256="4)",J2256,IF(H2256="5)",J2256,IF(H2256="6)",J2256,IF(H2256="7)",J2256,IF(H2256="8)",J2256,0))))))))</f>
        <v/>
      </c>
    </row>
    <row r="2258">
      <c r="A2258" s="0" t="inlineStr">
        <is>
          <t>New</t>
        </is>
      </c>
      <c r="B2258" s="0" t="inlineStr">
        <is>
          <t>Item</t>
        </is>
      </c>
      <c r="C2258" s="0" t="inlineStr">
        <is>
          <t>Acquired</t>
        </is>
      </c>
      <c r="D2258" s="0" t="inlineStr">
        <is>
          <t>:</t>
        </is>
      </c>
      <c r="E2258" s="0" t="inlineStr">
        <is>
          <t>Minor</t>
        </is>
      </c>
      <c r="F2258" s="0" t="inlineStr">
        <is>
          <t>(3,</t>
        </is>
      </c>
      <c r="G2258" s="0" t="inlineStr">
        <is>
          <t>1)</t>
        </is>
      </c>
      <c r="K2258" s="0">
        <f>IF(H2257="1)",1,IF(H2257="2)",2,IF(H2257="3)",3,IF(H2257="4)",4,IF(H2257="5)",5,IF(H2257="6)",6,IF(H2257="7)",7,IF(H2257="8)",8,0))))))))</f>
        <v/>
      </c>
      <c r="L2258" s="0">
        <f>IF(H2257="1)",J2257,IF(H2257="2)",J2257,IF(H2257="3)",J2257,IF(H2257="4)",J2257,IF(H2257="5)",J2257,IF(H2257="6)",J2257,IF(H2257="7)",J2257,IF(H2257="8)",J2257,0))))))))</f>
        <v/>
      </c>
    </row>
    <row r="2259">
      <c r="A2259" s="0" t="inlineStr">
        <is>
          <t>New</t>
        </is>
      </c>
      <c r="B2259" s="0" t="inlineStr">
        <is>
          <t>Item</t>
        </is>
      </c>
      <c r="C2259" s="0" t="inlineStr">
        <is>
          <t>Acquired</t>
        </is>
      </c>
      <c r="D2259" s="0" t="inlineStr">
        <is>
          <t>:</t>
        </is>
      </c>
      <c r="E2259" s="0" t="inlineStr">
        <is>
          <t>157.50K</t>
        </is>
      </c>
      <c r="F2259" s="0" t="inlineStr">
        <is>
          <t>(5,</t>
        </is>
      </c>
      <c r="G2259" s="0" t="inlineStr">
        <is>
          <t>15)</t>
        </is>
      </c>
      <c r="K2259" s="0">
        <f>IF(H2258="1)",1,IF(H2258="2)",2,IF(H2258="3)",3,IF(H2258="4)",4,IF(H2258="5)",5,IF(H2258="6)",6,IF(H2258="7)",7,IF(H2258="8)",8,0))))))))</f>
        <v/>
      </c>
      <c r="L2259" s="0">
        <f>IF(H2258="1)",J2258,IF(H2258="2)",J2258,IF(H2258="3)",J2258,IF(H2258="4)",J2258,IF(H2258="5)",J2258,IF(H2258="6)",J2258,IF(H2258="7)",J2258,IF(H2258="8)",J2258,0))))))))</f>
        <v/>
      </c>
    </row>
    <row r="2260">
      <c r="A2260" s="0" t="inlineStr">
        <is>
          <t>New</t>
        </is>
      </c>
      <c r="B2260" s="0" t="inlineStr">
        <is>
          <t>Item</t>
        </is>
      </c>
      <c r="C2260" s="0" t="inlineStr">
        <is>
          <t>Acquired</t>
        </is>
      </c>
      <c r="D2260" s="0" t="inlineStr">
        <is>
          <t>:</t>
        </is>
      </c>
      <c r="E2260" s="0" t="inlineStr">
        <is>
          <t>37.50K</t>
        </is>
      </c>
      <c r="F2260" s="0" t="inlineStr">
        <is>
          <t>(2,</t>
        </is>
      </c>
      <c r="G2260" s="0" t="inlineStr">
        <is>
          <t>22)</t>
        </is>
      </c>
      <c r="K2260" s="0">
        <f>IF(H2259="1)",1,IF(H2259="2)",2,IF(H2259="3)",3,IF(H2259="4)",4,IF(H2259="5)",5,IF(H2259="6)",6,IF(H2259="7)",7,IF(H2259="8)",8,0))))))))</f>
        <v/>
      </c>
      <c r="L2260" s="0">
        <f>IF(H2259="1)",J2259,IF(H2259="2)",J2259,IF(H2259="3)",J2259,IF(H2259="4)",J2259,IF(H2259="5)",J2259,IF(H2259="6)",J2259,IF(H2259="7)",J2259,IF(H2259="8)",J2259,0))))))))</f>
        <v/>
      </c>
    </row>
    <row r="2261">
      <c r="A2261" s="0" t="inlineStr">
        <is>
          <t>New</t>
        </is>
      </c>
      <c r="B2261" s="0" t="inlineStr">
        <is>
          <t>Item</t>
        </is>
      </c>
      <c r="C2261" s="0" t="inlineStr">
        <is>
          <t>Acquired</t>
        </is>
      </c>
      <c r="D2261" s="0" t="inlineStr">
        <is>
          <t>:</t>
        </is>
      </c>
      <c r="E2261" s="0" t="inlineStr">
        <is>
          <t>37.50K</t>
        </is>
      </c>
      <c r="F2261" s="0" t="inlineStr">
        <is>
          <t>(2,</t>
        </is>
      </c>
      <c r="G2261" s="0" t="inlineStr">
        <is>
          <t>9)</t>
        </is>
      </c>
      <c r="K2261" s="0">
        <f>IF(H2260="1)",1,IF(H2260="2)",2,IF(H2260="3)",3,IF(H2260="4)",4,IF(H2260="5)",5,IF(H2260="6)",6,IF(H2260="7)",7,IF(H2260="8)",8,0))))))))</f>
        <v/>
      </c>
      <c r="L2261" s="0">
        <f>IF(H2260="1)",J2260,IF(H2260="2)",J2260,IF(H2260="3)",J2260,IF(H2260="4)",J2260,IF(H2260="5)",J2260,IF(H2260="6)",J2260,IF(H2260="7)",J2260,IF(H2260="8)",J2260,0))))))))</f>
        <v/>
      </c>
    </row>
    <row r="2262">
      <c r="A2262" s="0" t="inlineStr">
        <is>
          <t>New</t>
        </is>
      </c>
      <c r="B2262" s="0" t="inlineStr">
        <is>
          <t>Item</t>
        </is>
      </c>
      <c r="C2262" s="0" t="inlineStr">
        <is>
          <t>Acquired</t>
        </is>
      </c>
      <c r="D2262" s="0" t="inlineStr">
        <is>
          <t>:</t>
        </is>
      </c>
      <c r="E2262" s="0" t="inlineStr">
        <is>
          <t>Mini</t>
        </is>
      </c>
      <c r="F2262" s="0" t="inlineStr">
        <is>
          <t>(8,</t>
        </is>
      </c>
      <c r="G2262" s="0" t="inlineStr">
        <is>
          <t>12)</t>
        </is>
      </c>
      <c r="K2262" s="0">
        <f>IF(H2261="1)",1,IF(H2261="2)",2,IF(H2261="3)",3,IF(H2261="4)",4,IF(H2261="5)",5,IF(H2261="6)",6,IF(H2261="7)",7,IF(H2261="8)",8,0))))))))</f>
        <v/>
      </c>
      <c r="L2262" s="0">
        <f>IF(H2261="1)",J2261,IF(H2261="2)",J2261,IF(H2261="3)",J2261,IF(H2261="4)",J2261,IF(H2261="5)",J2261,IF(H2261="6)",J2261,IF(H2261="7)",J2261,IF(H2261="8)",J2261,0))))))))</f>
        <v/>
      </c>
    </row>
    <row r="2263">
      <c r="A2263" s="0" t="inlineStr">
        <is>
          <t>New</t>
        </is>
      </c>
      <c r="B2263" s="0" t="inlineStr">
        <is>
          <t>Item</t>
        </is>
      </c>
      <c r="C2263" s="0" t="inlineStr">
        <is>
          <t>Acquired</t>
        </is>
      </c>
      <c r="D2263" s="0" t="inlineStr">
        <is>
          <t>:</t>
        </is>
      </c>
      <c r="E2263" s="0" t="inlineStr">
        <is>
          <t>37.50K</t>
        </is>
      </c>
      <c r="F2263" s="0" t="inlineStr">
        <is>
          <t>(2,</t>
        </is>
      </c>
      <c r="G2263" s="0" t="inlineStr">
        <is>
          <t>18)</t>
        </is>
      </c>
      <c r="K2263" s="0">
        <f>IF(H2262="1)",1,IF(H2262="2)",2,IF(H2262="3)",3,IF(H2262="4)",4,IF(H2262="5)",5,IF(H2262="6)",6,IF(H2262="7)",7,IF(H2262="8)",8,0))))))))</f>
        <v/>
      </c>
      <c r="L2263" s="0">
        <f>IF(H2262="1)",J2262,IF(H2262="2)",J2262,IF(H2262="3)",J2262,IF(H2262="4)",J2262,IF(H2262="5)",J2262,IF(H2262="6)",J2262,IF(H2262="7)",J2262,IF(H2262="8)",J2262,0))))))))</f>
        <v/>
      </c>
    </row>
    <row r="2264">
      <c r="A2264" s="0" t="inlineStr">
        <is>
          <t>New</t>
        </is>
      </c>
      <c r="B2264" s="0" t="inlineStr">
        <is>
          <t>Item</t>
        </is>
      </c>
      <c r="C2264" s="0" t="inlineStr">
        <is>
          <t>Acquired</t>
        </is>
      </c>
      <c r="D2264" s="0" t="inlineStr">
        <is>
          <t>:</t>
        </is>
      </c>
      <c r="E2264" s="0" t="inlineStr">
        <is>
          <t>45.00K</t>
        </is>
      </c>
      <c r="F2264" s="0" t="inlineStr">
        <is>
          <t>(3,</t>
        </is>
      </c>
      <c r="G2264" s="0" t="inlineStr">
        <is>
          <t>7)</t>
        </is>
      </c>
      <c r="K2264" s="0">
        <f>IF(H2263="1)",1,IF(H2263="2)",2,IF(H2263="3)",3,IF(H2263="4)",4,IF(H2263="5)",5,IF(H2263="6)",6,IF(H2263="7)",7,IF(H2263="8)",8,0))))))))</f>
        <v/>
      </c>
      <c r="L2264" s="0">
        <f>IF(H2263="1)",J2263,IF(H2263="2)",J2263,IF(H2263="3)",J2263,IF(H2263="4)",J2263,IF(H2263="5)",J2263,IF(H2263="6)",J2263,IF(H2263="7)",J2263,IF(H2263="8)",J2263,0))))))))</f>
        <v/>
      </c>
    </row>
    <row r="2265">
      <c r="A2265" s="0" t="inlineStr">
        <is>
          <t>New</t>
        </is>
      </c>
      <c r="B2265" s="0" t="inlineStr">
        <is>
          <t>Item</t>
        </is>
      </c>
      <c r="C2265" s="0" t="inlineStr">
        <is>
          <t>Acquired</t>
        </is>
      </c>
      <c r="D2265" s="0" t="inlineStr">
        <is>
          <t>:</t>
        </is>
      </c>
      <c r="E2265" s="0" t="inlineStr">
        <is>
          <t>150.00K</t>
        </is>
      </c>
      <c r="F2265" s="0" t="inlineStr">
        <is>
          <t>(7,</t>
        </is>
      </c>
      <c r="G2265" s="0" t="inlineStr">
        <is>
          <t>15)</t>
        </is>
      </c>
      <c r="K2265" s="0">
        <f>IF(H2264="1)",1,IF(H2264="2)",2,IF(H2264="3)",3,IF(H2264="4)",4,IF(H2264="5)",5,IF(H2264="6)",6,IF(H2264="7)",7,IF(H2264="8)",8,0))))))))</f>
        <v/>
      </c>
      <c r="L2265" s="0">
        <f>IF(H2264="1)",J2264,IF(H2264="2)",J2264,IF(H2264="3)",J2264,IF(H2264="4)",J2264,IF(H2264="5)",J2264,IF(H2264="6)",J2264,IF(H2264="7)",J2264,IF(H2264="8)",J2264,0))))))))</f>
        <v/>
      </c>
    </row>
    <row r="2266">
      <c r="A2266" s="0" t="inlineStr">
        <is>
          <t>New</t>
        </is>
      </c>
      <c r="B2266" s="0" t="inlineStr">
        <is>
          <t>Item</t>
        </is>
      </c>
      <c r="C2266" s="0" t="inlineStr">
        <is>
          <t>Acquired</t>
        </is>
      </c>
      <c r="D2266" s="0" t="inlineStr">
        <is>
          <t>:</t>
        </is>
      </c>
      <c r="E2266" s="0" t="inlineStr">
        <is>
          <t>70.00K</t>
        </is>
      </c>
      <c r="F2266" s="0" t="inlineStr">
        <is>
          <t>(1,</t>
        </is>
      </c>
      <c r="G2266" s="0" t="inlineStr">
        <is>
          <t>8)</t>
        </is>
      </c>
      <c r="K2266" s="0">
        <f>IF(H2265="1)",1,IF(H2265="2)",2,IF(H2265="3)",3,IF(H2265="4)",4,IF(H2265="5)",5,IF(H2265="6)",6,IF(H2265="7)",7,IF(H2265="8)",8,0))))))))</f>
        <v/>
      </c>
      <c r="L2266" s="0">
        <f>IF(H2265="1)",J2265,IF(H2265="2)",J2265,IF(H2265="3)",J2265,IF(H2265="4)",J2265,IF(H2265="5)",J2265,IF(H2265="6)",J2265,IF(H2265="7)",J2265,IF(H2265="8)",J2265,0))))))))</f>
        <v/>
      </c>
    </row>
    <row r="2267">
      <c r="A2267" s="0" t="inlineStr">
        <is>
          <t>New</t>
        </is>
      </c>
      <c r="B2267" s="0" t="inlineStr">
        <is>
          <t>Item</t>
        </is>
      </c>
      <c r="C2267" s="0" t="inlineStr">
        <is>
          <t>Acquired</t>
        </is>
      </c>
      <c r="D2267" s="0" t="inlineStr">
        <is>
          <t>:</t>
        </is>
      </c>
      <c r="E2267" s="0" t="inlineStr">
        <is>
          <t>120.00K</t>
        </is>
      </c>
      <c r="F2267" s="0" t="inlineStr">
        <is>
          <t>(8,</t>
        </is>
      </c>
      <c r="G2267" s="0" t="inlineStr">
        <is>
          <t>21)</t>
        </is>
      </c>
      <c r="K2267" s="0">
        <f>IF(H2266="1)",1,IF(H2266="2)",2,IF(H2266="3)",3,IF(H2266="4)",4,IF(H2266="5)",5,IF(H2266="6)",6,IF(H2266="7)",7,IF(H2266="8)",8,0))))))))</f>
        <v/>
      </c>
      <c r="L2267" s="0">
        <f>IF(H2266="1)",J2266,IF(H2266="2)",J2266,IF(H2266="3)",J2266,IF(H2266="4)",J2266,IF(H2266="5)",J2266,IF(H2266="6)",J2266,IF(H2266="7)",J2266,IF(H2266="8)",J2266,0))))))))</f>
        <v/>
      </c>
    </row>
    <row r="2268">
      <c r="A2268" s="0" t="inlineStr">
        <is>
          <t>New</t>
        </is>
      </c>
      <c r="B2268" s="0" t="inlineStr">
        <is>
          <t>Item</t>
        </is>
      </c>
      <c r="C2268" s="0" t="inlineStr">
        <is>
          <t>Acquired</t>
        </is>
      </c>
      <c r="D2268" s="0" t="inlineStr">
        <is>
          <t>:</t>
        </is>
      </c>
      <c r="E2268" s="0" t="inlineStr">
        <is>
          <t>75.00K</t>
        </is>
      </c>
      <c r="F2268" s="0" t="inlineStr">
        <is>
          <t>(3,</t>
        </is>
      </c>
      <c r="G2268" s="0" t="inlineStr">
        <is>
          <t>5)</t>
        </is>
      </c>
      <c r="K2268" s="0">
        <f>IF(H2267="1)",1,IF(H2267="2)",2,IF(H2267="3)",3,IF(H2267="4)",4,IF(H2267="5)",5,IF(H2267="6)",6,IF(H2267="7)",7,IF(H2267="8)",8,0))))))))</f>
        <v/>
      </c>
      <c r="L2268" s="0">
        <f>IF(H2267="1)",J2267,IF(H2267="2)",J2267,IF(H2267="3)",J2267,IF(H2267="4)",J2267,IF(H2267="5)",J2267,IF(H2267="6)",J2267,IF(H2267="7)",J2267,IF(H2267="8)",J2267,0))))))))</f>
        <v/>
      </c>
    </row>
    <row r="2269">
      <c r="A2269" s="0" t="inlineStr">
        <is>
          <t>New</t>
        </is>
      </c>
      <c r="B2269" s="0" t="inlineStr">
        <is>
          <t>Item</t>
        </is>
      </c>
      <c r="C2269" s="0" t="inlineStr">
        <is>
          <t>Acquired</t>
        </is>
      </c>
      <c r="D2269" s="0" t="inlineStr">
        <is>
          <t>:</t>
        </is>
      </c>
      <c r="E2269" s="0" t="inlineStr">
        <is>
          <t>Minor</t>
        </is>
      </c>
      <c r="F2269" s="0" t="inlineStr">
        <is>
          <t>(1,</t>
        </is>
      </c>
      <c r="G2269" s="0" t="inlineStr">
        <is>
          <t>2)</t>
        </is>
      </c>
      <c r="K2269" s="0">
        <f>IF(H2268="1)",1,IF(H2268="2)",2,IF(H2268="3)",3,IF(H2268="4)",4,IF(H2268="5)",5,IF(H2268="6)",6,IF(H2268="7)",7,IF(H2268="8)",8,0))))))))</f>
        <v/>
      </c>
      <c r="L2269" s="0">
        <f>IF(H2268="1)",J2268,IF(H2268="2)",J2268,IF(H2268="3)",J2268,IF(H2268="4)",J2268,IF(H2268="5)",J2268,IF(H2268="6)",J2268,IF(H2268="7)",J2268,IF(H2268="8)",J2268,0))))))))</f>
        <v/>
      </c>
    </row>
    <row r="2270">
      <c r="A2270" s="0" t="inlineStr">
        <is>
          <t>New</t>
        </is>
      </c>
      <c r="B2270" s="0" t="inlineStr">
        <is>
          <t>Item</t>
        </is>
      </c>
      <c r="C2270" s="0" t="inlineStr">
        <is>
          <t>Acquired</t>
        </is>
      </c>
      <c r="D2270" s="0" t="inlineStr">
        <is>
          <t>:</t>
        </is>
      </c>
      <c r="E2270" s="0" t="inlineStr">
        <is>
          <t>125.00K</t>
        </is>
      </c>
      <c r="F2270" s="0" t="inlineStr">
        <is>
          <t>(6,</t>
        </is>
      </c>
      <c r="G2270" s="0" t="inlineStr">
        <is>
          <t>6)</t>
        </is>
      </c>
      <c r="K2270" s="0">
        <f>IF(H2269="1)",1,IF(H2269="2)",2,IF(H2269="3)",3,IF(H2269="4)",4,IF(H2269="5)",5,IF(H2269="6)",6,IF(H2269="7)",7,IF(H2269="8)",8,0))))))))</f>
        <v/>
      </c>
      <c r="L2270" s="0">
        <f>IF(H2269="1)",J2269,IF(H2269="2)",J2269,IF(H2269="3)",J2269,IF(H2269="4)",J2269,IF(H2269="5)",J2269,IF(H2269="6)",J2269,IF(H2269="7)",J2269,IF(H2269="8)",J2269,0))))))))</f>
        <v/>
      </c>
    </row>
    <row r="2271">
      <c r="A2271" s="0" t="inlineStr">
        <is>
          <t>New</t>
        </is>
      </c>
      <c r="B2271" s="0" t="inlineStr">
        <is>
          <t>Item</t>
        </is>
      </c>
      <c r="C2271" s="0" t="inlineStr">
        <is>
          <t>Acquired</t>
        </is>
      </c>
      <c r="D2271" s="0" t="inlineStr">
        <is>
          <t>:</t>
        </is>
      </c>
      <c r="E2271" s="0" t="inlineStr">
        <is>
          <t>Minor</t>
        </is>
      </c>
      <c r="F2271" s="0" t="inlineStr">
        <is>
          <t>(1,</t>
        </is>
      </c>
      <c r="G2271" s="0" t="inlineStr">
        <is>
          <t>24)</t>
        </is>
      </c>
      <c r="K2271" s="0">
        <f>IF(H2270="1)",1,IF(H2270="2)",2,IF(H2270="3)",3,IF(H2270="4)",4,IF(H2270="5)",5,IF(H2270="6)",6,IF(H2270="7)",7,IF(H2270="8)",8,0))))))))</f>
        <v/>
      </c>
      <c r="L2271" s="0">
        <f>IF(H2270="1)",J2270,IF(H2270="2)",J2270,IF(H2270="3)",J2270,IF(H2270="4)",J2270,IF(H2270="5)",J2270,IF(H2270="6)",J2270,IF(H2270="7)",J2270,IF(H2270="8)",J2270,0))))))))</f>
        <v/>
      </c>
    </row>
    <row r="2272">
      <c r="A2272" s="0" t="inlineStr">
        <is>
          <t>New</t>
        </is>
      </c>
      <c r="B2272" s="0" t="inlineStr">
        <is>
          <t>Item</t>
        </is>
      </c>
      <c r="C2272" s="0" t="inlineStr">
        <is>
          <t>Acquired</t>
        </is>
      </c>
      <c r="D2272" s="0" t="inlineStr">
        <is>
          <t>:</t>
        </is>
      </c>
      <c r="E2272" s="0" t="inlineStr">
        <is>
          <t>67.50K</t>
        </is>
      </c>
      <c r="F2272" s="0" t="inlineStr">
        <is>
          <t>(5,</t>
        </is>
      </c>
      <c r="G2272" s="0" t="inlineStr">
        <is>
          <t>5)</t>
        </is>
      </c>
      <c r="K2272" s="0">
        <f>IF(H2271="1)",1,IF(H2271="2)",2,IF(H2271="3)",3,IF(H2271="4)",4,IF(H2271="5)",5,IF(H2271="6)",6,IF(H2271="7)",7,IF(H2271="8)",8,0))))))))</f>
        <v/>
      </c>
      <c r="L2272" s="0">
        <f>IF(H2271="1)",J2271,IF(H2271="2)",J2271,IF(H2271="3)",J2271,IF(H2271="4)",J2271,IF(H2271="5)",J2271,IF(H2271="6)",J2271,IF(H2271="7)",J2271,IF(H2271="8)",J2271,0))))))))</f>
        <v/>
      </c>
    </row>
    <row r="2273">
      <c r="A2273" s="0" t="inlineStr">
        <is>
          <t>Line</t>
        </is>
      </c>
      <c r="B2273" s="0" t="inlineStr">
        <is>
          <t>Prize</t>
        </is>
      </c>
      <c r="C2273" s="0" t="inlineStr">
        <is>
          <t>Acquired</t>
        </is>
      </c>
      <c r="D2273" s="0" t="inlineStr">
        <is>
          <t>:</t>
        </is>
      </c>
      <c r="E2273" s="0" t="inlineStr">
        <is>
          <t>1.31M</t>
        </is>
      </c>
      <c r="F2273" s="0" t="inlineStr">
        <is>
          <t>(Stage</t>
        </is>
      </c>
      <c r="G2273" s="0" t="inlineStr">
        <is>
          <t>:</t>
        </is>
      </c>
      <c r="H2273" s="0" t="inlineStr">
        <is>
          <t>5)</t>
        </is>
      </c>
      <c r="I2273" s="0" t="inlineStr">
        <is>
          <t>-</t>
        </is>
      </c>
      <c r="J2273" s="0" t="n">
        <v>1315000</v>
      </c>
      <c r="K2273" s="0">
        <f>IF(H2272="1)",1,IF(H2272="2)",2,IF(H2272="3)",3,IF(H2272="4)",4,IF(H2272="5)",5,IF(H2272="6)",6,IF(H2272="7)",7,IF(H2272="8)",8,0))))))))</f>
        <v/>
      </c>
      <c r="L2273" s="0">
        <f>IF(H2272="1)",J2272,IF(H2272="2)",J2272,IF(H2272="3)",J2272,IF(H2272="4)",J2272,IF(H2272="5)",J2272,IF(H2272="6)",J2272,IF(H2272="7)",J2272,IF(H2272="8)",J2272,0))))))))</f>
        <v/>
      </c>
    </row>
    <row r="2274">
      <c r="A2274" s="0" t="inlineStr">
        <is>
          <t>Clear</t>
        </is>
      </c>
      <c r="B2274" s="0" t="inlineStr">
        <is>
          <t>Gem</t>
        </is>
      </c>
      <c r="C2274" s="0" t="inlineStr">
        <is>
          <t>Acquired</t>
        </is>
      </c>
      <c r="D2274" s="0" t="inlineStr">
        <is>
          <t>:</t>
        </is>
      </c>
      <c r="E2274" s="0" t="n">
        <v>13900</v>
      </c>
      <c r="F2274" s="0" t="inlineStr">
        <is>
          <t>-&gt;</t>
        </is>
      </c>
      <c r="G2274" s="0" t="n">
        <v>14000</v>
      </c>
      <c r="H2274" s="0" t="inlineStr">
        <is>
          <t>(Stage</t>
        </is>
      </c>
      <c r="I2274" s="0" t="inlineStr">
        <is>
          <t>:</t>
        </is>
      </c>
      <c r="J2274" s="0" t="inlineStr">
        <is>
          <t>5)</t>
        </is>
      </c>
      <c r="K2274" s="0">
        <f>IF(H2273="1)",1,IF(H2273="2)",2,IF(H2273="3)",3,IF(H2273="4)",4,IF(H2273="5)",5,IF(H2273="6)",6,IF(H2273="7)",7,IF(H2273="8)",8,0))))))))</f>
        <v/>
      </c>
      <c r="L2274" s="0">
        <f>IF(H2273="1)",J2273,IF(H2273="2)",J2273,IF(H2273="3)",J2273,IF(H2273="4)",J2273,IF(H2273="5)",J2273,IF(H2273="6)",J2273,IF(H2273="7)",J2273,IF(H2273="8)",J2273,0))))))))</f>
        <v/>
      </c>
    </row>
    <row r="2275">
      <c r="A2275" s="0" t="inlineStr">
        <is>
          <t>New</t>
        </is>
      </c>
      <c r="B2275" s="0" t="inlineStr">
        <is>
          <t>Item</t>
        </is>
      </c>
      <c r="C2275" s="0" t="inlineStr">
        <is>
          <t>Acquired</t>
        </is>
      </c>
      <c r="D2275" s="0" t="inlineStr">
        <is>
          <t>:</t>
        </is>
      </c>
      <c r="E2275" s="0" t="inlineStr">
        <is>
          <t>30.00K</t>
        </is>
      </c>
      <c r="F2275" s="0" t="inlineStr">
        <is>
          <t>(1,</t>
        </is>
      </c>
      <c r="G2275" s="0" t="inlineStr">
        <is>
          <t>16)</t>
        </is>
      </c>
      <c r="K2275" s="0">
        <f>IF(H2274="1)",1,IF(H2274="2)",2,IF(H2274="3)",3,IF(H2274="4)",4,IF(H2274="5)",5,IF(H2274="6)",6,IF(H2274="7)",7,IF(H2274="8)",8,0))))))))</f>
        <v/>
      </c>
      <c r="L2275" s="0">
        <f>IF(H2274="1)",J2274,IF(H2274="2)",J2274,IF(H2274="3)",J2274,IF(H2274="4)",J2274,IF(H2274="5)",J2274,IF(H2274="6)",J2274,IF(H2274="7)",J2274,IF(H2274="8)",J2274,0))))))))</f>
        <v/>
      </c>
    </row>
    <row r="2276">
      <c r="A2276" s="0" t="inlineStr">
        <is>
          <t>New</t>
        </is>
      </c>
      <c r="B2276" s="0" t="inlineStr">
        <is>
          <t>Item</t>
        </is>
      </c>
      <c r="C2276" s="0" t="inlineStr">
        <is>
          <t>Acquired</t>
        </is>
      </c>
      <c r="D2276" s="0" t="inlineStr">
        <is>
          <t>:</t>
        </is>
      </c>
      <c r="E2276" s="0" t="inlineStr">
        <is>
          <t>75.00K</t>
        </is>
      </c>
      <c r="F2276" s="0" t="inlineStr">
        <is>
          <t>(4,</t>
        </is>
      </c>
      <c r="G2276" s="0" t="inlineStr">
        <is>
          <t>25)</t>
        </is>
      </c>
      <c r="K2276" s="0">
        <f>IF(H2275="1)",1,IF(H2275="2)",2,IF(H2275="3)",3,IF(H2275="4)",4,IF(H2275="5)",5,IF(H2275="6)",6,IF(H2275="7)",7,IF(H2275="8)",8,0))))))))</f>
        <v/>
      </c>
      <c r="L2276" s="0">
        <f>IF(H2275="1)",J2275,IF(H2275="2)",J2275,IF(H2275="3)",J2275,IF(H2275="4)",J2275,IF(H2275="5)",J2275,IF(H2275="6)",J2275,IF(H2275="7)",J2275,IF(H2275="8)",J2275,0))))))))</f>
        <v/>
      </c>
    </row>
    <row r="2277">
      <c r="A2277" s="0" t="inlineStr">
        <is>
          <t>New</t>
        </is>
      </c>
      <c r="B2277" s="0" t="inlineStr">
        <is>
          <t>Item</t>
        </is>
      </c>
      <c r="C2277" s="0" t="inlineStr">
        <is>
          <t>Acquired</t>
        </is>
      </c>
      <c r="D2277" s="0" t="inlineStr">
        <is>
          <t>:</t>
        </is>
      </c>
      <c r="E2277" s="0" t="inlineStr">
        <is>
          <t>Mini</t>
        </is>
      </c>
      <c r="F2277" s="0" t="inlineStr">
        <is>
          <t>(4,</t>
        </is>
      </c>
      <c r="G2277" s="0" t="inlineStr">
        <is>
          <t>1)</t>
        </is>
      </c>
      <c r="K2277" s="0">
        <f>IF(H2276="1)",1,IF(H2276="2)",2,IF(H2276="3)",3,IF(H2276="4)",4,IF(H2276="5)",5,IF(H2276="6)",6,IF(H2276="7)",7,IF(H2276="8)",8,0))))))))</f>
        <v/>
      </c>
      <c r="L2277" s="0">
        <f>IF(H2276="1)",J2276,IF(H2276="2)",J2276,IF(H2276="3)",J2276,IF(H2276="4)",J2276,IF(H2276="5)",J2276,IF(H2276="6)",J2276,IF(H2276="7)",J2276,IF(H2276="8)",J2276,0))))))))</f>
        <v/>
      </c>
    </row>
    <row r="2278">
      <c r="A2278" s="0" t="inlineStr">
        <is>
          <t>New</t>
        </is>
      </c>
      <c r="B2278" s="0" t="inlineStr">
        <is>
          <t>Item</t>
        </is>
      </c>
      <c r="C2278" s="0" t="inlineStr">
        <is>
          <t>Acquired</t>
        </is>
      </c>
      <c r="D2278" s="0" t="inlineStr">
        <is>
          <t>:</t>
        </is>
      </c>
      <c r="E2278" s="0" t="inlineStr">
        <is>
          <t>105.00K</t>
        </is>
      </c>
      <c r="F2278" s="0" t="inlineStr">
        <is>
          <t>(4,</t>
        </is>
      </c>
      <c r="G2278" s="0" t="inlineStr">
        <is>
          <t>21)</t>
        </is>
      </c>
      <c r="K2278" s="0">
        <f>IF(H2277="1)",1,IF(H2277="2)",2,IF(H2277="3)",3,IF(H2277="4)",4,IF(H2277="5)",5,IF(H2277="6)",6,IF(H2277="7)",7,IF(H2277="8)",8,0))))))))</f>
        <v/>
      </c>
      <c r="L2278" s="0">
        <f>IF(H2277="1)",J2277,IF(H2277="2)",J2277,IF(H2277="3)",J2277,IF(H2277="4)",J2277,IF(H2277="5)",J2277,IF(H2277="6)",J2277,IF(H2277="7)",J2277,IF(H2277="8)",J2277,0))))))))</f>
        <v/>
      </c>
    </row>
    <row r="2279">
      <c r="A2279" s="0" t="inlineStr">
        <is>
          <t>New</t>
        </is>
      </c>
      <c r="B2279" s="0" t="inlineStr">
        <is>
          <t>Item</t>
        </is>
      </c>
      <c r="C2279" s="0" t="inlineStr">
        <is>
          <t>Acquired</t>
        </is>
      </c>
      <c r="D2279" s="0" t="inlineStr">
        <is>
          <t>:</t>
        </is>
      </c>
      <c r="E2279" s="0" t="inlineStr">
        <is>
          <t>120.00K</t>
        </is>
      </c>
      <c r="F2279" s="0" t="inlineStr">
        <is>
          <t>(8,</t>
        </is>
      </c>
      <c r="G2279" s="0" t="inlineStr">
        <is>
          <t>24)</t>
        </is>
      </c>
      <c r="K2279" s="0">
        <f>IF(H2278="1)",1,IF(H2278="2)",2,IF(H2278="3)",3,IF(H2278="4)",4,IF(H2278="5)",5,IF(H2278="6)",6,IF(H2278="7)",7,IF(H2278="8)",8,0))))))))</f>
        <v/>
      </c>
      <c r="L2279" s="0">
        <f>IF(H2278="1)",J2278,IF(H2278="2)",J2278,IF(H2278="3)",J2278,IF(H2278="4)",J2278,IF(H2278="5)",J2278,IF(H2278="6)",J2278,IF(H2278="7)",J2278,IF(H2278="8)",J2278,0))))))))</f>
        <v/>
      </c>
    </row>
    <row r="2280">
      <c r="A2280" s="0" t="inlineStr">
        <is>
          <t>New</t>
        </is>
      </c>
      <c r="B2280" s="0" t="inlineStr">
        <is>
          <t>Item</t>
        </is>
      </c>
      <c r="C2280" s="0" t="inlineStr">
        <is>
          <t>Acquired</t>
        </is>
      </c>
      <c r="D2280" s="0" t="inlineStr">
        <is>
          <t>:</t>
        </is>
      </c>
      <c r="E2280" s="0" t="inlineStr">
        <is>
          <t>Minor</t>
        </is>
      </c>
      <c r="F2280" s="0" t="inlineStr">
        <is>
          <t>(5,</t>
        </is>
      </c>
      <c r="G2280" s="0" t="inlineStr">
        <is>
          <t>17)</t>
        </is>
      </c>
      <c r="K2280" s="0">
        <f>IF(H2279="1)",1,IF(H2279="2)",2,IF(H2279="3)",3,IF(H2279="4)",4,IF(H2279="5)",5,IF(H2279="6)",6,IF(H2279="7)",7,IF(H2279="8)",8,0))))))))</f>
        <v/>
      </c>
      <c r="L2280" s="0">
        <f>IF(H2279="1)",J2279,IF(H2279="2)",J2279,IF(H2279="3)",J2279,IF(H2279="4)",J2279,IF(H2279="5)",J2279,IF(H2279="6)",J2279,IF(H2279="7)",J2279,IF(H2279="8)",J2279,0))))))))</f>
        <v/>
      </c>
    </row>
    <row r="2281">
      <c r="A2281" s="0" t="inlineStr">
        <is>
          <t>Item</t>
        </is>
      </c>
      <c r="B2281" s="0" t="inlineStr">
        <is>
          <t>ReSelect</t>
        </is>
      </c>
      <c r="C2281" s="0" t="inlineStr">
        <is>
          <t>Failed</t>
        </is>
      </c>
      <c r="D2281" s="0" t="inlineStr">
        <is>
          <t>:</t>
        </is>
      </c>
      <c r="E2281" s="0" t="inlineStr">
        <is>
          <t>Attempt</t>
        </is>
      </c>
      <c r="F2281" s="0" t="inlineStr">
        <is>
          <t>Count</t>
        </is>
      </c>
      <c r="G2281" s="0" t="inlineStr">
        <is>
          <t>-</t>
        </is>
      </c>
      <c r="H2281" s="0" t="n">
        <v>3</v>
      </c>
      <c r="K2281" s="0">
        <f>IF(H2280="1)",1,IF(H2280="2)",2,IF(H2280="3)",3,IF(H2280="4)",4,IF(H2280="5)",5,IF(H2280="6)",6,IF(H2280="7)",7,IF(H2280="8)",8,0))))))))</f>
        <v/>
      </c>
      <c r="L2281" s="0">
        <f>IF(H2280="1)",J2280,IF(H2280="2)",J2280,IF(H2280="3)",J2280,IF(H2280="4)",J2280,IF(H2280="5)",J2280,IF(H2280="6)",J2280,IF(H2280="7)",J2280,IF(H2280="8)",J2280,0))))))))</f>
        <v/>
      </c>
    </row>
    <row r="2282">
      <c r="A2282" s="0" t="inlineStr">
        <is>
          <t>Item</t>
        </is>
      </c>
      <c r="B2282" s="0" t="inlineStr">
        <is>
          <t>ReSelect</t>
        </is>
      </c>
      <c r="C2282" s="0" t="inlineStr">
        <is>
          <t>Failed</t>
        </is>
      </c>
      <c r="D2282" s="0" t="inlineStr">
        <is>
          <t>:</t>
        </is>
      </c>
      <c r="E2282" s="0" t="inlineStr">
        <is>
          <t>Attempt</t>
        </is>
      </c>
      <c r="F2282" s="0" t="inlineStr">
        <is>
          <t>Count</t>
        </is>
      </c>
      <c r="G2282" s="0" t="inlineStr">
        <is>
          <t>-</t>
        </is>
      </c>
      <c r="H2282" s="0" t="n">
        <v>3</v>
      </c>
      <c r="K2282" s="0">
        <f>IF(H2281="1)",1,IF(H2281="2)",2,IF(H2281="3)",3,IF(H2281="4)",4,IF(H2281="5)",5,IF(H2281="6)",6,IF(H2281="7)",7,IF(H2281="8)",8,0))))))))</f>
        <v/>
      </c>
      <c r="L2282" s="0">
        <f>IF(H2281="1)",J2281,IF(H2281="2)",J2281,IF(H2281="3)",J2281,IF(H2281="4)",J2281,IF(H2281="5)",J2281,IF(H2281="6)",J2281,IF(H2281="7)",J2281,IF(H2281="8)",J2281,0))))))))</f>
        <v/>
      </c>
    </row>
    <row r="2283">
      <c r="A2283" s="0" t="inlineStr">
        <is>
          <t>New</t>
        </is>
      </c>
      <c r="B2283" s="0" t="inlineStr">
        <is>
          <t>Item</t>
        </is>
      </c>
      <c r="C2283" s="0" t="inlineStr">
        <is>
          <t>Acquired</t>
        </is>
      </c>
      <c r="D2283" s="0" t="inlineStr">
        <is>
          <t>:</t>
        </is>
      </c>
      <c r="E2283" s="0" t="inlineStr">
        <is>
          <t>87.50K</t>
        </is>
      </c>
      <c r="F2283" s="0" t="inlineStr">
        <is>
          <t>(2,</t>
        </is>
      </c>
      <c r="G2283" s="0" t="inlineStr">
        <is>
          <t>6)</t>
        </is>
      </c>
      <c r="K2283" s="0">
        <f>IF(H2282="1)",1,IF(H2282="2)",2,IF(H2282="3)",3,IF(H2282="4)",4,IF(H2282="5)",5,IF(H2282="6)",6,IF(H2282="7)",7,IF(H2282="8)",8,0))))))))</f>
        <v/>
      </c>
      <c r="L2283" s="0">
        <f>IF(H2282="1)",J2282,IF(H2282="2)",J2282,IF(H2282="3)",J2282,IF(H2282="4)",J2282,IF(H2282="5)",J2282,IF(H2282="6)",J2282,IF(H2282="7)",J2282,IF(H2282="8)",J2282,0))))))))</f>
        <v/>
      </c>
    </row>
    <row r="2284">
      <c r="A2284" s="0" t="inlineStr">
        <is>
          <t>New</t>
        </is>
      </c>
      <c r="B2284" s="0" t="inlineStr">
        <is>
          <t>Item</t>
        </is>
      </c>
      <c r="C2284" s="0" t="inlineStr">
        <is>
          <t>Acquired</t>
        </is>
      </c>
      <c r="D2284" s="0" t="inlineStr">
        <is>
          <t>:</t>
        </is>
      </c>
      <c r="E2284" s="0" t="inlineStr">
        <is>
          <t>45.00K</t>
        </is>
      </c>
      <c r="F2284" s="0" t="inlineStr">
        <is>
          <t>(3,</t>
        </is>
      </c>
      <c r="G2284" s="0" t="inlineStr">
        <is>
          <t>24)</t>
        </is>
      </c>
      <c r="K2284" s="0">
        <f>IF(H2283="1)",1,IF(H2283="2)",2,IF(H2283="3)",3,IF(H2283="4)",4,IF(H2283="5)",5,IF(H2283="6)",6,IF(H2283="7)",7,IF(H2283="8)",8,0))))))))</f>
        <v/>
      </c>
      <c r="L2284" s="0">
        <f>IF(H2283="1)",J2283,IF(H2283="2)",J2283,IF(H2283="3)",J2283,IF(H2283="4)",J2283,IF(H2283="5)",J2283,IF(H2283="6)",J2283,IF(H2283="7)",J2283,IF(H2283="8)",J2283,0))))))))</f>
        <v/>
      </c>
    </row>
    <row r="2285">
      <c r="A2285" s="0" t="inlineStr">
        <is>
          <t>New</t>
        </is>
      </c>
      <c r="B2285" s="0" t="inlineStr">
        <is>
          <t>Item</t>
        </is>
      </c>
      <c r="C2285" s="0" t="inlineStr">
        <is>
          <t>Acquired</t>
        </is>
      </c>
      <c r="D2285" s="0" t="inlineStr">
        <is>
          <t>:</t>
        </is>
      </c>
      <c r="E2285" s="0" t="inlineStr">
        <is>
          <t>87.50K</t>
        </is>
      </c>
      <c r="F2285" s="0" t="inlineStr">
        <is>
          <t>(2,</t>
        </is>
      </c>
      <c r="G2285" s="0" t="inlineStr">
        <is>
          <t>24)</t>
        </is>
      </c>
      <c r="K2285" s="0">
        <f>IF(H2284="1)",1,IF(H2284="2)",2,IF(H2284="3)",3,IF(H2284="4)",4,IF(H2284="5)",5,IF(H2284="6)",6,IF(H2284="7)",7,IF(H2284="8)",8,0))))))))</f>
        <v/>
      </c>
      <c r="L2285" s="0">
        <f>IF(H2284="1)",J2284,IF(H2284="2)",J2284,IF(H2284="3)",J2284,IF(H2284="4)",J2284,IF(H2284="5)",J2284,IF(H2284="6)",J2284,IF(H2284="7)",J2284,IF(H2284="8)",J2284,0))))))))</f>
        <v/>
      </c>
    </row>
    <row r="2286">
      <c r="A2286" s="0" t="inlineStr">
        <is>
          <t>New</t>
        </is>
      </c>
      <c r="B2286" s="0" t="inlineStr">
        <is>
          <t>Item</t>
        </is>
      </c>
      <c r="C2286" s="0" t="inlineStr">
        <is>
          <t>Acquired</t>
        </is>
      </c>
      <c r="D2286" s="0" t="inlineStr">
        <is>
          <t>:</t>
        </is>
      </c>
      <c r="E2286" s="0" t="inlineStr">
        <is>
          <t>87.50K</t>
        </is>
      </c>
      <c r="F2286" s="0" t="inlineStr">
        <is>
          <t>(2,</t>
        </is>
      </c>
      <c r="G2286" s="0" t="inlineStr">
        <is>
          <t>7)</t>
        </is>
      </c>
      <c r="K2286" s="0">
        <f>IF(H2285="1)",1,IF(H2285="2)",2,IF(H2285="3)",3,IF(H2285="4)",4,IF(H2285="5)",5,IF(H2285="6)",6,IF(H2285="7)",7,IF(H2285="8)",8,0))))))))</f>
        <v/>
      </c>
      <c r="L2286" s="0">
        <f>IF(H2285="1)",J2285,IF(H2285="2)",J2285,IF(H2285="3)",J2285,IF(H2285="4)",J2285,IF(H2285="5)",J2285,IF(H2285="6)",J2285,IF(H2285="7)",J2285,IF(H2285="8)",J2285,0))))))))</f>
        <v/>
      </c>
    </row>
    <row r="2287">
      <c r="A2287" s="0" t="inlineStr">
        <is>
          <t>New</t>
        </is>
      </c>
      <c r="B2287" s="0" t="inlineStr">
        <is>
          <t>Item</t>
        </is>
      </c>
      <c r="C2287" s="0" t="inlineStr">
        <is>
          <t>Acquired</t>
        </is>
      </c>
      <c r="D2287" s="0" t="inlineStr">
        <is>
          <t>:</t>
        </is>
      </c>
      <c r="E2287" s="0" t="inlineStr">
        <is>
          <t>70.00K</t>
        </is>
      </c>
      <c r="F2287" s="0" t="inlineStr">
        <is>
          <t>(1,</t>
        </is>
      </c>
      <c r="G2287" s="0" t="inlineStr">
        <is>
          <t>3)</t>
        </is>
      </c>
      <c r="K2287" s="0">
        <f>IF(H2286="1)",1,IF(H2286="2)",2,IF(H2286="3)",3,IF(H2286="4)",4,IF(H2286="5)",5,IF(H2286="6)",6,IF(H2286="7)",7,IF(H2286="8)",8,0))))))))</f>
        <v/>
      </c>
      <c r="L2287" s="0">
        <f>IF(H2286="1)",J2286,IF(H2286="2)",J2286,IF(H2286="3)",J2286,IF(H2286="4)",J2286,IF(H2286="5)",J2286,IF(H2286="6)",J2286,IF(H2286="7)",J2286,IF(H2286="8)",J2286,0))))))))</f>
        <v/>
      </c>
    </row>
    <row r="2288">
      <c r="A2288" s="0" t="inlineStr">
        <is>
          <t>New</t>
        </is>
      </c>
      <c r="B2288" s="0" t="inlineStr">
        <is>
          <t>Item</t>
        </is>
      </c>
      <c r="C2288" s="0" t="inlineStr">
        <is>
          <t>Acquired</t>
        </is>
      </c>
      <c r="D2288" s="0" t="inlineStr">
        <is>
          <t>:</t>
        </is>
      </c>
      <c r="E2288" s="0" t="inlineStr">
        <is>
          <t>30.00K</t>
        </is>
      </c>
      <c r="F2288" s="0" t="inlineStr">
        <is>
          <t>(1,</t>
        </is>
      </c>
      <c r="G2288" s="0" t="inlineStr">
        <is>
          <t>1)</t>
        </is>
      </c>
      <c r="K2288" s="0">
        <f>IF(H2287="1)",1,IF(H2287="2)",2,IF(H2287="3)",3,IF(H2287="4)",4,IF(H2287="5)",5,IF(H2287="6)",6,IF(H2287="7)",7,IF(H2287="8)",8,0))))))))</f>
        <v/>
      </c>
      <c r="L2288" s="0">
        <f>IF(H2287="1)",J2287,IF(H2287="2)",J2287,IF(H2287="3)",J2287,IF(H2287="4)",J2287,IF(H2287="5)",J2287,IF(H2287="6)",J2287,IF(H2287="7)",J2287,IF(H2287="8)",J2287,0))))))))</f>
        <v/>
      </c>
    </row>
    <row r="2289">
      <c r="A2289" s="0" t="inlineStr">
        <is>
          <t>New</t>
        </is>
      </c>
      <c r="B2289" s="0" t="inlineStr">
        <is>
          <t>Item</t>
        </is>
      </c>
      <c r="C2289" s="0" t="inlineStr">
        <is>
          <t>Acquired</t>
        </is>
      </c>
      <c r="D2289" s="0" t="inlineStr">
        <is>
          <t>:</t>
        </is>
      </c>
      <c r="E2289" s="0" t="inlineStr">
        <is>
          <t>60.00K</t>
        </is>
      </c>
      <c r="F2289" s="0" t="inlineStr">
        <is>
          <t>(4,</t>
        </is>
      </c>
      <c r="G2289" s="0" t="inlineStr">
        <is>
          <t>14)</t>
        </is>
      </c>
      <c r="K2289" s="0">
        <f>IF(H2288="1)",1,IF(H2288="2)",2,IF(H2288="3)",3,IF(H2288="4)",4,IF(H2288="5)",5,IF(H2288="6)",6,IF(H2288="7)",7,IF(H2288="8)",8,0))))))))</f>
        <v/>
      </c>
      <c r="L2289" s="0">
        <f>IF(H2288="1)",J2288,IF(H2288="2)",J2288,IF(H2288="3)",J2288,IF(H2288="4)",J2288,IF(H2288="5)",J2288,IF(H2288="6)",J2288,IF(H2288="7)",J2288,IF(H2288="8)",J2288,0))))))))</f>
        <v/>
      </c>
    </row>
    <row r="2290">
      <c r="A2290" s="0" t="inlineStr">
        <is>
          <t>New</t>
        </is>
      </c>
      <c r="B2290" s="0" t="inlineStr">
        <is>
          <t>Item</t>
        </is>
      </c>
      <c r="C2290" s="0" t="inlineStr">
        <is>
          <t>Acquired</t>
        </is>
      </c>
      <c r="D2290" s="0" t="inlineStr">
        <is>
          <t>:</t>
        </is>
      </c>
      <c r="E2290" s="0" t="inlineStr">
        <is>
          <t>210.00K</t>
        </is>
      </c>
      <c r="F2290" s="0" t="inlineStr">
        <is>
          <t>(7,</t>
        </is>
      </c>
      <c r="G2290" s="0" t="inlineStr">
        <is>
          <t>16)</t>
        </is>
      </c>
      <c r="K2290" s="0">
        <f>IF(H2289="1)",1,IF(H2289="2)",2,IF(H2289="3)",3,IF(H2289="4)",4,IF(H2289="5)",5,IF(H2289="6)",6,IF(H2289="7)",7,IF(H2289="8)",8,0))))))))</f>
        <v/>
      </c>
      <c r="L2290" s="0">
        <f>IF(H2289="1)",J2289,IF(H2289="2)",J2289,IF(H2289="3)",J2289,IF(H2289="4)",J2289,IF(H2289="5)",J2289,IF(H2289="6)",J2289,IF(H2289="7)",J2289,IF(H2289="8)",J2289,0))))))))</f>
        <v/>
      </c>
    </row>
    <row r="2291">
      <c r="A2291" s="0" t="inlineStr">
        <is>
          <t>New</t>
        </is>
      </c>
      <c r="B2291" s="0" t="inlineStr">
        <is>
          <t>Item</t>
        </is>
      </c>
      <c r="C2291" s="0" t="inlineStr">
        <is>
          <t>Acquired</t>
        </is>
      </c>
      <c r="D2291" s="0" t="inlineStr">
        <is>
          <t>:</t>
        </is>
      </c>
      <c r="E2291" s="0" t="inlineStr">
        <is>
          <t>37.50K</t>
        </is>
      </c>
      <c r="F2291" s="0" t="inlineStr">
        <is>
          <t>(2,</t>
        </is>
      </c>
      <c r="G2291" s="0" t="inlineStr">
        <is>
          <t>3)</t>
        </is>
      </c>
      <c r="K2291" s="0">
        <f>IF(H2290="1)",1,IF(H2290="2)",2,IF(H2290="3)",3,IF(H2290="4)",4,IF(H2290="5)",5,IF(H2290="6)",6,IF(H2290="7)",7,IF(H2290="8)",8,0))))))))</f>
        <v/>
      </c>
      <c r="L2291" s="0">
        <f>IF(H2290="1)",J2290,IF(H2290="2)",J2290,IF(H2290="3)",J2290,IF(H2290="4)",J2290,IF(H2290="5)",J2290,IF(H2290="6)",J2290,IF(H2290="7)",J2290,IF(H2290="8)",J2290,0))))))))</f>
        <v/>
      </c>
    </row>
    <row r="2292">
      <c r="A2292" s="0" t="inlineStr">
        <is>
          <t>New</t>
        </is>
      </c>
      <c r="B2292" s="0" t="inlineStr">
        <is>
          <t>Item</t>
        </is>
      </c>
      <c r="C2292" s="0" t="inlineStr">
        <is>
          <t>Acquired</t>
        </is>
      </c>
      <c r="D2292" s="0" t="inlineStr">
        <is>
          <t>:</t>
        </is>
      </c>
      <c r="E2292" s="0" t="inlineStr">
        <is>
          <t>150.00K</t>
        </is>
      </c>
      <c r="F2292" s="0" t="inlineStr">
        <is>
          <t>(7,</t>
        </is>
      </c>
      <c r="G2292" s="0" t="inlineStr">
        <is>
          <t>4)</t>
        </is>
      </c>
      <c r="K2292" s="0">
        <f>IF(H2291="1)",1,IF(H2291="2)",2,IF(H2291="3)",3,IF(H2291="4)",4,IF(H2291="5)",5,IF(H2291="6)",6,IF(H2291="7)",7,IF(H2291="8)",8,0))))))))</f>
        <v/>
      </c>
      <c r="L2292" s="0">
        <f>IF(H2291="1)",J2291,IF(H2291="2)",J2291,IF(H2291="3)",J2291,IF(H2291="4)",J2291,IF(H2291="5)",J2291,IF(H2291="6)",J2291,IF(H2291="7)",J2291,IF(H2291="8)",J2291,0))))))))</f>
        <v/>
      </c>
    </row>
    <row r="2293">
      <c r="A2293" s="0" t="inlineStr">
        <is>
          <t>New</t>
        </is>
      </c>
      <c r="B2293" s="0" t="inlineStr">
        <is>
          <t>Item</t>
        </is>
      </c>
      <c r="C2293" s="0" t="inlineStr">
        <is>
          <t>Acquired</t>
        </is>
      </c>
      <c r="D2293" s="0" t="inlineStr">
        <is>
          <t>:</t>
        </is>
      </c>
      <c r="E2293" s="0" t="inlineStr">
        <is>
          <t>37.50K</t>
        </is>
      </c>
      <c r="F2293" s="0" t="inlineStr">
        <is>
          <t>(2,</t>
        </is>
      </c>
      <c r="G2293" s="0" t="inlineStr">
        <is>
          <t>19)</t>
        </is>
      </c>
      <c r="K2293" s="0">
        <f>IF(H2292="1)",1,IF(H2292="2)",2,IF(H2292="3)",3,IF(H2292="4)",4,IF(H2292="5)",5,IF(H2292="6)",6,IF(H2292="7)",7,IF(H2292="8)",8,0))))))))</f>
        <v/>
      </c>
      <c r="L2293" s="0">
        <f>IF(H2292="1)",J2292,IF(H2292="2)",J2292,IF(H2292="3)",J2292,IF(H2292="4)",J2292,IF(H2292="5)",J2292,IF(H2292="6)",J2292,IF(H2292="7)",J2292,IF(H2292="8)",J2292,0))))))))</f>
        <v/>
      </c>
    </row>
    <row r="2294">
      <c r="A2294" s="0" t="inlineStr">
        <is>
          <t>New</t>
        </is>
      </c>
      <c r="B2294" s="0" t="inlineStr">
        <is>
          <t>Item</t>
        </is>
      </c>
      <c r="C2294" s="0" t="inlineStr">
        <is>
          <t>Acquired</t>
        </is>
      </c>
      <c r="D2294" s="0" t="inlineStr">
        <is>
          <t>:</t>
        </is>
      </c>
      <c r="E2294" s="0" t="inlineStr">
        <is>
          <t>Minor</t>
        </is>
      </c>
      <c r="F2294" s="0" t="inlineStr">
        <is>
          <t>(1,</t>
        </is>
      </c>
      <c r="G2294" s="0" t="inlineStr">
        <is>
          <t>5)</t>
        </is>
      </c>
      <c r="K2294" s="0">
        <f>IF(H2293="1)",1,IF(H2293="2)",2,IF(H2293="3)",3,IF(H2293="4)",4,IF(H2293="5)",5,IF(H2293="6)",6,IF(H2293="7)",7,IF(H2293="8)",8,0))))))))</f>
        <v/>
      </c>
      <c r="L2294" s="0">
        <f>IF(H2293="1)",J2293,IF(H2293="2)",J2293,IF(H2293="3)",J2293,IF(H2293="4)",J2293,IF(H2293="5)",J2293,IF(H2293="6)",J2293,IF(H2293="7)",J2293,IF(H2293="8)",J2293,0))))))))</f>
        <v/>
      </c>
    </row>
    <row r="2295">
      <c r="A2295" s="0" t="inlineStr">
        <is>
          <t>New</t>
        </is>
      </c>
      <c r="B2295" s="0" t="inlineStr">
        <is>
          <t>Item</t>
        </is>
      </c>
      <c r="C2295" s="0" t="inlineStr">
        <is>
          <t>Acquired</t>
        </is>
      </c>
      <c r="D2295" s="0" t="inlineStr">
        <is>
          <t>:</t>
        </is>
      </c>
      <c r="E2295" s="0" t="inlineStr">
        <is>
          <t>62.50K</t>
        </is>
      </c>
      <c r="F2295" s="0" t="inlineStr">
        <is>
          <t>(2,</t>
        </is>
      </c>
      <c r="G2295" s="0" t="inlineStr">
        <is>
          <t>23)</t>
        </is>
      </c>
      <c r="K2295" s="0">
        <f>IF(H2294="1)",1,IF(H2294="2)",2,IF(H2294="3)",3,IF(H2294="4)",4,IF(H2294="5)",5,IF(H2294="6)",6,IF(H2294="7)",7,IF(H2294="8)",8,0))))))))</f>
        <v/>
      </c>
      <c r="L2295" s="0">
        <f>IF(H2294="1)",J2294,IF(H2294="2)",J2294,IF(H2294="3)",J2294,IF(H2294="4)",J2294,IF(H2294="5)",J2294,IF(H2294="6)",J2294,IF(H2294="7)",J2294,IF(H2294="8)",J2294,0))))))))</f>
        <v/>
      </c>
    </row>
    <row r="2296">
      <c r="A2296" s="0" t="inlineStr">
        <is>
          <t>New</t>
        </is>
      </c>
      <c r="B2296" s="0" t="inlineStr">
        <is>
          <t>Item</t>
        </is>
      </c>
      <c r="C2296" s="0" t="inlineStr">
        <is>
          <t>Acquired</t>
        </is>
      </c>
      <c r="D2296" s="0" t="inlineStr">
        <is>
          <t>:</t>
        </is>
      </c>
      <c r="E2296" s="0" t="inlineStr">
        <is>
          <t>105.00K</t>
        </is>
      </c>
      <c r="F2296" s="0" t="inlineStr">
        <is>
          <t>(3,</t>
        </is>
      </c>
      <c r="G2296" s="0" t="inlineStr">
        <is>
          <t>2)</t>
        </is>
      </c>
      <c r="K2296" s="0">
        <f>IF(H2295="1)",1,IF(H2295="2)",2,IF(H2295="3)",3,IF(H2295="4)",4,IF(H2295="5)",5,IF(H2295="6)",6,IF(H2295="7)",7,IF(H2295="8)",8,0))))))))</f>
        <v/>
      </c>
      <c r="L2296" s="0">
        <f>IF(H2295="1)",J2295,IF(H2295="2)",J2295,IF(H2295="3)",J2295,IF(H2295="4)",J2295,IF(H2295="5)",J2295,IF(H2295="6)",J2295,IF(H2295="7)",J2295,IF(H2295="8)",J2295,0))))))))</f>
        <v/>
      </c>
    </row>
    <row r="2297">
      <c r="A2297" s="0" t="inlineStr">
        <is>
          <t>New</t>
        </is>
      </c>
      <c r="B2297" s="0" t="inlineStr">
        <is>
          <t>Item</t>
        </is>
      </c>
      <c r="C2297" s="0" t="inlineStr">
        <is>
          <t>Acquired</t>
        </is>
      </c>
      <c r="D2297" s="0" t="inlineStr">
        <is>
          <t>:</t>
        </is>
      </c>
      <c r="E2297" s="0" t="inlineStr">
        <is>
          <t>280.00K</t>
        </is>
      </c>
      <c r="F2297" s="0" t="inlineStr">
        <is>
          <t>(8,</t>
        </is>
      </c>
      <c r="G2297" s="0" t="inlineStr">
        <is>
          <t>1)</t>
        </is>
      </c>
      <c r="K2297" s="0">
        <f>IF(H2296="1)",1,IF(H2296="2)",2,IF(H2296="3)",3,IF(H2296="4)",4,IF(H2296="5)",5,IF(H2296="6)",6,IF(H2296="7)",7,IF(H2296="8)",8,0))))))))</f>
        <v/>
      </c>
      <c r="L2297" s="0">
        <f>IF(H2296="1)",J2296,IF(H2296="2)",J2296,IF(H2296="3)",J2296,IF(H2296="4)",J2296,IF(H2296="5)",J2296,IF(H2296="6)",J2296,IF(H2296="7)",J2296,IF(H2296="8)",J2296,0))))))))</f>
        <v/>
      </c>
    </row>
    <row r="2298">
      <c r="A2298" s="0" t="inlineStr">
        <is>
          <t>New</t>
        </is>
      </c>
      <c r="B2298" s="0" t="inlineStr">
        <is>
          <t>Item</t>
        </is>
      </c>
      <c r="C2298" s="0" t="inlineStr">
        <is>
          <t>Acquired</t>
        </is>
      </c>
      <c r="D2298" s="0" t="inlineStr">
        <is>
          <t>:</t>
        </is>
      </c>
      <c r="E2298" s="0" t="inlineStr">
        <is>
          <t>210.00K</t>
        </is>
      </c>
      <c r="F2298" s="0" t="inlineStr">
        <is>
          <t>(7,</t>
        </is>
      </c>
      <c r="G2298" s="0" t="inlineStr">
        <is>
          <t>9)</t>
        </is>
      </c>
      <c r="K2298" s="0">
        <f>IF(H2297="1)",1,IF(H2297="2)",2,IF(H2297="3)",3,IF(H2297="4)",4,IF(H2297="5)",5,IF(H2297="6)",6,IF(H2297="7)",7,IF(H2297="8)",8,0))))))))</f>
        <v/>
      </c>
      <c r="L2298" s="0">
        <f>IF(H2297="1)",J2297,IF(H2297="2)",J2297,IF(H2297="3)",J2297,IF(H2297="4)",J2297,IF(H2297="5)",J2297,IF(H2297="6)",J2297,IF(H2297="7)",J2297,IF(H2297="8)",J2297,0))))))))</f>
        <v/>
      </c>
    </row>
    <row r="2299">
      <c r="A2299" s="0" t="inlineStr">
        <is>
          <t>Line</t>
        </is>
      </c>
      <c r="B2299" s="0" t="inlineStr">
        <is>
          <t>Prize</t>
        </is>
      </c>
      <c r="C2299" s="0" t="inlineStr">
        <is>
          <t>Acquired</t>
        </is>
      </c>
      <c r="D2299" s="0" t="inlineStr">
        <is>
          <t>:</t>
        </is>
      </c>
      <c r="E2299" s="0" t="inlineStr">
        <is>
          <t>630.00K</t>
        </is>
      </c>
      <c r="F2299" s="0" t="inlineStr">
        <is>
          <t>(Stage</t>
        </is>
      </c>
      <c r="G2299" s="0" t="inlineStr">
        <is>
          <t>:</t>
        </is>
      </c>
      <c r="H2299" s="0" t="inlineStr">
        <is>
          <t>7)</t>
        </is>
      </c>
      <c r="I2299" s="0" t="inlineStr">
        <is>
          <t>-</t>
        </is>
      </c>
      <c r="J2299" s="0" t="n">
        <v>630000</v>
      </c>
      <c r="K2299" s="0">
        <f>IF(H2298="1)",1,IF(H2298="2)",2,IF(H2298="3)",3,IF(H2298="4)",4,IF(H2298="5)",5,IF(H2298="6)",6,IF(H2298="7)",7,IF(H2298="8)",8,0))))))))</f>
        <v/>
      </c>
      <c r="L2299" s="0">
        <f>IF(H2298="1)",J2298,IF(H2298="2)",J2298,IF(H2298="3)",J2298,IF(H2298="4)",J2298,IF(H2298="5)",J2298,IF(H2298="6)",J2298,IF(H2298="7)",J2298,IF(H2298="8)",J2298,0))))))))</f>
        <v/>
      </c>
    </row>
    <row r="2300">
      <c r="A2300" s="0" t="inlineStr">
        <is>
          <t>Clear</t>
        </is>
      </c>
      <c r="B2300" s="0" t="inlineStr">
        <is>
          <t>Gem</t>
        </is>
      </c>
      <c r="C2300" s="0" t="inlineStr">
        <is>
          <t>Acquired</t>
        </is>
      </c>
      <c r="D2300" s="0" t="inlineStr">
        <is>
          <t>:</t>
        </is>
      </c>
      <c r="E2300" s="0" t="n">
        <v>14000</v>
      </c>
      <c r="F2300" s="0" t="inlineStr">
        <is>
          <t>-&gt;</t>
        </is>
      </c>
      <c r="G2300" s="0" t="n">
        <v>14100</v>
      </c>
      <c r="H2300" s="0" t="inlineStr">
        <is>
          <t>(Stage</t>
        </is>
      </c>
      <c r="I2300" s="0" t="inlineStr">
        <is>
          <t>:</t>
        </is>
      </c>
      <c r="J2300" s="0" t="inlineStr">
        <is>
          <t>7)</t>
        </is>
      </c>
      <c r="K2300" s="0">
        <f>IF(H2299="1)",1,IF(H2299="2)",2,IF(H2299="3)",3,IF(H2299="4)",4,IF(H2299="5)",5,IF(H2299="6)",6,IF(H2299="7)",7,IF(H2299="8)",8,0))))))))</f>
        <v/>
      </c>
      <c r="L2300" s="0">
        <f>IF(H2299="1)",J2299,IF(H2299="2)",J2299,IF(H2299="3)",J2299,IF(H2299="4)",J2299,IF(H2299="5)",J2299,IF(H2299="6)",J2299,IF(H2299="7)",J2299,IF(H2299="8)",J2299,0))))))))</f>
        <v/>
      </c>
    </row>
    <row r="2301">
      <c r="A2301" s="0" t="inlineStr">
        <is>
          <t>New</t>
        </is>
      </c>
      <c r="B2301" s="0" t="inlineStr">
        <is>
          <t>Item</t>
        </is>
      </c>
      <c r="C2301" s="0" t="inlineStr">
        <is>
          <t>Acquired</t>
        </is>
      </c>
      <c r="D2301" s="0" t="inlineStr">
        <is>
          <t>:</t>
        </is>
      </c>
      <c r="E2301" s="0" t="inlineStr">
        <is>
          <t>67.50K</t>
        </is>
      </c>
      <c r="F2301" s="0" t="inlineStr">
        <is>
          <t>(5,</t>
        </is>
      </c>
      <c r="G2301" s="0" t="inlineStr">
        <is>
          <t>15)</t>
        </is>
      </c>
      <c r="K2301" s="0">
        <f>IF(H2300="1)",1,IF(H2300="2)",2,IF(H2300="3)",3,IF(H2300="4)",4,IF(H2300="5)",5,IF(H2300="6)",6,IF(H2300="7)",7,IF(H2300="8)",8,0))))))))</f>
        <v/>
      </c>
      <c r="L2301" s="0">
        <f>IF(H2300="1)",J2300,IF(H2300="2)",J2300,IF(H2300="3)",J2300,IF(H2300="4)",J2300,IF(H2300="5)",J2300,IF(H2300="6)",J2300,IF(H2300="7)",J2300,IF(H2300="8)",J2300,0))))))))</f>
        <v/>
      </c>
    </row>
    <row r="2302">
      <c r="A2302" s="0" t="inlineStr">
        <is>
          <t>New</t>
        </is>
      </c>
      <c r="B2302" s="0" t="inlineStr">
        <is>
          <t>Item</t>
        </is>
      </c>
      <c r="C2302" s="0" t="inlineStr">
        <is>
          <t>Acquired</t>
        </is>
      </c>
      <c r="D2302" s="0" t="inlineStr">
        <is>
          <t>:</t>
        </is>
      </c>
      <c r="E2302" s="0" t="inlineStr">
        <is>
          <t>175.00K</t>
        </is>
      </c>
      <c r="F2302" s="0" t="inlineStr">
        <is>
          <t>(6,</t>
        </is>
      </c>
      <c r="G2302" s="0" t="inlineStr">
        <is>
          <t>12)</t>
        </is>
      </c>
      <c r="K2302" s="0">
        <f>IF(H2301="1)",1,IF(H2301="2)",2,IF(H2301="3)",3,IF(H2301="4)",4,IF(H2301="5)",5,IF(H2301="6)",6,IF(H2301="7)",7,IF(H2301="8)",8,0))))))))</f>
        <v/>
      </c>
      <c r="L2302" s="0">
        <f>IF(H2301="1)",J2301,IF(H2301="2)",J2301,IF(H2301="3)",J2301,IF(H2301="4)",J2301,IF(H2301="5)",J2301,IF(H2301="6)",J2301,IF(H2301="7)",J2301,IF(H2301="8)",J2301,0))))))))</f>
        <v/>
      </c>
    </row>
    <row r="2303">
      <c r="A2303" s="0" t="inlineStr">
        <is>
          <t>New</t>
        </is>
      </c>
      <c r="B2303" s="0" t="inlineStr">
        <is>
          <t>Item</t>
        </is>
      </c>
      <c r="C2303" s="0" t="inlineStr">
        <is>
          <t>Acquired</t>
        </is>
      </c>
      <c r="D2303" s="0" t="inlineStr">
        <is>
          <t>:</t>
        </is>
      </c>
      <c r="E2303" s="0" t="inlineStr">
        <is>
          <t>67.50K</t>
        </is>
      </c>
      <c r="F2303" s="0" t="inlineStr">
        <is>
          <t>(5,</t>
        </is>
      </c>
      <c r="G2303" s="0" t="inlineStr">
        <is>
          <t>20)</t>
        </is>
      </c>
      <c r="K2303" s="0">
        <f>IF(H2302="1)",1,IF(H2302="2)",2,IF(H2302="3)",3,IF(H2302="4)",4,IF(H2302="5)",5,IF(H2302="6)",6,IF(H2302="7)",7,IF(H2302="8)",8,0))))))))</f>
        <v/>
      </c>
      <c r="L2303" s="0">
        <f>IF(H2302="1)",J2302,IF(H2302="2)",J2302,IF(H2302="3)",J2302,IF(H2302="4)",J2302,IF(H2302="5)",J2302,IF(H2302="6)",J2302,IF(H2302="7)",J2302,IF(H2302="8)",J2302,0))))))))</f>
        <v/>
      </c>
    </row>
    <row r="2304">
      <c r="A2304" s="0" t="inlineStr">
        <is>
          <t>New</t>
        </is>
      </c>
      <c r="B2304" s="0" t="inlineStr">
        <is>
          <t>Item</t>
        </is>
      </c>
      <c r="C2304" s="0" t="inlineStr">
        <is>
          <t>Acquired</t>
        </is>
      </c>
      <c r="D2304" s="0" t="inlineStr">
        <is>
          <t>:</t>
        </is>
      </c>
      <c r="E2304" s="0" t="inlineStr">
        <is>
          <t>75.00K</t>
        </is>
      </c>
      <c r="F2304" s="0" t="inlineStr">
        <is>
          <t>(4,</t>
        </is>
      </c>
      <c r="G2304" s="0" t="inlineStr">
        <is>
          <t>2)</t>
        </is>
      </c>
      <c r="K2304" s="0">
        <f>IF(H2303="1)",1,IF(H2303="2)",2,IF(H2303="3)",3,IF(H2303="4)",4,IF(H2303="5)",5,IF(H2303="6)",6,IF(H2303="7)",7,IF(H2303="8)",8,0))))))))</f>
        <v/>
      </c>
      <c r="L2304" s="0">
        <f>IF(H2303="1)",J2303,IF(H2303="2)",J2303,IF(H2303="3)",J2303,IF(H2303="4)",J2303,IF(H2303="5)",J2303,IF(H2303="6)",J2303,IF(H2303="7)",J2303,IF(H2303="8)",J2303,0))))))))</f>
        <v/>
      </c>
    </row>
    <row r="2305">
      <c r="A2305" s="0" t="inlineStr">
        <is>
          <t>New</t>
        </is>
      </c>
      <c r="B2305" s="0" t="inlineStr">
        <is>
          <t>Item</t>
        </is>
      </c>
      <c r="C2305" s="0" t="inlineStr">
        <is>
          <t>Acquired</t>
        </is>
      </c>
      <c r="D2305" s="0" t="inlineStr">
        <is>
          <t>:</t>
        </is>
      </c>
      <c r="E2305" s="0" t="inlineStr">
        <is>
          <t>50.00K</t>
        </is>
      </c>
      <c r="F2305" s="0" t="inlineStr">
        <is>
          <t>(1,</t>
        </is>
      </c>
      <c r="G2305" s="0" t="inlineStr">
        <is>
          <t>4)</t>
        </is>
      </c>
      <c r="K2305" s="0">
        <f>IF(H2304="1)",1,IF(H2304="2)",2,IF(H2304="3)",3,IF(H2304="4)",4,IF(H2304="5)",5,IF(H2304="6)",6,IF(H2304="7)",7,IF(H2304="8)",8,0))))))))</f>
        <v/>
      </c>
      <c r="L2305" s="0">
        <f>IF(H2304="1)",J2304,IF(H2304="2)",J2304,IF(H2304="3)",J2304,IF(H2304="4)",J2304,IF(H2304="5)",J2304,IF(H2304="6)",J2304,IF(H2304="7)",J2304,IF(H2304="8)",J2304,0))))))))</f>
        <v/>
      </c>
    </row>
    <row r="2306">
      <c r="A2306" s="0" t="inlineStr">
        <is>
          <t>Line</t>
        </is>
      </c>
      <c r="B2306" s="0" t="inlineStr">
        <is>
          <t>Prize</t>
        </is>
      </c>
      <c r="C2306" s="0" t="inlineStr">
        <is>
          <t>Acquired</t>
        </is>
      </c>
      <c r="D2306" s="0" t="inlineStr">
        <is>
          <t>:</t>
        </is>
      </c>
      <c r="E2306" s="0" t="inlineStr">
        <is>
          <t>750.00K</t>
        </is>
      </c>
      <c r="F2306" s="0" t="inlineStr">
        <is>
          <t>(Stage</t>
        </is>
      </c>
      <c r="G2306" s="0" t="inlineStr">
        <is>
          <t>:</t>
        </is>
      </c>
      <c r="H2306" s="0" t="inlineStr">
        <is>
          <t>1)</t>
        </is>
      </c>
      <c r="I2306" s="0" t="inlineStr">
        <is>
          <t>-</t>
        </is>
      </c>
      <c r="J2306" s="0" t="n">
        <v>750000</v>
      </c>
      <c r="K2306" s="0">
        <f>IF(H2305="1)",1,IF(H2305="2)",2,IF(H2305="3)",3,IF(H2305="4)",4,IF(H2305="5)",5,IF(H2305="6)",6,IF(H2305="7)",7,IF(H2305="8)",8,0))))))))</f>
        <v/>
      </c>
      <c r="L2306" s="0">
        <f>IF(H2305="1)",J2305,IF(H2305="2)",J2305,IF(H2305="3)",J2305,IF(H2305="4)",J2305,IF(H2305="5)",J2305,IF(H2305="6)",J2305,IF(H2305="7)",J2305,IF(H2305="8)",J2305,0))))))))</f>
        <v/>
      </c>
    </row>
    <row r="2307">
      <c r="A2307" s="0" t="inlineStr">
        <is>
          <t>Clear</t>
        </is>
      </c>
      <c r="B2307" s="0" t="inlineStr">
        <is>
          <t>Gem</t>
        </is>
      </c>
      <c r="C2307" s="0" t="inlineStr">
        <is>
          <t>Acquired</t>
        </is>
      </c>
      <c r="D2307" s="0" t="inlineStr">
        <is>
          <t>:</t>
        </is>
      </c>
      <c r="E2307" s="0" t="n">
        <v>14100</v>
      </c>
      <c r="F2307" s="0" t="inlineStr">
        <is>
          <t>-&gt;</t>
        </is>
      </c>
      <c r="G2307" s="0" t="n">
        <v>14200</v>
      </c>
      <c r="H2307" s="0" t="inlineStr">
        <is>
          <t>(Stage</t>
        </is>
      </c>
      <c r="I2307" s="0" t="inlineStr">
        <is>
          <t>:</t>
        </is>
      </c>
      <c r="J2307" s="0" t="inlineStr">
        <is>
          <t>1)</t>
        </is>
      </c>
      <c r="K2307" s="0">
        <f>IF(H2306="1)",1,IF(H2306="2)",2,IF(H2306="3)",3,IF(H2306="4)",4,IF(H2306="5)",5,IF(H2306="6)",6,IF(H2306="7)",7,IF(H2306="8)",8,0))))))))</f>
        <v/>
      </c>
      <c r="L2307" s="0">
        <f>IF(H2306="1)",J2306,IF(H2306="2)",J2306,IF(H2306="3)",J2306,IF(H2306="4)",J2306,IF(H2306="5)",J2306,IF(H2306="6)",J2306,IF(H2306="7)",J2306,IF(H2306="8)",J2306,0))))))))</f>
        <v/>
      </c>
    </row>
    <row r="2308">
      <c r="A2308" s="0" t="inlineStr">
        <is>
          <t>New</t>
        </is>
      </c>
      <c r="B2308" s="0" t="inlineStr">
        <is>
          <t>Item</t>
        </is>
      </c>
      <c r="C2308" s="0" t="inlineStr">
        <is>
          <t>Acquired</t>
        </is>
      </c>
      <c r="D2308" s="0" t="inlineStr">
        <is>
          <t>:</t>
        </is>
      </c>
      <c r="E2308" s="0" t="inlineStr">
        <is>
          <t>105.00K</t>
        </is>
      </c>
      <c r="F2308" s="0" t="inlineStr">
        <is>
          <t>(3,</t>
        </is>
      </c>
      <c r="G2308" s="0" t="inlineStr">
        <is>
          <t>4)</t>
        </is>
      </c>
      <c r="K2308" s="0">
        <f>IF(H2307="1)",1,IF(H2307="2)",2,IF(H2307="3)",3,IF(H2307="4)",4,IF(H2307="5)",5,IF(H2307="6)",6,IF(H2307="7)",7,IF(H2307="8)",8,0))))))))</f>
        <v/>
      </c>
      <c r="L2308" s="0">
        <f>IF(H2307="1)",J2307,IF(H2307="2)",J2307,IF(H2307="3)",J2307,IF(H2307="4)",J2307,IF(H2307="5)",J2307,IF(H2307="6)",J2307,IF(H2307="7)",J2307,IF(H2307="8)",J2307,0))))))))</f>
        <v/>
      </c>
    </row>
    <row r="2309">
      <c r="A2309" s="0" t="inlineStr">
        <is>
          <t>New</t>
        </is>
      </c>
      <c r="B2309" s="0" t="inlineStr">
        <is>
          <t>Item</t>
        </is>
      </c>
      <c r="C2309" s="0" t="inlineStr">
        <is>
          <t>Acquired</t>
        </is>
      </c>
      <c r="D2309" s="0" t="inlineStr">
        <is>
          <t>:</t>
        </is>
      </c>
      <c r="E2309" s="0" t="inlineStr">
        <is>
          <t>37.50K</t>
        </is>
      </c>
      <c r="F2309" s="0" t="inlineStr">
        <is>
          <t>(2,</t>
        </is>
      </c>
      <c r="G2309" s="0" t="inlineStr">
        <is>
          <t>8)</t>
        </is>
      </c>
      <c r="K2309" s="0">
        <f>IF(H2308="1)",1,IF(H2308="2)",2,IF(H2308="3)",3,IF(H2308="4)",4,IF(H2308="5)",5,IF(H2308="6)",6,IF(H2308="7)",7,IF(H2308="8)",8,0))))))))</f>
        <v/>
      </c>
      <c r="L2309" s="0">
        <f>IF(H2308="1)",J2308,IF(H2308="2)",J2308,IF(H2308="3)",J2308,IF(H2308="4)",J2308,IF(H2308="5)",J2308,IF(H2308="6)",J2308,IF(H2308="7)",J2308,IF(H2308="8)",J2308,0))))))))</f>
        <v/>
      </c>
    </row>
    <row r="2310">
      <c r="A2310" s="0" t="inlineStr">
        <is>
          <t>Line</t>
        </is>
      </c>
      <c r="B2310" s="0" t="inlineStr">
        <is>
          <t>Prize</t>
        </is>
      </c>
      <c r="C2310" s="0" t="inlineStr">
        <is>
          <t>Acquired</t>
        </is>
      </c>
      <c r="D2310" s="0" t="inlineStr">
        <is>
          <t>:</t>
        </is>
      </c>
      <c r="E2310" s="0" t="inlineStr">
        <is>
          <t>575.00K</t>
        </is>
      </c>
      <c r="F2310" s="0" t="inlineStr">
        <is>
          <t>(Stage</t>
        </is>
      </c>
      <c r="G2310" s="0" t="inlineStr">
        <is>
          <t>:</t>
        </is>
      </c>
      <c r="H2310" s="0" t="inlineStr">
        <is>
          <t>2)</t>
        </is>
      </c>
      <c r="I2310" s="0" t="inlineStr">
        <is>
          <t>-</t>
        </is>
      </c>
      <c r="J2310" s="0" t="n">
        <v>575000</v>
      </c>
      <c r="K2310" s="0">
        <f>IF(H2309="1)",1,IF(H2309="2)",2,IF(H2309="3)",3,IF(H2309="4)",4,IF(H2309="5)",5,IF(H2309="6)",6,IF(H2309="7)",7,IF(H2309="8)",8,0))))))))</f>
        <v/>
      </c>
      <c r="L2310" s="0">
        <f>IF(H2309="1)",J2309,IF(H2309="2)",J2309,IF(H2309="3)",J2309,IF(H2309="4)",J2309,IF(H2309="5)",J2309,IF(H2309="6)",J2309,IF(H2309="7)",J2309,IF(H2309="8)",J2309,0))))))))</f>
        <v/>
      </c>
    </row>
    <row r="2311">
      <c r="A2311" s="0" t="inlineStr">
        <is>
          <t>Clear</t>
        </is>
      </c>
      <c r="B2311" s="0" t="inlineStr">
        <is>
          <t>Gem</t>
        </is>
      </c>
      <c r="C2311" s="0" t="inlineStr">
        <is>
          <t>Acquired</t>
        </is>
      </c>
      <c r="D2311" s="0" t="inlineStr">
        <is>
          <t>:</t>
        </is>
      </c>
      <c r="E2311" s="0" t="n">
        <v>14200</v>
      </c>
      <c r="F2311" s="0" t="inlineStr">
        <is>
          <t>-&gt;</t>
        </is>
      </c>
      <c r="G2311" s="0" t="n">
        <v>14300</v>
      </c>
      <c r="H2311" s="0" t="inlineStr">
        <is>
          <t>(Stage</t>
        </is>
      </c>
      <c r="I2311" s="0" t="inlineStr">
        <is>
          <t>:</t>
        </is>
      </c>
      <c r="J2311" s="0" t="inlineStr">
        <is>
          <t>2)</t>
        </is>
      </c>
      <c r="K2311" s="0">
        <f>IF(H2310="1)",1,IF(H2310="2)",2,IF(H2310="3)",3,IF(H2310="4)",4,IF(H2310="5)",5,IF(H2310="6)",6,IF(H2310="7)",7,IF(H2310="8)",8,0))))))))</f>
        <v/>
      </c>
      <c r="L2311" s="0">
        <f>IF(H2310="1)",J2310,IF(H2310="2)",J2310,IF(H2310="3)",J2310,IF(H2310="4)",J2310,IF(H2310="5)",J2310,IF(H2310="6)",J2310,IF(H2310="7)",J2310,IF(H2310="8)",J2310,0))))))))</f>
        <v/>
      </c>
    </row>
    <row r="2312">
      <c r="A2312" s="0" t="inlineStr">
        <is>
          <t>New</t>
        </is>
      </c>
      <c r="B2312" s="0" t="inlineStr">
        <is>
          <t>Item</t>
        </is>
      </c>
      <c r="C2312" s="0" t="inlineStr">
        <is>
          <t>Acquired</t>
        </is>
      </c>
      <c r="D2312" s="0" t="inlineStr">
        <is>
          <t>:</t>
        </is>
      </c>
      <c r="E2312" s="0" t="inlineStr">
        <is>
          <t>Minor</t>
        </is>
      </c>
      <c r="F2312" s="0" t="inlineStr">
        <is>
          <t>(4,</t>
        </is>
      </c>
      <c r="G2312" s="0" t="inlineStr">
        <is>
          <t>10)</t>
        </is>
      </c>
      <c r="K2312" s="0">
        <f>IF(H2311="1)",1,IF(H2311="2)",2,IF(H2311="3)",3,IF(H2311="4)",4,IF(H2311="5)",5,IF(H2311="6)",6,IF(H2311="7)",7,IF(H2311="8)",8,0))))))))</f>
        <v/>
      </c>
      <c r="L2312" s="0">
        <f>IF(H2311="1)",J2311,IF(H2311="2)",J2311,IF(H2311="3)",J2311,IF(H2311="4)",J2311,IF(H2311="5)",J2311,IF(H2311="6)",J2311,IF(H2311="7)",J2311,IF(H2311="8)",J2311,0))))))))</f>
        <v/>
      </c>
    </row>
    <row r="2313">
      <c r="A2313" s="0" t="inlineStr">
        <is>
          <t>New</t>
        </is>
      </c>
      <c r="B2313" s="0" t="inlineStr">
        <is>
          <t>Item</t>
        </is>
      </c>
      <c r="C2313" s="0" t="inlineStr">
        <is>
          <t>Acquired</t>
        </is>
      </c>
      <c r="D2313" s="0" t="inlineStr">
        <is>
          <t>:</t>
        </is>
      </c>
      <c r="E2313" s="0" t="inlineStr">
        <is>
          <t>200.00K</t>
        </is>
      </c>
      <c r="F2313" s="0" t="inlineStr">
        <is>
          <t>(8,</t>
        </is>
      </c>
      <c r="G2313" s="0" t="inlineStr">
        <is>
          <t>15)</t>
        </is>
      </c>
      <c r="K2313" s="0">
        <f>IF(H2312="1)",1,IF(H2312="2)",2,IF(H2312="3)",3,IF(H2312="4)",4,IF(H2312="5)",5,IF(H2312="6)",6,IF(H2312="7)",7,IF(H2312="8)",8,0))))))))</f>
        <v/>
      </c>
      <c r="L2313" s="0">
        <f>IF(H2312="1)",J2312,IF(H2312="2)",J2312,IF(H2312="3)",J2312,IF(H2312="4)",J2312,IF(H2312="5)",J2312,IF(H2312="6)",J2312,IF(H2312="7)",J2312,IF(H2312="8)",J2312,0))))))))</f>
        <v/>
      </c>
    </row>
    <row r="2314">
      <c r="A2314" s="0" t="inlineStr">
        <is>
          <t>New</t>
        </is>
      </c>
      <c r="B2314" s="0" t="inlineStr">
        <is>
          <t>Item</t>
        </is>
      </c>
      <c r="C2314" s="0" t="inlineStr">
        <is>
          <t>Acquired</t>
        </is>
      </c>
      <c r="D2314" s="0" t="inlineStr">
        <is>
          <t>:</t>
        </is>
      </c>
      <c r="E2314" s="0" t="inlineStr">
        <is>
          <t>62.50K</t>
        </is>
      </c>
      <c r="F2314" s="0" t="inlineStr">
        <is>
          <t>(2,</t>
        </is>
      </c>
      <c r="G2314" s="0" t="inlineStr">
        <is>
          <t>21)</t>
        </is>
      </c>
      <c r="K2314" s="0">
        <f>IF(H2313="1)",1,IF(H2313="2)",2,IF(H2313="3)",3,IF(H2313="4)",4,IF(H2313="5)",5,IF(H2313="6)",6,IF(H2313="7)",7,IF(H2313="8)",8,0))))))))</f>
        <v/>
      </c>
      <c r="L2314" s="0">
        <f>IF(H2313="1)",J2313,IF(H2313="2)",J2313,IF(H2313="3)",J2313,IF(H2313="4)",J2313,IF(H2313="5)",J2313,IF(H2313="6)",J2313,IF(H2313="7)",J2313,IF(H2313="8)",J2313,0))))))))</f>
        <v/>
      </c>
    </row>
    <row r="2315">
      <c r="A2315" s="0" t="inlineStr">
        <is>
          <t>New</t>
        </is>
      </c>
      <c r="B2315" s="0" t="inlineStr">
        <is>
          <t>Item</t>
        </is>
      </c>
      <c r="C2315" s="0" t="inlineStr">
        <is>
          <t>Acquired</t>
        </is>
      </c>
      <c r="D2315" s="0" t="inlineStr">
        <is>
          <t>:</t>
        </is>
      </c>
      <c r="E2315" s="0" t="inlineStr">
        <is>
          <t>Mini</t>
        </is>
      </c>
      <c r="F2315" s="0" t="inlineStr">
        <is>
          <t>(1,</t>
        </is>
      </c>
      <c r="G2315" s="0" t="inlineStr">
        <is>
          <t>3)</t>
        </is>
      </c>
      <c r="K2315" s="0">
        <f>IF(H2314="1)",1,IF(H2314="2)",2,IF(H2314="3)",3,IF(H2314="4)",4,IF(H2314="5)",5,IF(H2314="6)",6,IF(H2314="7)",7,IF(H2314="8)",8,0))))))))</f>
        <v/>
      </c>
      <c r="L2315" s="0">
        <f>IF(H2314="1)",J2314,IF(H2314="2)",J2314,IF(H2314="3)",J2314,IF(H2314="4)",J2314,IF(H2314="5)",J2314,IF(H2314="6)",J2314,IF(H2314="7)",J2314,IF(H2314="8)",J2314,0))))))))</f>
        <v/>
      </c>
    </row>
    <row r="2316">
      <c r="A2316" s="0" t="inlineStr">
        <is>
          <t>New</t>
        </is>
      </c>
      <c r="B2316" s="0" t="inlineStr">
        <is>
          <t>Item</t>
        </is>
      </c>
      <c r="C2316" s="0" t="inlineStr">
        <is>
          <t>Acquired</t>
        </is>
      </c>
      <c r="D2316" s="0" t="inlineStr">
        <is>
          <t>:</t>
        </is>
      </c>
      <c r="E2316" s="0" t="inlineStr">
        <is>
          <t>30.00K</t>
        </is>
      </c>
      <c r="F2316" s="0" t="inlineStr">
        <is>
          <t>(1,</t>
        </is>
      </c>
      <c r="G2316" s="0" t="inlineStr">
        <is>
          <t>15)</t>
        </is>
      </c>
      <c r="K2316" s="0">
        <f>IF(H2315="1)",1,IF(H2315="2)",2,IF(H2315="3)",3,IF(H2315="4)",4,IF(H2315="5)",5,IF(H2315="6)",6,IF(H2315="7)",7,IF(H2315="8)",8,0))))))))</f>
        <v/>
      </c>
      <c r="L2316" s="0">
        <f>IF(H2315="1)",J2315,IF(H2315="2)",J2315,IF(H2315="3)",J2315,IF(H2315="4)",J2315,IF(H2315="5)",J2315,IF(H2315="6)",J2315,IF(H2315="7)",J2315,IF(H2315="8)",J2315,0))))))))</f>
        <v/>
      </c>
    </row>
    <row r="2317">
      <c r="A2317" s="0" t="inlineStr">
        <is>
          <t>New</t>
        </is>
      </c>
      <c r="B2317" s="0" t="inlineStr">
        <is>
          <t>Item</t>
        </is>
      </c>
      <c r="C2317" s="0" t="inlineStr">
        <is>
          <t>Acquired</t>
        </is>
      </c>
      <c r="D2317" s="0" t="inlineStr">
        <is>
          <t>:</t>
        </is>
      </c>
      <c r="E2317" s="0" t="inlineStr">
        <is>
          <t>Major</t>
        </is>
      </c>
      <c r="F2317" s="0" t="inlineStr">
        <is>
          <t>(6,</t>
        </is>
      </c>
      <c r="G2317" s="0" t="inlineStr">
        <is>
          <t>7)</t>
        </is>
      </c>
      <c r="K2317" s="0">
        <f>IF(H2316="1)",1,IF(H2316="2)",2,IF(H2316="3)",3,IF(H2316="4)",4,IF(H2316="5)",5,IF(H2316="6)",6,IF(H2316="7)",7,IF(H2316="8)",8,0))))))))</f>
        <v/>
      </c>
      <c r="L2317" s="0">
        <f>IF(H2316="1)",J2316,IF(H2316="2)",J2316,IF(H2316="3)",J2316,IF(H2316="4)",J2316,IF(H2316="5)",J2316,IF(H2316="6)",J2316,IF(H2316="7)",J2316,IF(H2316="8)",J2316,0))))))))</f>
        <v/>
      </c>
    </row>
    <row r="2318">
      <c r="A2318" s="0" t="inlineStr">
        <is>
          <t>New</t>
        </is>
      </c>
      <c r="B2318" s="0" t="inlineStr">
        <is>
          <t>Item</t>
        </is>
      </c>
      <c r="C2318" s="0" t="inlineStr">
        <is>
          <t>Acquired</t>
        </is>
      </c>
      <c r="D2318" s="0" t="inlineStr">
        <is>
          <t>:</t>
        </is>
      </c>
      <c r="E2318" s="0" t="inlineStr">
        <is>
          <t>Mini</t>
        </is>
      </c>
      <c r="F2318" s="0" t="inlineStr">
        <is>
          <t>(7,</t>
        </is>
      </c>
      <c r="G2318" s="0" t="inlineStr">
        <is>
          <t>10)</t>
        </is>
      </c>
      <c r="K2318" s="0">
        <f>IF(H2317="1)",1,IF(H2317="2)",2,IF(H2317="3)",3,IF(H2317="4)",4,IF(H2317="5)",5,IF(H2317="6)",6,IF(H2317="7)",7,IF(H2317="8)",8,0))))))))</f>
        <v/>
      </c>
      <c r="L2318" s="0">
        <f>IF(H2317="1)",J2317,IF(H2317="2)",J2317,IF(H2317="3)",J2317,IF(H2317="4)",J2317,IF(H2317="5)",J2317,IF(H2317="6)",J2317,IF(H2317="7)",J2317,IF(H2317="8)",J2317,0))))))))</f>
        <v/>
      </c>
    </row>
    <row r="2319">
      <c r="A2319" s="0" t="inlineStr">
        <is>
          <t>New</t>
        </is>
      </c>
      <c r="B2319" s="0" t="inlineStr">
        <is>
          <t>Item</t>
        </is>
      </c>
      <c r="C2319" s="0" t="inlineStr">
        <is>
          <t>Acquired</t>
        </is>
      </c>
      <c r="D2319" s="0" t="inlineStr">
        <is>
          <t>:</t>
        </is>
      </c>
      <c r="E2319" s="0" t="inlineStr">
        <is>
          <t>280.00K</t>
        </is>
      </c>
      <c r="F2319" s="0" t="inlineStr">
        <is>
          <t>(8,</t>
        </is>
      </c>
      <c r="G2319" s="0" t="inlineStr">
        <is>
          <t>25)</t>
        </is>
      </c>
      <c r="K2319" s="0">
        <f>IF(H2318="1)",1,IF(H2318="2)",2,IF(H2318="3)",3,IF(H2318="4)",4,IF(H2318="5)",5,IF(H2318="6)",6,IF(H2318="7)",7,IF(H2318="8)",8,0))))))))</f>
        <v/>
      </c>
      <c r="L2319" s="0">
        <f>IF(H2318="1)",J2318,IF(H2318="2)",J2318,IF(H2318="3)",J2318,IF(H2318="4)",J2318,IF(H2318="5)",J2318,IF(H2318="6)",J2318,IF(H2318="7)",J2318,IF(H2318="8)",J2318,0))))))))</f>
        <v/>
      </c>
    </row>
    <row r="2320">
      <c r="A2320" s="0" t="inlineStr">
        <is>
          <t>New</t>
        </is>
      </c>
      <c r="B2320" s="0" t="inlineStr">
        <is>
          <t>Item</t>
        </is>
      </c>
      <c r="C2320" s="0" t="inlineStr">
        <is>
          <t>Acquired</t>
        </is>
      </c>
      <c r="D2320" s="0" t="inlineStr">
        <is>
          <t>:</t>
        </is>
      </c>
      <c r="E2320" s="0" t="inlineStr">
        <is>
          <t>60.00K</t>
        </is>
      </c>
      <c r="F2320" s="0" t="inlineStr">
        <is>
          <t>(4,</t>
        </is>
      </c>
      <c r="G2320" s="0" t="inlineStr">
        <is>
          <t>7)</t>
        </is>
      </c>
      <c r="K2320" s="0">
        <f>IF(H2319="1)",1,IF(H2319="2)",2,IF(H2319="3)",3,IF(H2319="4)",4,IF(H2319="5)",5,IF(H2319="6)",6,IF(H2319="7)",7,IF(H2319="8)",8,0))))))))</f>
        <v/>
      </c>
      <c r="L2320" s="0">
        <f>IF(H2319="1)",J2319,IF(H2319="2)",J2319,IF(H2319="3)",J2319,IF(H2319="4)",J2319,IF(H2319="5)",J2319,IF(H2319="6)",J2319,IF(H2319="7)",J2319,IF(H2319="8)",J2319,0))))))))</f>
        <v/>
      </c>
    </row>
    <row r="2321">
      <c r="A2321" s="0" t="inlineStr">
        <is>
          <t>New</t>
        </is>
      </c>
      <c r="B2321" s="0" t="inlineStr">
        <is>
          <t>Item</t>
        </is>
      </c>
      <c r="C2321" s="0" t="inlineStr">
        <is>
          <t>Acquired</t>
        </is>
      </c>
      <c r="D2321" s="0" t="inlineStr">
        <is>
          <t>:</t>
        </is>
      </c>
      <c r="E2321" s="0" t="inlineStr">
        <is>
          <t>87.50K</t>
        </is>
      </c>
      <c r="F2321" s="0" t="inlineStr">
        <is>
          <t>(2,</t>
        </is>
      </c>
      <c r="G2321" s="0" t="inlineStr">
        <is>
          <t>6)</t>
        </is>
      </c>
      <c r="K2321" s="0">
        <f>IF(H2320="1)",1,IF(H2320="2)",2,IF(H2320="3)",3,IF(H2320="4)",4,IF(H2320="5)",5,IF(H2320="6)",6,IF(H2320="7)",7,IF(H2320="8)",8,0))))))))</f>
        <v/>
      </c>
      <c r="L2321" s="0">
        <f>IF(H2320="1)",J2320,IF(H2320="2)",J2320,IF(H2320="3)",J2320,IF(H2320="4)",J2320,IF(H2320="5)",J2320,IF(H2320="6)",J2320,IF(H2320="7)",J2320,IF(H2320="8)",J2320,0))))))))</f>
        <v/>
      </c>
    </row>
    <row r="2322">
      <c r="A2322" s="0" t="inlineStr">
        <is>
          <t>New</t>
        </is>
      </c>
      <c r="B2322" s="0" t="inlineStr">
        <is>
          <t>Item</t>
        </is>
      </c>
      <c r="C2322" s="0" t="inlineStr">
        <is>
          <t>Acquired</t>
        </is>
      </c>
      <c r="D2322" s="0" t="inlineStr">
        <is>
          <t>:</t>
        </is>
      </c>
      <c r="E2322" s="0" t="inlineStr">
        <is>
          <t>Mini</t>
        </is>
      </c>
      <c r="F2322" s="0" t="inlineStr">
        <is>
          <t>(7,</t>
        </is>
      </c>
      <c r="G2322" s="0" t="inlineStr">
        <is>
          <t>2)</t>
        </is>
      </c>
      <c r="K2322" s="0">
        <f>IF(H2321="1)",1,IF(H2321="2)",2,IF(H2321="3)",3,IF(H2321="4)",4,IF(H2321="5)",5,IF(H2321="6)",6,IF(H2321="7)",7,IF(H2321="8)",8,0))))))))</f>
        <v/>
      </c>
      <c r="L2322" s="0">
        <f>IF(H2321="1)",J2321,IF(H2321="2)",J2321,IF(H2321="3)",J2321,IF(H2321="4)",J2321,IF(H2321="5)",J2321,IF(H2321="6)",J2321,IF(H2321="7)",J2321,IF(H2321="8)",J2321,0))))))))</f>
        <v/>
      </c>
    </row>
    <row r="2323">
      <c r="A2323" s="0" t="inlineStr">
        <is>
          <t>New</t>
        </is>
      </c>
      <c r="B2323" s="0" t="inlineStr">
        <is>
          <t>Item</t>
        </is>
      </c>
      <c r="C2323" s="0" t="inlineStr">
        <is>
          <t>Acquired</t>
        </is>
      </c>
      <c r="D2323" s="0" t="inlineStr">
        <is>
          <t>:</t>
        </is>
      </c>
      <c r="E2323" s="0" t="inlineStr">
        <is>
          <t>30.00K</t>
        </is>
      </c>
      <c r="F2323" s="0" t="inlineStr">
        <is>
          <t>(1,</t>
        </is>
      </c>
      <c r="G2323" s="0" t="inlineStr">
        <is>
          <t>18)</t>
        </is>
      </c>
      <c r="K2323" s="0">
        <f>IF(H2322="1)",1,IF(H2322="2)",2,IF(H2322="3)",3,IF(H2322="4)",4,IF(H2322="5)",5,IF(H2322="6)",6,IF(H2322="7)",7,IF(H2322="8)",8,0))))))))</f>
        <v/>
      </c>
      <c r="L2323" s="0">
        <f>IF(H2322="1)",J2322,IF(H2322="2)",J2322,IF(H2322="3)",J2322,IF(H2322="4)",J2322,IF(H2322="5)",J2322,IF(H2322="6)",J2322,IF(H2322="7)",J2322,IF(H2322="8)",J2322,0))))))))</f>
        <v/>
      </c>
    </row>
    <row r="2324">
      <c r="A2324" s="0" t="inlineStr">
        <is>
          <t>New</t>
        </is>
      </c>
      <c r="B2324" s="0" t="inlineStr">
        <is>
          <t>Item</t>
        </is>
      </c>
      <c r="C2324" s="0" t="inlineStr">
        <is>
          <t>Acquired</t>
        </is>
      </c>
      <c r="D2324" s="0" t="inlineStr">
        <is>
          <t>:</t>
        </is>
      </c>
      <c r="E2324" s="0" t="inlineStr">
        <is>
          <t>90.00K</t>
        </is>
      </c>
      <c r="F2324" s="0" t="inlineStr">
        <is>
          <t>(7,</t>
        </is>
      </c>
      <c r="G2324" s="0" t="inlineStr">
        <is>
          <t>23)</t>
        </is>
      </c>
      <c r="K2324" s="0">
        <f>IF(H2323="1)",1,IF(H2323="2)",2,IF(H2323="3)",3,IF(H2323="4)",4,IF(H2323="5)",5,IF(H2323="6)",6,IF(H2323="7)",7,IF(H2323="8)",8,0))))))))</f>
        <v/>
      </c>
      <c r="L2324" s="0">
        <f>IF(H2323="1)",J2323,IF(H2323="2)",J2323,IF(H2323="3)",J2323,IF(H2323="4)",J2323,IF(H2323="5)",J2323,IF(H2323="6)",J2323,IF(H2323="7)",J2323,IF(H2323="8)",J2323,0))))))))</f>
        <v/>
      </c>
    </row>
    <row r="2325">
      <c r="A2325" s="0" t="inlineStr">
        <is>
          <t>New</t>
        </is>
      </c>
      <c r="B2325" s="0" t="inlineStr">
        <is>
          <t>Item</t>
        </is>
      </c>
      <c r="C2325" s="0" t="inlineStr">
        <is>
          <t>Acquired</t>
        </is>
      </c>
      <c r="D2325" s="0" t="inlineStr">
        <is>
          <t>:</t>
        </is>
      </c>
      <c r="E2325" s="0" t="inlineStr">
        <is>
          <t>Minor</t>
        </is>
      </c>
      <c r="F2325" s="0" t="inlineStr">
        <is>
          <t>(7,</t>
        </is>
      </c>
      <c r="G2325" s="0" t="inlineStr">
        <is>
          <t>16)</t>
        </is>
      </c>
      <c r="K2325" s="0">
        <f>IF(H2324="1)",1,IF(H2324="2)",2,IF(H2324="3)",3,IF(H2324="4)",4,IF(H2324="5)",5,IF(H2324="6)",6,IF(H2324="7)",7,IF(H2324="8)",8,0))))))))</f>
        <v/>
      </c>
      <c r="L2325" s="0">
        <f>IF(H2324="1)",J2324,IF(H2324="2)",J2324,IF(H2324="3)",J2324,IF(H2324="4)",J2324,IF(H2324="5)",J2324,IF(H2324="6)",J2324,IF(H2324="7)",J2324,IF(H2324="8)",J2324,0))))))))</f>
        <v/>
      </c>
    </row>
    <row r="2326">
      <c r="A2326" s="0" t="inlineStr">
        <is>
          <t>New</t>
        </is>
      </c>
      <c r="B2326" s="0" t="inlineStr">
        <is>
          <t>Item</t>
        </is>
      </c>
      <c r="C2326" s="0" t="inlineStr">
        <is>
          <t>Acquired</t>
        </is>
      </c>
      <c r="D2326" s="0" t="inlineStr">
        <is>
          <t>:</t>
        </is>
      </c>
      <c r="E2326" s="0" t="inlineStr">
        <is>
          <t>125.00K</t>
        </is>
      </c>
      <c r="F2326" s="0" t="inlineStr">
        <is>
          <t>(6,</t>
        </is>
      </c>
      <c r="G2326" s="0" t="inlineStr">
        <is>
          <t>24)</t>
        </is>
      </c>
      <c r="K2326" s="0">
        <f>IF(H2325="1)",1,IF(H2325="2)",2,IF(H2325="3)",3,IF(H2325="4)",4,IF(H2325="5)",5,IF(H2325="6)",6,IF(H2325="7)",7,IF(H2325="8)",8,0))))))))</f>
        <v/>
      </c>
      <c r="L2326" s="0">
        <f>IF(H2325="1)",J2325,IF(H2325="2)",J2325,IF(H2325="3)",J2325,IF(H2325="4)",J2325,IF(H2325="5)",J2325,IF(H2325="6)",J2325,IF(H2325="7)",J2325,IF(H2325="8)",J2325,0))))))))</f>
        <v/>
      </c>
    </row>
    <row r="2327">
      <c r="A2327" s="0" t="inlineStr">
        <is>
          <t>New</t>
        </is>
      </c>
      <c r="B2327" s="0" t="inlineStr">
        <is>
          <t>Item</t>
        </is>
      </c>
      <c r="C2327" s="0" t="inlineStr">
        <is>
          <t>Acquired</t>
        </is>
      </c>
      <c r="D2327" s="0" t="inlineStr">
        <is>
          <t>:</t>
        </is>
      </c>
      <c r="E2327" s="0" t="inlineStr">
        <is>
          <t>37.50K</t>
        </is>
      </c>
      <c r="F2327" s="0" t="inlineStr">
        <is>
          <t>(2,</t>
        </is>
      </c>
      <c r="G2327" s="0" t="inlineStr">
        <is>
          <t>20)</t>
        </is>
      </c>
      <c r="K2327" s="0">
        <f>IF(H2326="1)",1,IF(H2326="2)",2,IF(H2326="3)",3,IF(H2326="4)",4,IF(H2326="5)",5,IF(H2326="6)",6,IF(H2326="7)",7,IF(H2326="8)",8,0))))))))</f>
        <v/>
      </c>
      <c r="L2327" s="0">
        <f>IF(H2326="1)",J2326,IF(H2326="2)",J2326,IF(H2326="3)",J2326,IF(H2326="4)",J2326,IF(H2326="5)",J2326,IF(H2326="6)",J2326,IF(H2326="7)",J2326,IF(H2326="8)",J2326,0))))))))</f>
        <v/>
      </c>
    </row>
    <row r="2328">
      <c r="A2328" s="0" t="inlineStr">
        <is>
          <t>New</t>
        </is>
      </c>
      <c r="B2328" s="0" t="inlineStr">
        <is>
          <t>Item</t>
        </is>
      </c>
      <c r="C2328" s="0" t="inlineStr">
        <is>
          <t>Acquired</t>
        </is>
      </c>
      <c r="D2328" s="0" t="inlineStr">
        <is>
          <t>:</t>
        </is>
      </c>
      <c r="E2328" s="0" t="inlineStr">
        <is>
          <t>70.00K</t>
        </is>
      </c>
      <c r="F2328" s="0" t="inlineStr">
        <is>
          <t>(1,</t>
        </is>
      </c>
      <c r="G2328" s="0" t="inlineStr">
        <is>
          <t>23)</t>
        </is>
      </c>
      <c r="K2328" s="0">
        <f>IF(H2327="1)",1,IF(H2327="2)",2,IF(H2327="3)",3,IF(H2327="4)",4,IF(H2327="5)",5,IF(H2327="6)",6,IF(H2327="7)",7,IF(H2327="8)",8,0))))))))</f>
        <v/>
      </c>
      <c r="L2328" s="0">
        <f>IF(H2327="1)",J2327,IF(H2327="2)",J2327,IF(H2327="3)",J2327,IF(H2327="4)",J2327,IF(H2327="5)",J2327,IF(H2327="6)",J2327,IF(H2327="7)",J2327,IF(H2327="8)",J2327,0))))))))</f>
        <v/>
      </c>
    </row>
    <row r="2329">
      <c r="A2329" s="0" t="inlineStr">
        <is>
          <t>New</t>
        </is>
      </c>
      <c r="B2329" s="0" t="inlineStr">
        <is>
          <t>Item</t>
        </is>
      </c>
      <c r="C2329" s="0" t="inlineStr">
        <is>
          <t>Acquired</t>
        </is>
      </c>
      <c r="D2329" s="0" t="inlineStr">
        <is>
          <t>:</t>
        </is>
      </c>
      <c r="E2329" s="0" t="inlineStr">
        <is>
          <t>30.00K</t>
        </is>
      </c>
      <c r="F2329" s="0" t="inlineStr">
        <is>
          <t>(1,</t>
        </is>
      </c>
      <c r="G2329" s="0" t="inlineStr">
        <is>
          <t>22)</t>
        </is>
      </c>
      <c r="K2329" s="0">
        <f>IF(H2328="1)",1,IF(H2328="2)",2,IF(H2328="3)",3,IF(H2328="4)",4,IF(H2328="5)",5,IF(H2328="6)",6,IF(H2328="7)",7,IF(H2328="8)",8,0))))))))</f>
        <v/>
      </c>
      <c r="L2329" s="0">
        <f>IF(H2328="1)",J2328,IF(H2328="2)",J2328,IF(H2328="3)",J2328,IF(H2328="4)",J2328,IF(H2328="5)",J2328,IF(H2328="6)",J2328,IF(H2328="7)",J2328,IF(H2328="8)",J2328,0))))))))</f>
        <v/>
      </c>
    </row>
    <row r="2330">
      <c r="A2330" s="0" t="inlineStr">
        <is>
          <t>New</t>
        </is>
      </c>
      <c r="B2330" s="0" t="inlineStr">
        <is>
          <t>Item</t>
        </is>
      </c>
      <c r="C2330" s="0" t="inlineStr">
        <is>
          <t>Acquired</t>
        </is>
      </c>
      <c r="D2330" s="0" t="inlineStr">
        <is>
          <t>:</t>
        </is>
      </c>
      <c r="E2330" s="0" t="inlineStr">
        <is>
          <t>Mini</t>
        </is>
      </c>
      <c r="F2330" s="0" t="inlineStr">
        <is>
          <t>(8,</t>
        </is>
      </c>
      <c r="G2330" s="0" t="inlineStr">
        <is>
          <t>7)</t>
        </is>
      </c>
      <c r="K2330" s="0">
        <f>IF(H2329="1)",1,IF(H2329="2)",2,IF(H2329="3)",3,IF(H2329="4)",4,IF(H2329="5)",5,IF(H2329="6)",6,IF(H2329="7)",7,IF(H2329="8)",8,0))))))))</f>
        <v/>
      </c>
      <c r="L2330" s="0">
        <f>IF(H2329="1)",J2329,IF(H2329="2)",J2329,IF(H2329="3)",J2329,IF(H2329="4)",J2329,IF(H2329="5)",J2329,IF(H2329="6)",J2329,IF(H2329="7)",J2329,IF(H2329="8)",J2329,0))))))))</f>
        <v/>
      </c>
    </row>
    <row r="2331">
      <c r="A2331" s="0" t="inlineStr">
        <is>
          <t>New</t>
        </is>
      </c>
      <c r="B2331" s="0" t="inlineStr">
        <is>
          <t>Item</t>
        </is>
      </c>
      <c r="C2331" s="0" t="inlineStr">
        <is>
          <t>Acquired</t>
        </is>
      </c>
      <c r="D2331" s="0" t="inlineStr">
        <is>
          <t>:</t>
        </is>
      </c>
      <c r="E2331" s="0" t="inlineStr">
        <is>
          <t>37.50K</t>
        </is>
      </c>
      <c r="F2331" s="0" t="inlineStr">
        <is>
          <t>(2,</t>
        </is>
      </c>
      <c r="G2331" s="0" t="inlineStr">
        <is>
          <t>18)</t>
        </is>
      </c>
      <c r="K2331" s="0">
        <f>IF(H2330="1)",1,IF(H2330="2)",2,IF(H2330="3)",3,IF(H2330="4)",4,IF(H2330="5)",5,IF(H2330="6)",6,IF(H2330="7)",7,IF(H2330="8)",8,0))))))))</f>
        <v/>
      </c>
      <c r="L2331" s="0">
        <f>IF(H2330="1)",J2330,IF(H2330="2)",J2330,IF(H2330="3)",J2330,IF(H2330="4)",J2330,IF(H2330="5)",J2330,IF(H2330="6)",J2330,IF(H2330="7)",J2330,IF(H2330="8)",J2330,0))))))))</f>
        <v/>
      </c>
    </row>
    <row r="2332">
      <c r="A2332" s="0" t="inlineStr">
        <is>
          <t>New</t>
        </is>
      </c>
      <c r="B2332" s="0" t="inlineStr">
        <is>
          <t>Item</t>
        </is>
      </c>
      <c r="C2332" s="0" t="inlineStr">
        <is>
          <t>Acquired</t>
        </is>
      </c>
      <c r="D2332" s="0" t="inlineStr">
        <is>
          <t>:</t>
        </is>
      </c>
      <c r="E2332" s="0" t="inlineStr">
        <is>
          <t>60.00K</t>
        </is>
      </c>
      <c r="F2332" s="0" t="inlineStr">
        <is>
          <t>(4,</t>
        </is>
      </c>
      <c r="G2332" s="0" t="inlineStr">
        <is>
          <t>19)</t>
        </is>
      </c>
      <c r="K2332" s="0">
        <f>IF(H2331="1)",1,IF(H2331="2)",2,IF(H2331="3)",3,IF(H2331="4)",4,IF(H2331="5)",5,IF(H2331="6)",6,IF(H2331="7)",7,IF(H2331="8)",8,0))))))))</f>
        <v/>
      </c>
      <c r="L2332" s="0">
        <f>IF(H2331="1)",J2331,IF(H2331="2)",J2331,IF(H2331="3)",J2331,IF(H2331="4)",J2331,IF(H2331="5)",J2331,IF(H2331="6)",J2331,IF(H2331="7)",J2331,IF(H2331="8)",J2331,0))))))))</f>
        <v/>
      </c>
    </row>
    <row r="2333">
      <c r="A2333" s="0" t="inlineStr">
        <is>
          <t>Line</t>
        </is>
      </c>
      <c r="B2333" s="0" t="inlineStr">
        <is>
          <t>Prize</t>
        </is>
      </c>
      <c r="C2333" s="0" t="inlineStr">
        <is>
          <t>Acquired</t>
        </is>
      </c>
      <c r="D2333" s="0" t="inlineStr">
        <is>
          <t>:</t>
        </is>
      </c>
      <c r="E2333" s="0" t="inlineStr">
        <is>
          <t>1.40M</t>
        </is>
      </c>
      <c r="F2333" s="0" t="inlineStr">
        <is>
          <t>(Stage</t>
        </is>
      </c>
      <c r="G2333" s="0" t="inlineStr">
        <is>
          <t>:</t>
        </is>
      </c>
      <c r="H2333" s="0" t="inlineStr">
        <is>
          <t>4)</t>
        </is>
      </c>
      <c r="I2333" s="0" t="inlineStr">
        <is>
          <t>-</t>
        </is>
      </c>
      <c r="J2333" s="0" t="n">
        <v>1395000</v>
      </c>
      <c r="K2333" s="0">
        <f>IF(H2332="1)",1,IF(H2332="2)",2,IF(H2332="3)",3,IF(H2332="4)",4,IF(H2332="5)",5,IF(H2332="6)",6,IF(H2332="7)",7,IF(H2332="8)",8,0))))))))</f>
        <v/>
      </c>
      <c r="L2333" s="0">
        <f>IF(H2332="1)",J2332,IF(H2332="2)",J2332,IF(H2332="3)",J2332,IF(H2332="4)",J2332,IF(H2332="5)",J2332,IF(H2332="6)",J2332,IF(H2332="7)",J2332,IF(H2332="8)",J2332,0))))))))</f>
        <v/>
      </c>
    </row>
    <row r="2334">
      <c r="A2334" s="0" t="inlineStr">
        <is>
          <t>Clear</t>
        </is>
      </c>
      <c r="B2334" s="0" t="inlineStr">
        <is>
          <t>Gem</t>
        </is>
      </c>
      <c r="C2334" s="0" t="inlineStr">
        <is>
          <t>Acquired</t>
        </is>
      </c>
      <c r="D2334" s="0" t="inlineStr">
        <is>
          <t>:</t>
        </is>
      </c>
      <c r="E2334" s="0" t="n">
        <v>14300</v>
      </c>
      <c r="F2334" s="0" t="inlineStr">
        <is>
          <t>-&gt;</t>
        </is>
      </c>
      <c r="G2334" s="0" t="n">
        <v>14400</v>
      </c>
      <c r="H2334" s="0" t="inlineStr">
        <is>
          <t>(Stage</t>
        </is>
      </c>
      <c r="I2334" s="0" t="inlineStr">
        <is>
          <t>:</t>
        </is>
      </c>
      <c r="J2334" s="0" t="inlineStr">
        <is>
          <t>4)</t>
        </is>
      </c>
      <c r="K2334" s="0">
        <f>IF(H2333="1)",1,IF(H2333="2)",2,IF(H2333="3)",3,IF(H2333="4)",4,IF(H2333="5)",5,IF(H2333="6)",6,IF(H2333="7)",7,IF(H2333="8)",8,0))))))))</f>
        <v/>
      </c>
      <c r="L2334" s="0">
        <f>IF(H2333="1)",J2333,IF(H2333="2)",J2333,IF(H2333="3)",J2333,IF(H2333="4)",J2333,IF(H2333="5)",J2333,IF(H2333="6)",J2333,IF(H2333="7)",J2333,IF(H2333="8)",J2333,0))))))))</f>
        <v/>
      </c>
    </row>
    <row r="2335">
      <c r="A2335" s="0" t="inlineStr">
        <is>
          <t>New</t>
        </is>
      </c>
      <c r="B2335" s="0" t="inlineStr">
        <is>
          <t>Item</t>
        </is>
      </c>
      <c r="C2335" s="0" t="inlineStr">
        <is>
          <t>Acquired</t>
        </is>
      </c>
      <c r="D2335" s="0" t="inlineStr">
        <is>
          <t>:</t>
        </is>
      </c>
      <c r="E2335" s="0" t="inlineStr">
        <is>
          <t>Minor</t>
        </is>
      </c>
      <c r="F2335" s="0" t="inlineStr">
        <is>
          <t>(7,</t>
        </is>
      </c>
      <c r="G2335" s="0" t="inlineStr">
        <is>
          <t>7)</t>
        </is>
      </c>
      <c r="K2335" s="0">
        <f>IF(H2334="1)",1,IF(H2334="2)",2,IF(H2334="3)",3,IF(H2334="4)",4,IF(H2334="5)",5,IF(H2334="6)",6,IF(H2334="7)",7,IF(H2334="8)",8,0))))))))</f>
        <v/>
      </c>
      <c r="L2335" s="0">
        <f>IF(H2334="1)",J2334,IF(H2334="2)",J2334,IF(H2334="3)",J2334,IF(H2334="4)",J2334,IF(H2334="5)",J2334,IF(H2334="6)",J2334,IF(H2334="7)",J2334,IF(H2334="8)",J2334,0))))))))</f>
        <v/>
      </c>
    </row>
    <row r="2336">
      <c r="A2336" s="0" t="inlineStr">
        <is>
          <t>New</t>
        </is>
      </c>
      <c r="B2336" s="0" t="inlineStr">
        <is>
          <t>Item</t>
        </is>
      </c>
      <c r="C2336" s="0" t="inlineStr">
        <is>
          <t>Acquired</t>
        </is>
      </c>
      <c r="D2336" s="0" t="inlineStr">
        <is>
          <t>:</t>
        </is>
      </c>
      <c r="E2336" s="0" t="inlineStr">
        <is>
          <t>67.50K</t>
        </is>
      </c>
      <c r="F2336" s="0" t="inlineStr">
        <is>
          <t>(5,</t>
        </is>
      </c>
      <c r="G2336" s="0" t="inlineStr">
        <is>
          <t>16)</t>
        </is>
      </c>
      <c r="K2336" s="0">
        <f>IF(H2335="1)",1,IF(H2335="2)",2,IF(H2335="3)",3,IF(H2335="4)",4,IF(H2335="5)",5,IF(H2335="6)",6,IF(H2335="7)",7,IF(H2335="8)",8,0))))))))</f>
        <v/>
      </c>
      <c r="L2336" s="0">
        <f>IF(H2335="1)",J2335,IF(H2335="2)",J2335,IF(H2335="3)",J2335,IF(H2335="4)",J2335,IF(H2335="5)",J2335,IF(H2335="6)",J2335,IF(H2335="7)",J2335,IF(H2335="8)",J2335,0))))))))</f>
        <v/>
      </c>
    </row>
    <row r="2337">
      <c r="A2337" s="0" t="inlineStr">
        <is>
          <t>New</t>
        </is>
      </c>
      <c r="B2337" s="0" t="inlineStr">
        <is>
          <t>Item</t>
        </is>
      </c>
      <c r="C2337" s="0" t="inlineStr">
        <is>
          <t>Acquired</t>
        </is>
      </c>
      <c r="D2337" s="0" t="inlineStr">
        <is>
          <t>:</t>
        </is>
      </c>
      <c r="E2337" s="0" t="inlineStr">
        <is>
          <t>105.00K</t>
        </is>
      </c>
      <c r="F2337" s="0" t="inlineStr">
        <is>
          <t>(3,</t>
        </is>
      </c>
      <c r="G2337" s="0" t="inlineStr">
        <is>
          <t>16)</t>
        </is>
      </c>
      <c r="K2337" s="0">
        <f>IF(H2336="1)",1,IF(H2336="2)",2,IF(H2336="3)",3,IF(H2336="4)",4,IF(H2336="5)",5,IF(H2336="6)",6,IF(H2336="7)",7,IF(H2336="8)",8,0))))))))</f>
        <v/>
      </c>
      <c r="L2337" s="0">
        <f>IF(H2336="1)",J2336,IF(H2336="2)",J2336,IF(H2336="3)",J2336,IF(H2336="4)",J2336,IF(H2336="5)",J2336,IF(H2336="6)",J2336,IF(H2336="7)",J2336,IF(H2336="8)",J2336,0))))))))</f>
        <v/>
      </c>
    </row>
    <row r="2338">
      <c r="A2338" s="0" t="inlineStr">
        <is>
          <t>New</t>
        </is>
      </c>
      <c r="B2338" s="0" t="inlineStr">
        <is>
          <t>Item</t>
        </is>
      </c>
      <c r="C2338" s="0" t="inlineStr">
        <is>
          <t>Acquired</t>
        </is>
      </c>
      <c r="D2338" s="0" t="inlineStr">
        <is>
          <t>:</t>
        </is>
      </c>
      <c r="E2338" s="0" t="inlineStr">
        <is>
          <t>70.00K</t>
        </is>
      </c>
      <c r="F2338" s="0" t="inlineStr">
        <is>
          <t>(1,</t>
        </is>
      </c>
      <c r="G2338" s="0" t="inlineStr">
        <is>
          <t>9)</t>
        </is>
      </c>
      <c r="K2338" s="0">
        <f>IF(H2337="1)",1,IF(H2337="2)",2,IF(H2337="3)",3,IF(H2337="4)",4,IF(H2337="5)",5,IF(H2337="6)",6,IF(H2337="7)",7,IF(H2337="8)",8,0))))))))</f>
        <v/>
      </c>
      <c r="L2338" s="0">
        <f>IF(H2337="1)",J2337,IF(H2337="2)",J2337,IF(H2337="3)",J2337,IF(H2337="4)",J2337,IF(H2337="5)",J2337,IF(H2337="6)",J2337,IF(H2337="7)",J2337,IF(H2337="8)",J2337,0))))))))</f>
        <v/>
      </c>
    </row>
    <row r="2339">
      <c r="A2339" s="0" t="inlineStr">
        <is>
          <t>New</t>
        </is>
      </c>
      <c r="B2339" s="0" t="inlineStr">
        <is>
          <t>Item</t>
        </is>
      </c>
      <c r="C2339" s="0" t="inlineStr">
        <is>
          <t>Acquired</t>
        </is>
      </c>
      <c r="D2339" s="0" t="inlineStr">
        <is>
          <t>:</t>
        </is>
      </c>
      <c r="E2339" s="0" t="inlineStr">
        <is>
          <t>Mini</t>
        </is>
      </c>
      <c r="F2339" s="0" t="inlineStr">
        <is>
          <t>(1,</t>
        </is>
      </c>
      <c r="G2339" s="0" t="inlineStr">
        <is>
          <t>11)</t>
        </is>
      </c>
      <c r="K2339" s="0">
        <f>IF(H2338="1)",1,IF(H2338="2)",2,IF(H2338="3)",3,IF(H2338="4)",4,IF(H2338="5)",5,IF(H2338="6)",6,IF(H2338="7)",7,IF(H2338="8)",8,0))))))))</f>
        <v/>
      </c>
      <c r="L2339" s="0">
        <f>IF(H2338="1)",J2338,IF(H2338="2)",J2338,IF(H2338="3)",J2338,IF(H2338="4)",J2338,IF(H2338="5)",J2338,IF(H2338="6)",J2338,IF(H2338="7)",J2338,IF(H2338="8)",J2338,0))))))))</f>
        <v/>
      </c>
    </row>
    <row r="2340">
      <c r="A2340" s="0" t="inlineStr">
        <is>
          <t>New</t>
        </is>
      </c>
      <c r="B2340" s="0" t="inlineStr">
        <is>
          <t>Item</t>
        </is>
      </c>
      <c r="C2340" s="0" t="inlineStr">
        <is>
          <t>Acquired</t>
        </is>
      </c>
      <c r="D2340" s="0" t="inlineStr">
        <is>
          <t>:</t>
        </is>
      </c>
      <c r="E2340" s="0" t="inlineStr">
        <is>
          <t>87.50K</t>
        </is>
      </c>
      <c r="F2340" s="0" t="inlineStr">
        <is>
          <t>(2,</t>
        </is>
      </c>
      <c r="G2340" s="0" t="inlineStr">
        <is>
          <t>3)</t>
        </is>
      </c>
      <c r="K2340" s="0">
        <f>IF(H2339="1)",1,IF(H2339="2)",2,IF(H2339="3)",3,IF(H2339="4)",4,IF(H2339="5)",5,IF(H2339="6)",6,IF(H2339="7)",7,IF(H2339="8)",8,0))))))))</f>
        <v/>
      </c>
      <c r="L2340" s="0">
        <f>IF(H2339="1)",J2339,IF(H2339="2)",J2339,IF(H2339="3)",J2339,IF(H2339="4)",J2339,IF(H2339="5)",J2339,IF(H2339="6)",J2339,IF(H2339="7)",J2339,IF(H2339="8)",J2339,0))))))))</f>
        <v/>
      </c>
    </row>
    <row r="2341">
      <c r="A2341" s="0" t="inlineStr">
        <is>
          <t>New</t>
        </is>
      </c>
      <c r="B2341" s="0" t="inlineStr">
        <is>
          <t>Item</t>
        </is>
      </c>
      <c r="C2341" s="0" t="inlineStr">
        <is>
          <t>Acquired</t>
        </is>
      </c>
      <c r="D2341" s="0" t="inlineStr">
        <is>
          <t>:</t>
        </is>
      </c>
      <c r="E2341" s="0" t="inlineStr">
        <is>
          <t>175.00K</t>
        </is>
      </c>
      <c r="F2341" s="0" t="inlineStr">
        <is>
          <t>(6,</t>
        </is>
      </c>
      <c r="G2341" s="0" t="inlineStr">
        <is>
          <t>20)</t>
        </is>
      </c>
      <c r="K2341" s="0">
        <f>IF(H2340="1)",1,IF(H2340="2)",2,IF(H2340="3)",3,IF(H2340="4)",4,IF(H2340="5)",5,IF(H2340="6)",6,IF(H2340="7)",7,IF(H2340="8)",8,0))))))))</f>
        <v/>
      </c>
      <c r="L2341" s="0">
        <f>IF(H2340="1)",J2340,IF(H2340="2)",J2340,IF(H2340="3)",J2340,IF(H2340="4)",J2340,IF(H2340="5)",J2340,IF(H2340="6)",J2340,IF(H2340="7)",J2340,IF(H2340="8)",J2340,0))))))))</f>
        <v/>
      </c>
    </row>
    <row r="2342">
      <c r="A2342" s="0" t="inlineStr">
        <is>
          <t>New</t>
        </is>
      </c>
      <c r="B2342" s="0" t="inlineStr">
        <is>
          <t>Item</t>
        </is>
      </c>
      <c r="C2342" s="0" t="inlineStr">
        <is>
          <t>Acquired</t>
        </is>
      </c>
      <c r="D2342" s="0" t="inlineStr">
        <is>
          <t>:</t>
        </is>
      </c>
      <c r="E2342" s="0" t="inlineStr">
        <is>
          <t>90.00K</t>
        </is>
      </c>
      <c r="F2342" s="0" t="inlineStr">
        <is>
          <t>(7,</t>
        </is>
      </c>
      <c r="G2342" s="0" t="inlineStr">
        <is>
          <t>1)</t>
        </is>
      </c>
      <c r="K2342" s="0">
        <f>IF(H2341="1)",1,IF(H2341="2)",2,IF(H2341="3)",3,IF(H2341="4)",4,IF(H2341="5)",5,IF(H2341="6)",6,IF(H2341="7)",7,IF(H2341="8)",8,0))))))))</f>
        <v/>
      </c>
      <c r="L2342" s="0">
        <f>IF(H2341="1)",J2341,IF(H2341="2)",J2341,IF(H2341="3)",J2341,IF(H2341="4)",J2341,IF(H2341="5)",J2341,IF(H2341="6)",J2341,IF(H2341="7)",J2341,IF(H2341="8)",J2341,0))))))))</f>
        <v/>
      </c>
    </row>
    <row r="2343">
      <c r="A2343" s="0" t="inlineStr">
        <is>
          <t>New</t>
        </is>
      </c>
      <c r="B2343" s="0" t="inlineStr">
        <is>
          <t>Item</t>
        </is>
      </c>
      <c r="C2343" s="0" t="inlineStr">
        <is>
          <t>Acquired</t>
        </is>
      </c>
      <c r="D2343" s="0" t="inlineStr">
        <is>
          <t>:</t>
        </is>
      </c>
      <c r="E2343" s="0" t="inlineStr">
        <is>
          <t>45.00K</t>
        </is>
      </c>
      <c r="F2343" s="0" t="inlineStr">
        <is>
          <t>(3,</t>
        </is>
      </c>
      <c r="G2343" s="0" t="inlineStr">
        <is>
          <t>19)</t>
        </is>
      </c>
      <c r="K2343" s="0">
        <f>IF(H2342="1)",1,IF(H2342="2)",2,IF(H2342="3)",3,IF(H2342="4)",4,IF(H2342="5)",5,IF(H2342="6)",6,IF(H2342="7)",7,IF(H2342="8)",8,0))))))))</f>
        <v/>
      </c>
      <c r="L2343" s="0">
        <f>IF(H2342="1)",J2342,IF(H2342="2)",J2342,IF(H2342="3)",J2342,IF(H2342="4)",J2342,IF(H2342="5)",J2342,IF(H2342="6)",J2342,IF(H2342="7)",J2342,IF(H2342="8)",J2342,0))))))))</f>
        <v/>
      </c>
    </row>
    <row r="2344">
      <c r="A2344" s="0" t="inlineStr">
        <is>
          <t>Line</t>
        </is>
      </c>
      <c r="B2344" s="0" t="inlineStr">
        <is>
          <t>Prize</t>
        </is>
      </c>
      <c r="C2344" s="0" t="inlineStr">
        <is>
          <t>Acquired</t>
        </is>
      </c>
      <c r="D2344" s="0" t="inlineStr">
        <is>
          <t>:</t>
        </is>
      </c>
      <c r="E2344" s="0" t="inlineStr">
        <is>
          <t>1.19M</t>
        </is>
      </c>
      <c r="F2344" s="0" t="inlineStr">
        <is>
          <t>(Stage</t>
        </is>
      </c>
      <c r="G2344" s="0" t="inlineStr">
        <is>
          <t>:</t>
        </is>
      </c>
      <c r="H2344" s="0" t="inlineStr">
        <is>
          <t>3)</t>
        </is>
      </c>
      <c r="I2344" s="0" t="inlineStr">
        <is>
          <t>-</t>
        </is>
      </c>
      <c r="J2344" s="0" t="n">
        <v>1185000</v>
      </c>
      <c r="K2344" s="0">
        <f>IF(H2343="1)",1,IF(H2343="2)",2,IF(H2343="3)",3,IF(H2343="4)",4,IF(H2343="5)",5,IF(H2343="6)",6,IF(H2343="7)",7,IF(H2343="8)",8,0))))))))</f>
        <v/>
      </c>
      <c r="L2344" s="0">
        <f>IF(H2343="1)",J2343,IF(H2343="2)",J2343,IF(H2343="3)",J2343,IF(H2343="4)",J2343,IF(H2343="5)",J2343,IF(H2343="6)",J2343,IF(H2343="7)",J2343,IF(H2343="8)",J2343,0))))))))</f>
        <v/>
      </c>
    </row>
    <row r="2345">
      <c r="A2345" s="0" t="inlineStr">
        <is>
          <t>Clear</t>
        </is>
      </c>
      <c r="B2345" s="0" t="inlineStr">
        <is>
          <t>Gem</t>
        </is>
      </c>
      <c r="C2345" s="0" t="inlineStr">
        <is>
          <t>Acquired</t>
        </is>
      </c>
      <c r="D2345" s="0" t="inlineStr">
        <is>
          <t>:</t>
        </is>
      </c>
      <c r="E2345" s="0" t="n">
        <v>14400</v>
      </c>
      <c r="F2345" s="0" t="inlineStr">
        <is>
          <t>-&gt;</t>
        </is>
      </c>
      <c r="G2345" s="0" t="n">
        <v>14500</v>
      </c>
      <c r="H2345" s="0" t="inlineStr">
        <is>
          <t>(Stage</t>
        </is>
      </c>
      <c r="I2345" s="0" t="inlineStr">
        <is>
          <t>:</t>
        </is>
      </c>
      <c r="J2345" s="0" t="inlineStr">
        <is>
          <t>3)</t>
        </is>
      </c>
      <c r="K2345" s="0">
        <f>IF(H2344="1)",1,IF(H2344="2)",2,IF(H2344="3)",3,IF(H2344="4)",4,IF(H2344="5)",5,IF(H2344="6)",6,IF(H2344="7)",7,IF(H2344="8)",8,0))))))))</f>
        <v/>
      </c>
      <c r="L2345" s="0">
        <f>IF(H2344="1)",J2344,IF(H2344="2)",J2344,IF(H2344="3)",J2344,IF(H2344="4)",J2344,IF(H2344="5)",J2344,IF(H2344="6)",J2344,IF(H2344="7)",J2344,IF(H2344="8)",J2344,0))))))))</f>
        <v/>
      </c>
    </row>
    <row r="2346">
      <c r="A2346" s="0" t="inlineStr">
        <is>
          <t>New</t>
        </is>
      </c>
      <c r="B2346" s="0" t="inlineStr">
        <is>
          <t>Item</t>
        </is>
      </c>
      <c r="C2346" s="0" t="inlineStr">
        <is>
          <t>Acquired</t>
        </is>
      </c>
      <c r="D2346" s="0" t="inlineStr">
        <is>
          <t>:</t>
        </is>
      </c>
      <c r="E2346" s="0" t="inlineStr">
        <is>
          <t>175.00K</t>
        </is>
      </c>
      <c r="F2346" s="0" t="inlineStr">
        <is>
          <t>(6,</t>
        </is>
      </c>
      <c r="G2346" s="0" t="inlineStr">
        <is>
          <t>17)</t>
        </is>
      </c>
      <c r="K2346" s="0">
        <f>IF(H2345="1)",1,IF(H2345="2)",2,IF(H2345="3)",3,IF(H2345="4)",4,IF(H2345="5)",5,IF(H2345="6)",6,IF(H2345="7)",7,IF(H2345="8)",8,0))))))))</f>
        <v/>
      </c>
      <c r="L2346" s="0">
        <f>IF(H2345="1)",J2345,IF(H2345="2)",J2345,IF(H2345="3)",J2345,IF(H2345="4)",J2345,IF(H2345="5)",J2345,IF(H2345="6)",J2345,IF(H2345="7)",J2345,IF(H2345="8)",J2345,0))))))))</f>
        <v/>
      </c>
    </row>
    <row r="2347">
      <c r="A2347" s="0" t="inlineStr">
        <is>
          <t>New</t>
        </is>
      </c>
      <c r="B2347" s="0" t="inlineStr">
        <is>
          <t>Item</t>
        </is>
      </c>
      <c r="C2347" s="0" t="inlineStr">
        <is>
          <t>Acquired</t>
        </is>
      </c>
      <c r="D2347" s="0" t="inlineStr">
        <is>
          <t>:</t>
        </is>
      </c>
      <c r="E2347" s="0" t="inlineStr">
        <is>
          <t>62.50K</t>
        </is>
      </c>
      <c r="F2347" s="0" t="inlineStr">
        <is>
          <t>(2,</t>
        </is>
      </c>
      <c r="G2347" s="0" t="inlineStr">
        <is>
          <t>2)</t>
        </is>
      </c>
      <c r="K2347" s="0">
        <f>IF(H2346="1)",1,IF(H2346="2)",2,IF(H2346="3)",3,IF(H2346="4)",4,IF(H2346="5)",5,IF(H2346="6)",6,IF(H2346="7)",7,IF(H2346="8)",8,0))))))))</f>
        <v/>
      </c>
      <c r="L2347" s="0">
        <f>IF(H2346="1)",J2346,IF(H2346="2)",J2346,IF(H2346="3)",J2346,IF(H2346="4)",J2346,IF(H2346="5)",J2346,IF(H2346="6)",J2346,IF(H2346="7)",J2346,IF(H2346="8)",J2346,0))))))))</f>
        <v/>
      </c>
    </row>
    <row r="2348">
      <c r="A2348" s="0" t="inlineStr">
        <is>
          <t>New</t>
        </is>
      </c>
      <c r="B2348" s="0" t="inlineStr">
        <is>
          <t>Item</t>
        </is>
      </c>
      <c r="C2348" s="0" t="inlineStr">
        <is>
          <t>Acquired</t>
        </is>
      </c>
      <c r="D2348" s="0" t="inlineStr">
        <is>
          <t>:</t>
        </is>
      </c>
      <c r="E2348" s="0" t="inlineStr">
        <is>
          <t>Mini</t>
        </is>
      </c>
      <c r="F2348" s="0" t="inlineStr">
        <is>
          <t>(7,</t>
        </is>
      </c>
      <c r="G2348" s="0" t="inlineStr">
        <is>
          <t>24)</t>
        </is>
      </c>
      <c r="K2348" s="0">
        <f>IF(H2347="1)",1,IF(H2347="2)",2,IF(H2347="3)",3,IF(H2347="4)",4,IF(H2347="5)",5,IF(H2347="6)",6,IF(H2347="7)",7,IF(H2347="8)",8,0))))))))</f>
        <v/>
      </c>
      <c r="L2348" s="0">
        <f>IF(H2347="1)",J2347,IF(H2347="2)",J2347,IF(H2347="3)",J2347,IF(H2347="4)",J2347,IF(H2347="5)",J2347,IF(H2347="6)",J2347,IF(H2347="7)",J2347,IF(H2347="8)",J2347,0))))))))</f>
        <v/>
      </c>
    </row>
    <row r="2349">
      <c r="A2349" s="0" t="inlineStr">
        <is>
          <t>New</t>
        </is>
      </c>
      <c r="B2349" s="0" t="inlineStr">
        <is>
          <t>Item</t>
        </is>
      </c>
      <c r="C2349" s="0" t="inlineStr">
        <is>
          <t>Acquired</t>
        </is>
      </c>
      <c r="D2349" s="0" t="inlineStr">
        <is>
          <t>:</t>
        </is>
      </c>
      <c r="E2349" s="0" t="inlineStr">
        <is>
          <t>50.00K</t>
        </is>
      </c>
      <c r="F2349" s="0" t="inlineStr">
        <is>
          <t>(1,</t>
        </is>
      </c>
      <c r="G2349" s="0" t="inlineStr">
        <is>
          <t>19)</t>
        </is>
      </c>
      <c r="K2349" s="0">
        <f>IF(H2348="1)",1,IF(H2348="2)",2,IF(H2348="3)",3,IF(H2348="4)",4,IF(H2348="5)",5,IF(H2348="6)",6,IF(H2348="7)",7,IF(H2348="8)",8,0))))))))</f>
        <v/>
      </c>
      <c r="L2349" s="0">
        <f>IF(H2348="1)",J2348,IF(H2348="2)",J2348,IF(H2348="3)",J2348,IF(H2348="4)",J2348,IF(H2348="5)",J2348,IF(H2348="6)",J2348,IF(H2348="7)",J2348,IF(H2348="8)",J2348,0))))))))</f>
        <v/>
      </c>
    </row>
    <row r="2350">
      <c r="A2350" s="0" t="inlineStr">
        <is>
          <t>New</t>
        </is>
      </c>
      <c r="B2350" s="0" t="inlineStr">
        <is>
          <t>Item</t>
        </is>
      </c>
      <c r="C2350" s="0" t="inlineStr">
        <is>
          <t>Acquired</t>
        </is>
      </c>
      <c r="D2350" s="0" t="inlineStr">
        <is>
          <t>:</t>
        </is>
      </c>
      <c r="E2350" s="0" t="inlineStr">
        <is>
          <t>75.00K</t>
        </is>
      </c>
      <c r="F2350" s="0" t="inlineStr">
        <is>
          <t>(4,</t>
        </is>
      </c>
      <c r="G2350" s="0" t="inlineStr">
        <is>
          <t>22)</t>
        </is>
      </c>
      <c r="K2350" s="0">
        <f>IF(H2349="1)",1,IF(H2349="2)",2,IF(H2349="3)",3,IF(H2349="4)",4,IF(H2349="5)",5,IF(H2349="6)",6,IF(H2349="7)",7,IF(H2349="8)",8,0))))))))</f>
        <v/>
      </c>
      <c r="L2350" s="0">
        <f>IF(H2349="1)",J2349,IF(H2349="2)",J2349,IF(H2349="3)",J2349,IF(H2349="4)",J2349,IF(H2349="5)",J2349,IF(H2349="6)",J2349,IF(H2349="7)",J2349,IF(H2349="8)",J2349,0))))))))</f>
        <v/>
      </c>
    </row>
    <row r="2351">
      <c r="A2351" s="0" t="inlineStr">
        <is>
          <t>New</t>
        </is>
      </c>
      <c r="B2351" s="0" t="inlineStr">
        <is>
          <t>Item</t>
        </is>
      </c>
      <c r="C2351" s="0" t="inlineStr">
        <is>
          <t>Acquired</t>
        </is>
      </c>
      <c r="D2351" s="0" t="inlineStr">
        <is>
          <t>:</t>
        </is>
      </c>
      <c r="E2351" s="0" t="inlineStr">
        <is>
          <t>67.50K</t>
        </is>
      </c>
      <c r="F2351" s="0" t="inlineStr">
        <is>
          <t>(5,</t>
        </is>
      </c>
      <c r="G2351" s="0" t="inlineStr">
        <is>
          <t>8)</t>
        </is>
      </c>
      <c r="K2351" s="0">
        <f>IF(H2350="1)",1,IF(H2350="2)",2,IF(H2350="3)",3,IF(H2350="4)",4,IF(H2350="5)",5,IF(H2350="6)",6,IF(H2350="7)",7,IF(H2350="8)",8,0))))))))</f>
        <v/>
      </c>
      <c r="L2351" s="0">
        <f>IF(H2350="1)",J2350,IF(H2350="2)",J2350,IF(H2350="3)",J2350,IF(H2350="4)",J2350,IF(H2350="5)",J2350,IF(H2350="6)",J2350,IF(H2350="7)",J2350,IF(H2350="8)",J2350,0))))))))</f>
        <v/>
      </c>
    </row>
    <row r="2352">
      <c r="A2352" s="0" t="inlineStr">
        <is>
          <t>New</t>
        </is>
      </c>
      <c r="B2352" s="0" t="inlineStr">
        <is>
          <t>Item</t>
        </is>
      </c>
      <c r="C2352" s="0" t="inlineStr">
        <is>
          <t>Acquired</t>
        </is>
      </c>
      <c r="D2352" s="0" t="inlineStr">
        <is>
          <t>:</t>
        </is>
      </c>
      <c r="E2352" s="0" t="inlineStr">
        <is>
          <t>75.00K</t>
        </is>
      </c>
      <c r="F2352" s="0" t="inlineStr">
        <is>
          <t>(6,</t>
        </is>
      </c>
      <c r="G2352" s="0" t="inlineStr">
        <is>
          <t>10)</t>
        </is>
      </c>
      <c r="K2352" s="0">
        <f>IF(H2351="1)",1,IF(H2351="2)",2,IF(H2351="3)",3,IF(H2351="4)",4,IF(H2351="5)",5,IF(H2351="6)",6,IF(H2351="7)",7,IF(H2351="8)",8,0))))))))</f>
        <v/>
      </c>
      <c r="L2352" s="0">
        <f>IF(H2351="1)",J2351,IF(H2351="2)",J2351,IF(H2351="3)",J2351,IF(H2351="4)",J2351,IF(H2351="5)",J2351,IF(H2351="6)",J2351,IF(H2351="7)",J2351,IF(H2351="8)",J2351,0))))))))</f>
        <v/>
      </c>
    </row>
    <row r="2353">
      <c r="A2353" s="0" t="inlineStr">
        <is>
          <t>New</t>
        </is>
      </c>
      <c r="B2353" s="0" t="inlineStr">
        <is>
          <t>Item</t>
        </is>
      </c>
      <c r="C2353" s="0" t="inlineStr">
        <is>
          <t>Acquired</t>
        </is>
      </c>
      <c r="D2353" s="0" t="inlineStr">
        <is>
          <t>:</t>
        </is>
      </c>
      <c r="E2353" s="0" t="inlineStr">
        <is>
          <t>90.00K</t>
        </is>
      </c>
      <c r="F2353" s="0" t="inlineStr">
        <is>
          <t>(7,</t>
        </is>
      </c>
      <c r="G2353" s="0" t="inlineStr">
        <is>
          <t>20)</t>
        </is>
      </c>
      <c r="K2353" s="0">
        <f>IF(H2352="1)",1,IF(H2352="2)",2,IF(H2352="3)",3,IF(H2352="4)",4,IF(H2352="5)",5,IF(H2352="6)",6,IF(H2352="7)",7,IF(H2352="8)",8,0))))))))</f>
        <v/>
      </c>
      <c r="L2353" s="0">
        <f>IF(H2352="1)",J2352,IF(H2352="2)",J2352,IF(H2352="3)",J2352,IF(H2352="4)",J2352,IF(H2352="5)",J2352,IF(H2352="6)",J2352,IF(H2352="7)",J2352,IF(H2352="8)",J2352,0))))))))</f>
        <v/>
      </c>
    </row>
    <row r="2354">
      <c r="A2354" s="0" t="inlineStr">
        <is>
          <t>New</t>
        </is>
      </c>
      <c r="B2354" s="0" t="inlineStr">
        <is>
          <t>Item</t>
        </is>
      </c>
      <c r="C2354" s="0" t="inlineStr">
        <is>
          <t>Acquired</t>
        </is>
      </c>
      <c r="D2354" s="0" t="inlineStr">
        <is>
          <t>:</t>
        </is>
      </c>
      <c r="E2354" s="0" t="inlineStr">
        <is>
          <t>75.00K</t>
        </is>
      </c>
      <c r="F2354" s="0" t="inlineStr">
        <is>
          <t>(6,</t>
        </is>
      </c>
      <c r="G2354" s="0" t="inlineStr">
        <is>
          <t>18)</t>
        </is>
      </c>
      <c r="K2354" s="0">
        <f>IF(H2353="1)",1,IF(H2353="2)",2,IF(H2353="3)",3,IF(H2353="4)",4,IF(H2353="5)",5,IF(H2353="6)",6,IF(H2353="7)",7,IF(H2353="8)",8,0))))))))</f>
        <v/>
      </c>
      <c r="L2354" s="0">
        <f>IF(H2353="1)",J2353,IF(H2353="2)",J2353,IF(H2353="3)",J2353,IF(H2353="4)",J2353,IF(H2353="5)",J2353,IF(H2353="6)",J2353,IF(H2353="7)",J2353,IF(H2353="8)",J2353,0))))))))</f>
        <v/>
      </c>
    </row>
    <row r="2355">
      <c r="A2355" s="0" t="inlineStr">
        <is>
          <t>New</t>
        </is>
      </c>
      <c r="B2355" s="0" t="inlineStr">
        <is>
          <t>Item</t>
        </is>
      </c>
      <c r="C2355" s="0" t="inlineStr">
        <is>
          <t>Acquired</t>
        </is>
      </c>
      <c r="D2355" s="0" t="inlineStr">
        <is>
          <t>:</t>
        </is>
      </c>
      <c r="E2355" s="0" t="inlineStr">
        <is>
          <t>90.00K</t>
        </is>
      </c>
      <c r="F2355" s="0" t="inlineStr">
        <is>
          <t>(7,</t>
        </is>
      </c>
      <c r="G2355" s="0" t="inlineStr">
        <is>
          <t>11)</t>
        </is>
      </c>
      <c r="K2355" s="0">
        <f>IF(H2354="1)",1,IF(H2354="2)",2,IF(H2354="3)",3,IF(H2354="4)",4,IF(H2354="5)",5,IF(H2354="6)",6,IF(H2354="7)",7,IF(H2354="8)",8,0))))))))</f>
        <v/>
      </c>
      <c r="L2355" s="0">
        <f>IF(H2354="1)",J2354,IF(H2354="2)",J2354,IF(H2354="3)",J2354,IF(H2354="4)",J2354,IF(H2354="5)",J2354,IF(H2354="6)",J2354,IF(H2354="7)",J2354,IF(H2354="8)",J2354,0))))))))</f>
        <v/>
      </c>
    </row>
    <row r="2356">
      <c r="A2356" s="0" t="inlineStr">
        <is>
          <t>New</t>
        </is>
      </c>
      <c r="B2356" s="0" t="inlineStr">
        <is>
          <t>Item</t>
        </is>
      </c>
      <c r="C2356" s="0" t="inlineStr">
        <is>
          <t>Acquired</t>
        </is>
      </c>
      <c r="D2356" s="0" t="inlineStr">
        <is>
          <t>:</t>
        </is>
      </c>
      <c r="E2356" s="0" t="inlineStr">
        <is>
          <t>75.00K</t>
        </is>
      </c>
      <c r="F2356" s="0" t="inlineStr">
        <is>
          <t>(6,</t>
        </is>
      </c>
      <c r="G2356" s="0" t="inlineStr">
        <is>
          <t>19)</t>
        </is>
      </c>
      <c r="K2356" s="0">
        <f>IF(H2355="1)",1,IF(H2355="2)",2,IF(H2355="3)",3,IF(H2355="4)",4,IF(H2355="5)",5,IF(H2355="6)",6,IF(H2355="7)",7,IF(H2355="8)",8,0))))))))</f>
        <v/>
      </c>
      <c r="L2356" s="0">
        <f>IF(H2355="1)",J2355,IF(H2355="2)",J2355,IF(H2355="3)",J2355,IF(H2355="4)",J2355,IF(H2355="5)",J2355,IF(H2355="6)",J2355,IF(H2355="7)",J2355,IF(H2355="8)",J2355,0))))))))</f>
        <v/>
      </c>
    </row>
    <row r="2357">
      <c r="A2357" s="0" t="inlineStr">
        <is>
          <t>Line</t>
        </is>
      </c>
      <c r="B2357" s="0" t="inlineStr">
        <is>
          <t>Prize</t>
        </is>
      </c>
      <c r="C2357" s="0" t="inlineStr">
        <is>
          <t>Acquired</t>
        </is>
      </c>
      <c r="D2357" s="0" t="inlineStr">
        <is>
          <t>:</t>
        </is>
      </c>
      <c r="E2357" s="0" t="inlineStr">
        <is>
          <t>575.00K</t>
        </is>
      </c>
      <c r="F2357" s="0" t="inlineStr">
        <is>
          <t>(Stage</t>
        </is>
      </c>
      <c r="G2357" s="0" t="inlineStr">
        <is>
          <t>:</t>
        </is>
      </c>
      <c r="H2357" s="0" t="inlineStr">
        <is>
          <t>6)</t>
        </is>
      </c>
      <c r="I2357" s="0" t="inlineStr">
        <is>
          <t>-</t>
        </is>
      </c>
      <c r="J2357" s="0" t="n">
        <v>575000</v>
      </c>
      <c r="K2357" s="0">
        <f>IF(H2356="1)",1,IF(H2356="2)",2,IF(H2356="3)",3,IF(H2356="4)",4,IF(H2356="5)",5,IF(H2356="6)",6,IF(H2356="7)",7,IF(H2356="8)",8,0))))))))</f>
        <v/>
      </c>
      <c r="L2357" s="0">
        <f>IF(H2356="1)",J2356,IF(H2356="2)",J2356,IF(H2356="3)",J2356,IF(H2356="4)",J2356,IF(H2356="5)",J2356,IF(H2356="6)",J2356,IF(H2356="7)",J2356,IF(H2356="8)",J2356,0))))))))</f>
        <v/>
      </c>
    </row>
    <row r="2358">
      <c r="A2358" s="0" t="inlineStr">
        <is>
          <t>Clear</t>
        </is>
      </c>
      <c r="B2358" s="0" t="inlineStr">
        <is>
          <t>Gem</t>
        </is>
      </c>
      <c r="C2358" s="0" t="inlineStr">
        <is>
          <t>Acquired</t>
        </is>
      </c>
      <c r="D2358" s="0" t="inlineStr">
        <is>
          <t>:</t>
        </is>
      </c>
      <c r="E2358" s="0" t="n">
        <v>14500</v>
      </c>
      <c r="F2358" s="0" t="inlineStr">
        <is>
          <t>-&gt;</t>
        </is>
      </c>
      <c r="G2358" s="0" t="n">
        <v>14600</v>
      </c>
      <c r="H2358" s="0" t="inlineStr">
        <is>
          <t>(Stage</t>
        </is>
      </c>
      <c r="I2358" s="0" t="inlineStr">
        <is>
          <t>:</t>
        </is>
      </c>
      <c r="J2358" s="0" t="inlineStr">
        <is>
          <t>6)</t>
        </is>
      </c>
      <c r="K2358" s="0">
        <f>IF(H2357="1)",1,IF(H2357="2)",2,IF(H2357="3)",3,IF(H2357="4)",4,IF(H2357="5)",5,IF(H2357="6)",6,IF(H2357="7)",7,IF(H2357="8)",8,0))))))))</f>
        <v/>
      </c>
      <c r="L2358" s="0">
        <f>IF(H2357="1)",J2357,IF(H2357="2)",J2357,IF(H2357="3)",J2357,IF(H2357="4)",J2357,IF(H2357="5)",J2357,IF(H2357="6)",J2357,IF(H2357="7)",J2357,IF(H2357="8)",J2357,0))))))))</f>
        <v/>
      </c>
    </row>
    <row r="2359">
      <c r="A2359" s="0" t="inlineStr">
        <is>
          <t>New</t>
        </is>
      </c>
      <c r="B2359" s="0" t="inlineStr">
        <is>
          <t>Item</t>
        </is>
      </c>
      <c r="C2359" s="0" t="inlineStr">
        <is>
          <t>Acquired</t>
        </is>
      </c>
      <c r="D2359" s="0" t="inlineStr">
        <is>
          <t>:</t>
        </is>
      </c>
      <c r="E2359" s="0" t="inlineStr">
        <is>
          <t>75.00K</t>
        </is>
      </c>
      <c r="F2359" s="0" t="inlineStr">
        <is>
          <t>(6,</t>
        </is>
      </c>
      <c r="G2359" s="0" t="inlineStr">
        <is>
          <t>8)</t>
        </is>
      </c>
      <c r="K2359" s="0">
        <f>IF(H2358="1)",1,IF(H2358="2)",2,IF(H2358="3)",3,IF(H2358="4)",4,IF(H2358="5)",5,IF(H2358="6)",6,IF(H2358="7)",7,IF(H2358="8)",8,0))))))))</f>
        <v/>
      </c>
      <c r="L2359" s="0">
        <f>IF(H2358="1)",J2358,IF(H2358="2)",J2358,IF(H2358="3)",J2358,IF(H2358="4)",J2358,IF(H2358="5)",J2358,IF(H2358="6)",J2358,IF(H2358="7)",J2358,IF(H2358="8)",J2358,0))))))))</f>
        <v/>
      </c>
    </row>
    <row r="2360">
      <c r="A2360" s="0" t="inlineStr">
        <is>
          <t>New</t>
        </is>
      </c>
      <c r="B2360" s="0" t="inlineStr">
        <is>
          <t>Item</t>
        </is>
      </c>
      <c r="C2360" s="0" t="inlineStr">
        <is>
          <t>Acquired</t>
        </is>
      </c>
      <c r="D2360" s="0" t="inlineStr">
        <is>
          <t>:</t>
        </is>
      </c>
      <c r="E2360" s="0" t="inlineStr">
        <is>
          <t>75.00K</t>
        </is>
      </c>
      <c r="F2360" s="0" t="inlineStr">
        <is>
          <t>(3,</t>
        </is>
      </c>
      <c r="G2360" s="0" t="inlineStr">
        <is>
          <t>6)</t>
        </is>
      </c>
      <c r="K2360" s="0">
        <f>IF(H2359="1)",1,IF(H2359="2)",2,IF(H2359="3)",3,IF(H2359="4)",4,IF(H2359="5)",5,IF(H2359="6)",6,IF(H2359="7)",7,IF(H2359="8)",8,0))))))))</f>
        <v/>
      </c>
      <c r="L2360" s="0">
        <f>IF(H2359="1)",J2359,IF(H2359="2)",J2359,IF(H2359="3)",J2359,IF(H2359="4)",J2359,IF(H2359="5)",J2359,IF(H2359="6)",J2359,IF(H2359="7)",J2359,IF(H2359="8)",J2359,0))))))))</f>
        <v/>
      </c>
    </row>
    <row r="2361">
      <c r="A2361" s="0" t="inlineStr">
        <is>
          <t>New</t>
        </is>
      </c>
      <c r="B2361" s="0" t="inlineStr">
        <is>
          <t>Item</t>
        </is>
      </c>
      <c r="C2361" s="0" t="inlineStr">
        <is>
          <t>Acquired</t>
        </is>
      </c>
      <c r="D2361" s="0" t="inlineStr">
        <is>
          <t>:</t>
        </is>
      </c>
      <c r="E2361" s="0" t="inlineStr">
        <is>
          <t>Mini</t>
        </is>
      </c>
      <c r="F2361" s="0" t="inlineStr">
        <is>
          <t>(5,</t>
        </is>
      </c>
      <c r="G2361" s="0" t="inlineStr">
        <is>
          <t>5)</t>
        </is>
      </c>
      <c r="K2361" s="0">
        <f>IF(H2360="1)",1,IF(H2360="2)",2,IF(H2360="3)",3,IF(H2360="4)",4,IF(H2360="5)",5,IF(H2360="6)",6,IF(H2360="7)",7,IF(H2360="8)",8,0))))))))</f>
        <v/>
      </c>
      <c r="L2361" s="0">
        <f>IF(H2360="1)",J2360,IF(H2360="2)",J2360,IF(H2360="3)",J2360,IF(H2360="4)",J2360,IF(H2360="5)",J2360,IF(H2360="6)",J2360,IF(H2360="7)",J2360,IF(H2360="8)",J2360,0))))))))</f>
        <v/>
      </c>
    </row>
    <row r="2362">
      <c r="A2362" s="0" t="inlineStr">
        <is>
          <t>New</t>
        </is>
      </c>
      <c r="B2362" s="0" t="inlineStr">
        <is>
          <t>Item</t>
        </is>
      </c>
      <c r="C2362" s="0" t="inlineStr">
        <is>
          <t>Acquired</t>
        </is>
      </c>
      <c r="D2362" s="0" t="inlineStr">
        <is>
          <t>:</t>
        </is>
      </c>
      <c r="E2362" s="0" t="inlineStr">
        <is>
          <t>45.00K</t>
        </is>
      </c>
      <c r="F2362" s="0" t="inlineStr">
        <is>
          <t>(3,</t>
        </is>
      </c>
      <c r="G2362" s="0" t="inlineStr">
        <is>
          <t>2)</t>
        </is>
      </c>
      <c r="K2362" s="0">
        <f>IF(H2361="1)",1,IF(H2361="2)",2,IF(H2361="3)",3,IF(H2361="4)",4,IF(H2361="5)",5,IF(H2361="6)",6,IF(H2361="7)",7,IF(H2361="8)",8,0))))))))</f>
        <v/>
      </c>
      <c r="L2362" s="0">
        <f>IF(H2361="1)",J2361,IF(H2361="2)",J2361,IF(H2361="3)",J2361,IF(H2361="4)",J2361,IF(H2361="5)",J2361,IF(H2361="6)",J2361,IF(H2361="7)",J2361,IF(H2361="8)",J2361,0))))))))</f>
        <v/>
      </c>
    </row>
    <row r="2363">
      <c r="A2363" s="0" t="inlineStr">
        <is>
          <t>New</t>
        </is>
      </c>
      <c r="B2363" s="0" t="inlineStr">
        <is>
          <t>Item</t>
        </is>
      </c>
      <c r="C2363" s="0" t="inlineStr">
        <is>
          <t>Acquired</t>
        </is>
      </c>
      <c r="D2363" s="0" t="inlineStr">
        <is>
          <t>:</t>
        </is>
      </c>
      <c r="E2363" s="0" t="inlineStr">
        <is>
          <t>75.00K</t>
        </is>
      </c>
      <c r="F2363" s="0" t="inlineStr">
        <is>
          <t>(3,</t>
        </is>
      </c>
      <c r="G2363" s="0" t="inlineStr">
        <is>
          <t>18)</t>
        </is>
      </c>
      <c r="K2363" s="0">
        <f>IF(H2362="1)",1,IF(H2362="2)",2,IF(H2362="3)",3,IF(H2362="4)",4,IF(H2362="5)",5,IF(H2362="6)",6,IF(H2362="7)",7,IF(H2362="8)",8,0))))))))</f>
        <v/>
      </c>
      <c r="L2363" s="0">
        <f>IF(H2362="1)",J2362,IF(H2362="2)",J2362,IF(H2362="3)",J2362,IF(H2362="4)",J2362,IF(H2362="5)",J2362,IF(H2362="6)",J2362,IF(H2362="7)",J2362,IF(H2362="8)",J2362,0))))))))</f>
        <v/>
      </c>
    </row>
    <row r="2364">
      <c r="A2364" s="0" t="inlineStr">
        <is>
          <t>New</t>
        </is>
      </c>
      <c r="B2364" s="0" t="inlineStr">
        <is>
          <t>Item</t>
        </is>
      </c>
      <c r="C2364" s="0" t="inlineStr">
        <is>
          <t>Acquired</t>
        </is>
      </c>
      <c r="D2364" s="0" t="inlineStr">
        <is>
          <t>:</t>
        </is>
      </c>
      <c r="E2364" s="0" t="inlineStr">
        <is>
          <t>60.00K</t>
        </is>
      </c>
      <c r="F2364" s="0" t="inlineStr">
        <is>
          <t>(4,</t>
        </is>
      </c>
      <c r="G2364" s="0" t="inlineStr">
        <is>
          <t>7)</t>
        </is>
      </c>
      <c r="K2364" s="0">
        <f>IF(H2363="1)",1,IF(H2363="2)",2,IF(H2363="3)",3,IF(H2363="4)",4,IF(H2363="5)",5,IF(H2363="6)",6,IF(H2363="7)",7,IF(H2363="8)",8,0))))))))</f>
        <v/>
      </c>
      <c r="L2364" s="0">
        <f>IF(H2363="1)",J2363,IF(H2363="2)",J2363,IF(H2363="3)",J2363,IF(H2363="4)",J2363,IF(H2363="5)",J2363,IF(H2363="6)",J2363,IF(H2363="7)",J2363,IF(H2363="8)",J2363,0))))))))</f>
        <v/>
      </c>
    </row>
    <row r="2365">
      <c r="A2365" s="0" t="inlineStr">
        <is>
          <t>New</t>
        </is>
      </c>
      <c r="B2365" s="0" t="inlineStr">
        <is>
          <t>Item</t>
        </is>
      </c>
      <c r="C2365" s="0" t="inlineStr">
        <is>
          <t>Acquired</t>
        </is>
      </c>
      <c r="D2365" s="0" t="inlineStr">
        <is>
          <t>:</t>
        </is>
      </c>
      <c r="E2365" s="0" t="inlineStr">
        <is>
          <t>37.50K</t>
        </is>
      </c>
      <c r="F2365" s="0" t="inlineStr">
        <is>
          <t>(2,</t>
        </is>
      </c>
      <c r="G2365" s="0" t="inlineStr">
        <is>
          <t>25)</t>
        </is>
      </c>
      <c r="K2365" s="0">
        <f>IF(H2364="1)",1,IF(H2364="2)",2,IF(H2364="3)",3,IF(H2364="4)",4,IF(H2364="5)",5,IF(H2364="6)",6,IF(H2364="7)",7,IF(H2364="8)",8,0))))))))</f>
        <v/>
      </c>
      <c r="L2365" s="0">
        <f>IF(H2364="1)",J2364,IF(H2364="2)",J2364,IF(H2364="3)",J2364,IF(H2364="4)",J2364,IF(H2364="5)",J2364,IF(H2364="6)",J2364,IF(H2364="7)",J2364,IF(H2364="8)",J2364,0))))))))</f>
        <v/>
      </c>
    </row>
    <row r="2366">
      <c r="A2366" s="0" t="inlineStr">
        <is>
          <t>New</t>
        </is>
      </c>
      <c r="B2366" s="0" t="inlineStr">
        <is>
          <t>Item</t>
        </is>
      </c>
      <c r="C2366" s="0" t="inlineStr">
        <is>
          <t>Acquired</t>
        </is>
      </c>
      <c r="D2366" s="0" t="inlineStr">
        <is>
          <t>:</t>
        </is>
      </c>
      <c r="E2366" s="0" t="inlineStr">
        <is>
          <t>75.00K</t>
        </is>
      </c>
      <c r="F2366" s="0" t="inlineStr">
        <is>
          <t>(3,</t>
        </is>
      </c>
      <c r="G2366" s="0" t="inlineStr">
        <is>
          <t>14)</t>
        </is>
      </c>
      <c r="K2366" s="0">
        <f>IF(H2365="1)",1,IF(H2365="2)",2,IF(H2365="3)",3,IF(H2365="4)",4,IF(H2365="5)",5,IF(H2365="6)",6,IF(H2365="7)",7,IF(H2365="8)",8,0))))))))</f>
        <v/>
      </c>
      <c r="L2366" s="0">
        <f>IF(H2365="1)",J2365,IF(H2365="2)",J2365,IF(H2365="3)",J2365,IF(H2365="4)",J2365,IF(H2365="5)",J2365,IF(H2365="6)",J2365,IF(H2365="7)",J2365,IF(H2365="8)",J2365,0))))))))</f>
        <v/>
      </c>
    </row>
    <row r="2367">
      <c r="A2367" s="0" t="inlineStr">
        <is>
          <t>New</t>
        </is>
      </c>
      <c r="B2367" s="0" t="inlineStr">
        <is>
          <t>Item</t>
        </is>
      </c>
      <c r="C2367" s="0" t="inlineStr">
        <is>
          <t>Acquired</t>
        </is>
      </c>
      <c r="D2367" s="0" t="inlineStr">
        <is>
          <t>:</t>
        </is>
      </c>
      <c r="E2367" s="0" t="inlineStr">
        <is>
          <t>67.50K</t>
        </is>
      </c>
      <c r="F2367" s="0" t="inlineStr">
        <is>
          <t>(5,</t>
        </is>
      </c>
      <c r="G2367" s="0" t="inlineStr">
        <is>
          <t>23)</t>
        </is>
      </c>
      <c r="K2367" s="0">
        <f>IF(H2366="1)",1,IF(H2366="2)",2,IF(H2366="3)",3,IF(H2366="4)",4,IF(H2366="5)",5,IF(H2366="6)",6,IF(H2366="7)",7,IF(H2366="8)",8,0))))))))</f>
        <v/>
      </c>
      <c r="L2367" s="0">
        <f>IF(H2366="1)",J2366,IF(H2366="2)",J2366,IF(H2366="3)",J2366,IF(H2366="4)",J2366,IF(H2366="5)",J2366,IF(H2366="6)",J2366,IF(H2366="7)",J2366,IF(H2366="8)",J2366,0))))))))</f>
        <v/>
      </c>
    </row>
    <row r="2368">
      <c r="A2368" s="0" t="inlineStr">
        <is>
          <t>New</t>
        </is>
      </c>
      <c r="B2368" s="0" t="inlineStr">
        <is>
          <t>Item</t>
        </is>
      </c>
      <c r="C2368" s="0" t="inlineStr">
        <is>
          <t>Acquired</t>
        </is>
      </c>
      <c r="D2368" s="0" t="inlineStr">
        <is>
          <t>:</t>
        </is>
      </c>
      <c r="E2368" s="0" t="inlineStr">
        <is>
          <t>105.00K</t>
        </is>
      </c>
      <c r="F2368" s="0" t="inlineStr">
        <is>
          <t>(4,</t>
        </is>
      </c>
      <c r="G2368" s="0" t="inlineStr">
        <is>
          <t>16)</t>
        </is>
      </c>
      <c r="K2368" s="0">
        <f>IF(H2367="1)",1,IF(H2367="2)",2,IF(H2367="3)",3,IF(H2367="4)",4,IF(H2367="5)",5,IF(H2367="6)",6,IF(H2367="7)",7,IF(H2367="8)",8,0))))))))</f>
        <v/>
      </c>
      <c r="L2368" s="0">
        <f>IF(H2367="1)",J2367,IF(H2367="2)",J2367,IF(H2367="3)",J2367,IF(H2367="4)",J2367,IF(H2367="5)",J2367,IF(H2367="6)",J2367,IF(H2367="7)",J2367,IF(H2367="8)",J2367,0))))))))</f>
        <v/>
      </c>
    </row>
    <row r="2369">
      <c r="A2369" s="0" t="inlineStr">
        <is>
          <t>New</t>
        </is>
      </c>
      <c r="B2369" s="0" t="inlineStr">
        <is>
          <t>Item</t>
        </is>
      </c>
      <c r="C2369" s="0" t="inlineStr">
        <is>
          <t>Acquired</t>
        </is>
      </c>
      <c r="D2369" s="0" t="inlineStr">
        <is>
          <t>:</t>
        </is>
      </c>
      <c r="E2369" s="0" t="inlineStr">
        <is>
          <t>200.00K</t>
        </is>
      </c>
      <c r="F2369" s="0" t="inlineStr">
        <is>
          <t>(8,</t>
        </is>
      </c>
      <c r="G2369" s="0" t="inlineStr">
        <is>
          <t>5)</t>
        </is>
      </c>
      <c r="K2369" s="0">
        <f>IF(H2368="1)",1,IF(H2368="2)",2,IF(H2368="3)",3,IF(H2368="4)",4,IF(H2368="5)",5,IF(H2368="6)",6,IF(H2368="7)",7,IF(H2368="8)",8,0))))))))</f>
        <v/>
      </c>
      <c r="L2369" s="0">
        <f>IF(H2368="1)",J2368,IF(H2368="2)",J2368,IF(H2368="3)",J2368,IF(H2368="4)",J2368,IF(H2368="5)",J2368,IF(H2368="6)",J2368,IF(H2368="7)",J2368,IF(H2368="8)",J2368,0))))))))</f>
        <v/>
      </c>
    </row>
    <row r="2370">
      <c r="A2370" s="0" t="inlineStr">
        <is>
          <t>New</t>
        </is>
      </c>
      <c r="B2370" s="0" t="inlineStr">
        <is>
          <t>Item</t>
        </is>
      </c>
      <c r="C2370" s="0" t="inlineStr">
        <is>
          <t>Acquired</t>
        </is>
      </c>
      <c r="D2370" s="0" t="inlineStr">
        <is>
          <t>:</t>
        </is>
      </c>
      <c r="E2370" s="0" t="inlineStr">
        <is>
          <t>157.50K</t>
        </is>
      </c>
      <c r="F2370" s="0" t="inlineStr">
        <is>
          <t>(5,</t>
        </is>
      </c>
      <c r="G2370" s="0" t="inlineStr">
        <is>
          <t>12)</t>
        </is>
      </c>
      <c r="K2370" s="0">
        <f>IF(H2369="1)",1,IF(H2369="2)",2,IF(H2369="3)",3,IF(H2369="4)",4,IF(H2369="5)",5,IF(H2369="6)",6,IF(H2369="7)",7,IF(H2369="8)",8,0))))))))</f>
        <v/>
      </c>
      <c r="L2370" s="0">
        <f>IF(H2369="1)",J2369,IF(H2369="2)",J2369,IF(H2369="3)",J2369,IF(H2369="4)",J2369,IF(H2369="5)",J2369,IF(H2369="6)",J2369,IF(H2369="7)",J2369,IF(H2369="8)",J2369,0))))))))</f>
        <v/>
      </c>
    </row>
    <row r="2371">
      <c r="A2371" s="0" t="inlineStr">
        <is>
          <t>New</t>
        </is>
      </c>
      <c r="B2371" s="0" t="inlineStr">
        <is>
          <t>Item</t>
        </is>
      </c>
      <c r="C2371" s="0" t="inlineStr">
        <is>
          <t>Acquired</t>
        </is>
      </c>
      <c r="D2371" s="0" t="inlineStr">
        <is>
          <t>:</t>
        </is>
      </c>
      <c r="E2371" s="0" t="inlineStr">
        <is>
          <t>75.00K</t>
        </is>
      </c>
      <c r="F2371" s="0" t="inlineStr">
        <is>
          <t>(6,</t>
        </is>
      </c>
      <c r="G2371" s="0" t="inlineStr">
        <is>
          <t>25)</t>
        </is>
      </c>
      <c r="K2371" s="0">
        <f>IF(H2370="1)",1,IF(H2370="2)",2,IF(H2370="3)",3,IF(H2370="4)",4,IF(H2370="5)",5,IF(H2370="6)",6,IF(H2370="7)",7,IF(H2370="8)",8,0))))))))</f>
        <v/>
      </c>
      <c r="L2371" s="0">
        <f>IF(H2370="1)",J2370,IF(H2370="2)",J2370,IF(H2370="3)",J2370,IF(H2370="4)",J2370,IF(H2370="5)",J2370,IF(H2370="6)",J2370,IF(H2370="7)",J2370,IF(H2370="8)",J2370,0))))))))</f>
        <v/>
      </c>
    </row>
    <row r="2372">
      <c r="A2372" s="0" t="inlineStr">
        <is>
          <t>New</t>
        </is>
      </c>
      <c r="B2372" s="0" t="inlineStr">
        <is>
          <t>Item</t>
        </is>
      </c>
      <c r="C2372" s="0" t="inlineStr">
        <is>
          <t>Acquired</t>
        </is>
      </c>
      <c r="D2372" s="0" t="inlineStr">
        <is>
          <t>:</t>
        </is>
      </c>
      <c r="E2372" s="0" t="inlineStr">
        <is>
          <t>70.00K</t>
        </is>
      </c>
      <c r="F2372" s="0" t="inlineStr">
        <is>
          <t>(1,</t>
        </is>
      </c>
      <c r="G2372" s="0" t="inlineStr">
        <is>
          <t>12)</t>
        </is>
      </c>
      <c r="K2372" s="0">
        <f>IF(H2371="1)",1,IF(H2371="2)",2,IF(H2371="3)",3,IF(H2371="4)",4,IF(H2371="5)",5,IF(H2371="6)",6,IF(H2371="7)",7,IF(H2371="8)",8,0))))))))</f>
        <v/>
      </c>
      <c r="L2372" s="0">
        <f>IF(H2371="1)",J2371,IF(H2371="2)",J2371,IF(H2371="3)",J2371,IF(H2371="4)",J2371,IF(H2371="5)",J2371,IF(H2371="6)",J2371,IF(H2371="7)",J2371,IF(H2371="8)",J2371,0))))))))</f>
        <v/>
      </c>
    </row>
    <row r="2373">
      <c r="A2373" s="0" t="inlineStr">
        <is>
          <t>New</t>
        </is>
      </c>
      <c r="B2373" s="0" t="inlineStr">
        <is>
          <t>Item</t>
        </is>
      </c>
      <c r="C2373" s="0" t="inlineStr">
        <is>
          <t>Acquired</t>
        </is>
      </c>
      <c r="D2373" s="0" t="inlineStr">
        <is>
          <t>:</t>
        </is>
      </c>
      <c r="E2373" s="0" t="inlineStr">
        <is>
          <t>60.00K</t>
        </is>
      </c>
      <c r="F2373" s="0" t="inlineStr">
        <is>
          <t>(4,</t>
        </is>
      </c>
      <c r="G2373" s="0" t="inlineStr">
        <is>
          <t>5)</t>
        </is>
      </c>
      <c r="K2373" s="0">
        <f>IF(H2372="1)",1,IF(H2372="2)",2,IF(H2372="3)",3,IF(H2372="4)",4,IF(H2372="5)",5,IF(H2372="6)",6,IF(H2372="7)",7,IF(H2372="8)",8,0))))))))</f>
        <v/>
      </c>
      <c r="L2373" s="0">
        <f>IF(H2372="1)",J2372,IF(H2372="2)",J2372,IF(H2372="3)",J2372,IF(H2372="4)",J2372,IF(H2372="5)",J2372,IF(H2372="6)",J2372,IF(H2372="7)",J2372,IF(H2372="8)",J2372,0))))))))</f>
        <v/>
      </c>
    </row>
    <row r="2374">
      <c r="A2374" s="0" t="inlineStr">
        <is>
          <t>New</t>
        </is>
      </c>
      <c r="B2374" s="0" t="inlineStr">
        <is>
          <t>Item</t>
        </is>
      </c>
      <c r="C2374" s="0" t="inlineStr">
        <is>
          <t>Acquired</t>
        </is>
      </c>
      <c r="D2374" s="0" t="inlineStr">
        <is>
          <t>:</t>
        </is>
      </c>
      <c r="E2374" s="0" t="inlineStr">
        <is>
          <t>50.00K</t>
        </is>
      </c>
      <c r="F2374" s="0" t="inlineStr">
        <is>
          <t>(1,</t>
        </is>
      </c>
      <c r="G2374" s="0" t="inlineStr">
        <is>
          <t>6)</t>
        </is>
      </c>
      <c r="K2374" s="0">
        <f>IF(H2373="1)",1,IF(H2373="2)",2,IF(H2373="3)",3,IF(H2373="4)",4,IF(H2373="5)",5,IF(H2373="6)",6,IF(H2373="7)",7,IF(H2373="8)",8,0))))))))</f>
        <v/>
      </c>
      <c r="L2374" s="0">
        <f>IF(H2373="1)",J2373,IF(H2373="2)",J2373,IF(H2373="3)",J2373,IF(H2373="4)",J2373,IF(H2373="5)",J2373,IF(H2373="6)",J2373,IF(H2373="7)",J2373,IF(H2373="8)",J2373,0))))))))</f>
        <v/>
      </c>
    </row>
    <row r="2375">
      <c r="A2375" s="0" t="inlineStr">
        <is>
          <t>New</t>
        </is>
      </c>
      <c r="B2375" s="0" t="inlineStr">
        <is>
          <t>Item</t>
        </is>
      </c>
      <c r="C2375" s="0" t="inlineStr">
        <is>
          <t>Acquired</t>
        </is>
      </c>
      <c r="D2375" s="0" t="inlineStr">
        <is>
          <t>:</t>
        </is>
      </c>
      <c r="E2375" s="0" t="inlineStr">
        <is>
          <t>37.50K</t>
        </is>
      </c>
      <c r="F2375" s="0" t="inlineStr">
        <is>
          <t>(2,</t>
        </is>
      </c>
      <c r="G2375" s="0" t="inlineStr">
        <is>
          <t>8)</t>
        </is>
      </c>
      <c r="K2375" s="0">
        <f>IF(H2374="1)",1,IF(H2374="2)",2,IF(H2374="3)",3,IF(H2374="4)",4,IF(H2374="5)",5,IF(H2374="6)",6,IF(H2374="7)",7,IF(H2374="8)",8,0))))))))</f>
        <v/>
      </c>
      <c r="L2375" s="0">
        <f>IF(H2374="1)",J2374,IF(H2374="2)",J2374,IF(H2374="3)",J2374,IF(H2374="4)",J2374,IF(H2374="5)",J2374,IF(H2374="6)",J2374,IF(H2374="7)",J2374,IF(H2374="8)",J2374,0))))))))</f>
        <v/>
      </c>
    </row>
    <row r="2376">
      <c r="A2376" s="0" t="inlineStr">
        <is>
          <t>New</t>
        </is>
      </c>
      <c r="B2376" s="0" t="inlineStr">
        <is>
          <t>Item</t>
        </is>
      </c>
      <c r="C2376" s="0" t="inlineStr">
        <is>
          <t>Acquired</t>
        </is>
      </c>
      <c r="D2376" s="0" t="inlineStr">
        <is>
          <t>:</t>
        </is>
      </c>
      <c r="E2376" s="0" t="inlineStr">
        <is>
          <t>67.50K</t>
        </is>
      </c>
      <c r="F2376" s="0" t="inlineStr">
        <is>
          <t>(5,</t>
        </is>
      </c>
      <c r="G2376" s="0" t="inlineStr">
        <is>
          <t>14)</t>
        </is>
      </c>
      <c r="K2376" s="0">
        <f>IF(H2375="1)",1,IF(H2375="2)",2,IF(H2375="3)",3,IF(H2375="4)",4,IF(H2375="5)",5,IF(H2375="6)",6,IF(H2375="7)",7,IF(H2375="8)",8,0))))))))</f>
        <v/>
      </c>
      <c r="L2376" s="0">
        <f>IF(H2375="1)",J2375,IF(H2375="2)",J2375,IF(H2375="3)",J2375,IF(H2375="4)",J2375,IF(H2375="5)",J2375,IF(H2375="6)",J2375,IF(H2375="7)",J2375,IF(H2375="8)",J2375,0))))))))</f>
        <v/>
      </c>
    </row>
    <row r="2377">
      <c r="A2377" s="0" t="inlineStr">
        <is>
          <t>New</t>
        </is>
      </c>
      <c r="B2377" s="0" t="inlineStr">
        <is>
          <t>Item</t>
        </is>
      </c>
      <c r="C2377" s="0" t="inlineStr">
        <is>
          <t>Acquired</t>
        </is>
      </c>
      <c r="D2377" s="0" t="inlineStr">
        <is>
          <t>:</t>
        </is>
      </c>
      <c r="E2377" s="0" t="inlineStr">
        <is>
          <t>75.00K</t>
        </is>
      </c>
      <c r="F2377" s="0" t="inlineStr">
        <is>
          <t>(6,</t>
        </is>
      </c>
      <c r="G2377" s="0" t="inlineStr">
        <is>
          <t>19)</t>
        </is>
      </c>
      <c r="K2377" s="0">
        <f>IF(H2376="1)",1,IF(H2376="2)",2,IF(H2376="3)",3,IF(H2376="4)",4,IF(H2376="5)",5,IF(H2376="6)",6,IF(H2376="7)",7,IF(H2376="8)",8,0))))))))</f>
        <v/>
      </c>
      <c r="L2377" s="0">
        <f>IF(H2376="1)",J2376,IF(H2376="2)",J2376,IF(H2376="3)",J2376,IF(H2376="4)",J2376,IF(H2376="5)",J2376,IF(H2376="6)",J2376,IF(H2376="7)",J2376,IF(H2376="8)",J2376,0))))))))</f>
        <v/>
      </c>
    </row>
    <row r="2378">
      <c r="A2378" s="0" t="inlineStr">
        <is>
          <t>New</t>
        </is>
      </c>
      <c r="B2378" s="0" t="inlineStr">
        <is>
          <t>Item</t>
        </is>
      </c>
      <c r="C2378" s="0" t="inlineStr">
        <is>
          <t>Acquired</t>
        </is>
      </c>
      <c r="D2378" s="0" t="inlineStr">
        <is>
          <t>:</t>
        </is>
      </c>
      <c r="E2378" s="0" t="inlineStr">
        <is>
          <t>75.00K</t>
        </is>
      </c>
      <c r="F2378" s="0" t="inlineStr">
        <is>
          <t>(6,</t>
        </is>
      </c>
      <c r="G2378" s="0" t="inlineStr">
        <is>
          <t>9)</t>
        </is>
      </c>
      <c r="K2378" s="0">
        <f>IF(H2377="1)",1,IF(H2377="2)",2,IF(H2377="3)",3,IF(H2377="4)",4,IF(H2377="5)",5,IF(H2377="6)",6,IF(H2377="7)",7,IF(H2377="8)",8,0))))))))</f>
        <v/>
      </c>
      <c r="L2378" s="0">
        <f>IF(H2377="1)",J2377,IF(H2377="2)",J2377,IF(H2377="3)",J2377,IF(H2377="4)",J2377,IF(H2377="5)",J2377,IF(H2377="6)",J2377,IF(H2377="7)",J2377,IF(H2377="8)",J2377,0))))))))</f>
        <v/>
      </c>
    </row>
    <row r="2379">
      <c r="A2379" s="0" t="inlineStr">
        <is>
          <t>New</t>
        </is>
      </c>
      <c r="B2379" s="0" t="inlineStr">
        <is>
          <t>Item</t>
        </is>
      </c>
      <c r="C2379" s="0" t="inlineStr">
        <is>
          <t>Acquired</t>
        </is>
      </c>
      <c r="D2379" s="0" t="inlineStr">
        <is>
          <t>:</t>
        </is>
      </c>
      <c r="E2379" s="0" t="inlineStr">
        <is>
          <t>37.50K</t>
        </is>
      </c>
      <c r="F2379" s="0" t="inlineStr">
        <is>
          <t>(2,</t>
        </is>
      </c>
      <c r="G2379" s="0" t="inlineStr">
        <is>
          <t>19)</t>
        </is>
      </c>
      <c r="K2379" s="0">
        <f>IF(H2378="1)",1,IF(H2378="2)",2,IF(H2378="3)",3,IF(H2378="4)",4,IF(H2378="5)",5,IF(H2378="6)",6,IF(H2378="7)",7,IF(H2378="8)",8,0))))))))</f>
        <v/>
      </c>
      <c r="L2379" s="0">
        <f>IF(H2378="1)",J2378,IF(H2378="2)",J2378,IF(H2378="3)",J2378,IF(H2378="4)",J2378,IF(H2378="5)",J2378,IF(H2378="6)",J2378,IF(H2378="7)",J2378,IF(H2378="8)",J2378,0))))))))</f>
        <v/>
      </c>
    </row>
    <row r="2380">
      <c r="A2380" s="0" t="inlineStr">
        <is>
          <t>New</t>
        </is>
      </c>
      <c r="B2380" s="0" t="inlineStr">
        <is>
          <t>Item</t>
        </is>
      </c>
      <c r="C2380" s="0" t="inlineStr">
        <is>
          <t>Acquired</t>
        </is>
      </c>
      <c r="D2380" s="0" t="inlineStr">
        <is>
          <t>:</t>
        </is>
      </c>
      <c r="E2380" s="0" t="inlineStr">
        <is>
          <t>280.00K</t>
        </is>
      </c>
      <c r="F2380" s="0" t="inlineStr">
        <is>
          <t>(8,</t>
        </is>
      </c>
      <c r="G2380" s="0" t="inlineStr">
        <is>
          <t>17)</t>
        </is>
      </c>
      <c r="K2380" s="0">
        <f>IF(H2379="1)",1,IF(H2379="2)",2,IF(H2379="3)",3,IF(H2379="4)",4,IF(H2379="5)",5,IF(H2379="6)",6,IF(H2379="7)",7,IF(H2379="8)",8,0))))))))</f>
        <v/>
      </c>
      <c r="L2380" s="0">
        <f>IF(H2379="1)",J2379,IF(H2379="2)",J2379,IF(H2379="3)",J2379,IF(H2379="4)",J2379,IF(H2379="5)",J2379,IF(H2379="6)",J2379,IF(H2379="7)",J2379,IF(H2379="8)",J2379,0))))))))</f>
        <v/>
      </c>
    </row>
    <row r="2381">
      <c r="A2381" s="0" t="inlineStr">
        <is>
          <t>Item</t>
        </is>
      </c>
      <c r="B2381" s="0" t="inlineStr">
        <is>
          <t>ReSelect</t>
        </is>
      </c>
      <c r="C2381" s="0" t="inlineStr">
        <is>
          <t>Failed</t>
        </is>
      </c>
      <c r="D2381" s="0" t="inlineStr">
        <is>
          <t>:</t>
        </is>
      </c>
      <c r="E2381" s="0" t="inlineStr">
        <is>
          <t>Attempt</t>
        </is>
      </c>
      <c r="F2381" s="0" t="inlineStr">
        <is>
          <t>Count</t>
        </is>
      </c>
      <c r="G2381" s="0" t="inlineStr">
        <is>
          <t>-</t>
        </is>
      </c>
      <c r="H2381" s="0" t="n">
        <v>3</v>
      </c>
      <c r="K2381" s="0">
        <f>IF(H2380="1)",1,IF(H2380="2)",2,IF(H2380="3)",3,IF(H2380="4)",4,IF(H2380="5)",5,IF(H2380="6)",6,IF(H2380="7)",7,IF(H2380="8)",8,0))))))))</f>
        <v/>
      </c>
      <c r="L2381" s="0">
        <f>IF(H2380="1)",J2380,IF(H2380="2)",J2380,IF(H2380="3)",J2380,IF(H2380="4)",J2380,IF(H2380="5)",J2380,IF(H2380="6)",J2380,IF(H2380="7)",J2380,IF(H2380="8)",J2380,0))))))))</f>
        <v/>
      </c>
    </row>
    <row r="2382">
      <c r="A2382" s="0" t="inlineStr">
        <is>
          <t>New</t>
        </is>
      </c>
      <c r="B2382" s="0" t="inlineStr">
        <is>
          <t>Item</t>
        </is>
      </c>
      <c r="C2382" s="0" t="inlineStr">
        <is>
          <t>Acquired</t>
        </is>
      </c>
      <c r="D2382" s="0" t="inlineStr">
        <is>
          <t>:</t>
        </is>
      </c>
      <c r="E2382" s="0" t="inlineStr">
        <is>
          <t>67.50K</t>
        </is>
      </c>
      <c r="F2382" s="0" t="inlineStr">
        <is>
          <t>(5,</t>
        </is>
      </c>
      <c r="G2382" s="0" t="inlineStr">
        <is>
          <t>1)</t>
        </is>
      </c>
      <c r="K2382" s="0">
        <f>IF(H2381="1)",1,IF(H2381="2)",2,IF(H2381="3)",3,IF(H2381="4)",4,IF(H2381="5)",5,IF(H2381="6)",6,IF(H2381="7)",7,IF(H2381="8)",8,0))))))))</f>
        <v/>
      </c>
      <c r="L2382" s="0">
        <f>IF(H2381="1)",J2381,IF(H2381="2)",J2381,IF(H2381="3)",J2381,IF(H2381="4)",J2381,IF(H2381="5)",J2381,IF(H2381="6)",J2381,IF(H2381="7)",J2381,IF(H2381="8)",J2381,0))))))))</f>
        <v/>
      </c>
    </row>
    <row r="2383">
      <c r="A2383" s="0" t="inlineStr">
        <is>
          <t>New</t>
        </is>
      </c>
      <c r="B2383" s="0" t="inlineStr">
        <is>
          <t>Item</t>
        </is>
      </c>
      <c r="C2383" s="0" t="inlineStr">
        <is>
          <t>Acquired</t>
        </is>
      </c>
      <c r="D2383" s="0" t="inlineStr">
        <is>
          <t>:</t>
        </is>
      </c>
      <c r="E2383" s="0" t="inlineStr">
        <is>
          <t>105.00K</t>
        </is>
      </c>
      <c r="F2383" s="0" t="inlineStr">
        <is>
          <t>(3,</t>
        </is>
      </c>
      <c r="G2383" s="0" t="inlineStr">
        <is>
          <t>23)</t>
        </is>
      </c>
      <c r="K2383" s="0">
        <f>IF(H2382="1)",1,IF(H2382="2)",2,IF(H2382="3)",3,IF(H2382="4)",4,IF(H2382="5)",5,IF(H2382="6)",6,IF(H2382="7)",7,IF(H2382="8)",8,0))))))))</f>
        <v/>
      </c>
      <c r="L2383" s="0">
        <f>IF(H2382="1)",J2382,IF(H2382="2)",J2382,IF(H2382="3)",J2382,IF(H2382="4)",J2382,IF(H2382="5)",J2382,IF(H2382="6)",J2382,IF(H2382="7)",J2382,IF(H2382="8)",J2382,0))))))))</f>
        <v/>
      </c>
    </row>
    <row r="2384">
      <c r="A2384" s="0" t="inlineStr">
        <is>
          <t>New</t>
        </is>
      </c>
      <c r="B2384" s="0" t="inlineStr">
        <is>
          <t>Item</t>
        </is>
      </c>
      <c r="C2384" s="0" t="inlineStr">
        <is>
          <t>Acquired</t>
        </is>
      </c>
      <c r="D2384" s="0" t="inlineStr">
        <is>
          <t>:</t>
        </is>
      </c>
      <c r="E2384" s="0" t="inlineStr">
        <is>
          <t>62.50K</t>
        </is>
      </c>
      <c r="F2384" s="0" t="inlineStr">
        <is>
          <t>(2,</t>
        </is>
      </c>
      <c r="G2384" s="0" t="inlineStr">
        <is>
          <t>22)</t>
        </is>
      </c>
      <c r="K2384" s="0">
        <f>IF(H2383="1)",1,IF(H2383="2)",2,IF(H2383="3)",3,IF(H2383="4)",4,IF(H2383="5)",5,IF(H2383="6)",6,IF(H2383="7)",7,IF(H2383="8)",8,0))))))))</f>
        <v/>
      </c>
      <c r="L2384" s="0">
        <f>IF(H2383="1)",J2383,IF(H2383="2)",J2383,IF(H2383="3)",J2383,IF(H2383="4)",J2383,IF(H2383="5)",J2383,IF(H2383="6)",J2383,IF(H2383="7)",J2383,IF(H2383="8)",J2383,0))))))))</f>
        <v/>
      </c>
    </row>
    <row r="2385">
      <c r="A2385" s="0" t="inlineStr">
        <is>
          <t>New</t>
        </is>
      </c>
      <c r="B2385" s="0" t="inlineStr">
        <is>
          <t>Item</t>
        </is>
      </c>
      <c r="C2385" s="0" t="inlineStr">
        <is>
          <t>Acquired</t>
        </is>
      </c>
      <c r="D2385" s="0" t="inlineStr">
        <is>
          <t>:</t>
        </is>
      </c>
      <c r="E2385" s="0" t="inlineStr">
        <is>
          <t>75.00K</t>
        </is>
      </c>
      <c r="F2385" s="0" t="inlineStr">
        <is>
          <t>(6,</t>
        </is>
      </c>
      <c r="G2385" s="0" t="inlineStr">
        <is>
          <t>14)</t>
        </is>
      </c>
      <c r="K2385" s="0">
        <f>IF(H2384="1)",1,IF(H2384="2)",2,IF(H2384="3)",3,IF(H2384="4)",4,IF(H2384="5)",5,IF(H2384="6)",6,IF(H2384="7)",7,IF(H2384="8)",8,0))))))))</f>
        <v/>
      </c>
      <c r="L2385" s="0">
        <f>IF(H2384="1)",J2384,IF(H2384="2)",J2384,IF(H2384="3)",J2384,IF(H2384="4)",J2384,IF(H2384="5)",J2384,IF(H2384="6)",J2384,IF(H2384="7)",J2384,IF(H2384="8)",J2384,0))))))))</f>
        <v/>
      </c>
    </row>
    <row r="2386">
      <c r="A2386" s="0" t="inlineStr">
        <is>
          <t>New</t>
        </is>
      </c>
      <c r="B2386" s="0" t="inlineStr">
        <is>
          <t>Item</t>
        </is>
      </c>
      <c r="C2386" s="0" t="inlineStr">
        <is>
          <t>Acquired</t>
        </is>
      </c>
      <c r="D2386" s="0" t="inlineStr">
        <is>
          <t>:</t>
        </is>
      </c>
      <c r="E2386" s="0" t="inlineStr">
        <is>
          <t>60.00K</t>
        </is>
      </c>
      <c r="F2386" s="0" t="inlineStr">
        <is>
          <t>(4,</t>
        </is>
      </c>
      <c r="G2386" s="0" t="inlineStr">
        <is>
          <t>1)</t>
        </is>
      </c>
      <c r="K2386" s="0">
        <f>IF(H2385="1)",1,IF(H2385="2)",2,IF(H2385="3)",3,IF(H2385="4)",4,IF(H2385="5)",5,IF(H2385="6)",6,IF(H2385="7)",7,IF(H2385="8)",8,0))))))))</f>
        <v/>
      </c>
      <c r="L2386" s="0">
        <f>IF(H2385="1)",J2385,IF(H2385="2)",J2385,IF(H2385="3)",J2385,IF(H2385="4)",J2385,IF(H2385="5)",J2385,IF(H2385="6)",J2385,IF(H2385="7)",J2385,IF(H2385="8)",J2385,0))))))))</f>
        <v/>
      </c>
    </row>
    <row r="2387">
      <c r="A2387" s="0" t="inlineStr">
        <is>
          <t>New</t>
        </is>
      </c>
      <c r="B2387" s="0" t="inlineStr">
        <is>
          <t>Item</t>
        </is>
      </c>
      <c r="C2387" s="0" t="inlineStr">
        <is>
          <t>Acquired</t>
        </is>
      </c>
      <c r="D2387" s="0" t="inlineStr">
        <is>
          <t>:</t>
        </is>
      </c>
      <c r="E2387" s="0" t="inlineStr">
        <is>
          <t>75.00K</t>
        </is>
      </c>
      <c r="F2387" s="0" t="inlineStr">
        <is>
          <t>(3,</t>
        </is>
      </c>
      <c r="G2387" s="0" t="inlineStr">
        <is>
          <t>24)</t>
        </is>
      </c>
      <c r="K2387" s="0">
        <f>IF(H2386="1)",1,IF(H2386="2)",2,IF(H2386="3)",3,IF(H2386="4)",4,IF(H2386="5)",5,IF(H2386="6)",6,IF(H2386="7)",7,IF(H2386="8)",8,0))))))))</f>
        <v/>
      </c>
      <c r="L2387" s="0">
        <f>IF(H2386="1)",J2386,IF(H2386="2)",J2386,IF(H2386="3)",J2386,IF(H2386="4)",J2386,IF(H2386="5)",J2386,IF(H2386="6)",J2386,IF(H2386="7)",J2386,IF(H2386="8)",J2386,0))))))))</f>
        <v/>
      </c>
    </row>
    <row r="2388">
      <c r="A2388" s="0" t="inlineStr">
        <is>
          <t>New</t>
        </is>
      </c>
      <c r="B2388" s="0" t="inlineStr">
        <is>
          <t>Item</t>
        </is>
      </c>
      <c r="C2388" s="0" t="inlineStr">
        <is>
          <t>Acquired</t>
        </is>
      </c>
      <c r="D2388" s="0" t="inlineStr">
        <is>
          <t>:</t>
        </is>
      </c>
      <c r="E2388" s="0" t="inlineStr">
        <is>
          <t>112.50K</t>
        </is>
      </c>
      <c r="F2388" s="0" t="inlineStr">
        <is>
          <t>(5,</t>
        </is>
      </c>
      <c r="G2388" s="0" t="inlineStr">
        <is>
          <t>21)</t>
        </is>
      </c>
      <c r="K2388" s="0">
        <f>IF(H2387="1)",1,IF(H2387="2)",2,IF(H2387="3)",3,IF(H2387="4)",4,IF(H2387="5)",5,IF(H2387="6)",6,IF(H2387="7)",7,IF(H2387="8)",8,0))))))))</f>
        <v/>
      </c>
      <c r="L2388" s="0">
        <f>IF(H2387="1)",J2387,IF(H2387="2)",J2387,IF(H2387="3)",J2387,IF(H2387="4)",J2387,IF(H2387="5)",J2387,IF(H2387="6)",J2387,IF(H2387="7)",J2387,IF(H2387="8)",J2387,0))))))))</f>
        <v/>
      </c>
    </row>
    <row r="2389">
      <c r="A2389" s="0" t="inlineStr">
        <is>
          <t>New</t>
        </is>
      </c>
      <c r="B2389" s="0" t="inlineStr">
        <is>
          <t>Item</t>
        </is>
      </c>
      <c r="C2389" s="0" t="inlineStr">
        <is>
          <t>Acquired</t>
        </is>
      </c>
      <c r="D2389" s="0" t="inlineStr">
        <is>
          <t>:</t>
        </is>
      </c>
      <c r="E2389" s="0" t="inlineStr">
        <is>
          <t>120.00K</t>
        </is>
      </c>
      <c r="F2389" s="0" t="inlineStr">
        <is>
          <t>(8,</t>
        </is>
      </c>
      <c r="G2389" s="0" t="inlineStr">
        <is>
          <t>14)</t>
        </is>
      </c>
      <c r="K2389" s="0">
        <f>IF(H2388="1)",1,IF(H2388="2)",2,IF(H2388="3)",3,IF(H2388="4)",4,IF(H2388="5)",5,IF(H2388="6)",6,IF(H2388="7)",7,IF(H2388="8)",8,0))))))))</f>
        <v/>
      </c>
      <c r="L2389" s="0">
        <f>IF(H2388="1)",J2388,IF(H2388="2)",J2388,IF(H2388="3)",J2388,IF(H2388="4)",J2388,IF(H2388="5)",J2388,IF(H2388="6)",J2388,IF(H2388="7)",J2388,IF(H2388="8)",J2388,0))))))))</f>
        <v/>
      </c>
    </row>
    <row r="2390">
      <c r="A2390" s="0" t="inlineStr">
        <is>
          <t>New</t>
        </is>
      </c>
      <c r="B2390" s="0" t="inlineStr">
        <is>
          <t>Item</t>
        </is>
      </c>
      <c r="C2390" s="0" t="inlineStr">
        <is>
          <t>Acquired</t>
        </is>
      </c>
      <c r="D2390" s="0" t="inlineStr">
        <is>
          <t>:</t>
        </is>
      </c>
      <c r="E2390" s="0" t="inlineStr">
        <is>
          <t>90.00K</t>
        </is>
      </c>
      <c r="F2390" s="0" t="inlineStr">
        <is>
          <t>(7,</t>
        </is>
      </c>
      <c r="G2390" s="0" t="inlineStr">
        <is>
          <t>15)</t>
        </is>
      </c>
      <c r="K2390" s="0">
        <f>IF(H2389="1)",1,IF(H2389="2)",2,IF(H2389="3)",3,IF(H2389="4)",4,IF(H2389="5)",5,IF(H2389="6)",6,IF(H2389="7)",7,IF(H2389="8)",8,0))))))))</f>
        <v/>
      </c>
      <c r="L2390" s="0">
        <f>IF(H2389="1)",J2389,IF(H2389="2)",J2389,IF(H2389="3)",J2389,IF(H2389="4)",J2389,IF(H2389="5)",J2389,IF(H2389="6)",J2389,IF(H2389="7)",J2389,IF(H2389="8)",J2389,0))))))))</f>
        <v/>
      </c>
    </row>
    <row r="2391">
      <c r="A2391" s="0" t="inlineStr">
        <is>
          <t>Item</t>
        </is>
      </c>
      <c r="B2391" s="0" t="inlineStr">
        <is>
          <t>ReSelect</t>
        </is>
      </c>
      <c r="C2391" s="0" t="inlineStr">
        <is>
          <t>Failed</t>
        </is>
      </c>
      <c r="D2391" s="0" t="inlineStr">
        <is>
          <t>:</t>
        </is>
      </c>
      <c r="E2391" s="0" t="inlineStr">
        <is>
          <t>Attempt</t>
        </is>
      </c>
      <c r="F2391" s="0" t="inlineStr">
        <is>
          <t>Count</t>
        </is>
      </c>
      <c r="G2391" s="0" t="inlineStr">
        <is>
          <t>-</t>
        </is>
      </c>
      <c r="H2391" s="0" t="n">
        <v>3</v>
      </c>
      <c r="K2391" s="0">
        <f>IF(H2390="1)",1,IF(H2390="2)",2,IF(H2390="3)",3,IF(H2390="4)",4,IF(H2390="5)",5,IF(H2390="6)",6,IF(H2390="7)",7,IF(H2390="8)",8,0))))))))</f>
        <v/>
      </c>
      <c r="L2391" s="0">
        <f>IF(H2390="1)",J2390,IF(H2390="2)",J2390,IF(H2390="3)",J2390,IF(H2390="4)",J2390,IF(H2390="5)",J2390,IF(H2390="6)",J2390,IF(H2390="7)",J2390,IF(H2390="8)",J2390,0))))))))</f>
        <v/>
      </c>
    </row>
    <row r="2392">
      <c r="A2392" s="0" t="inlineStr">
        <is>
          <t>New</t>
        </is>
      </c>
      <c r="B2392" s="0" t="inlineStr">
        <is>
          <t>Item</t>
        </is>
      </c>
      <c r="C2392" s="0" t="inlineStr">
        <is>
          <t>Acquired</t>
        </is>
      </c>
      <c r="D2392" s="0" t="inlineStr">
        <is>
          <t>:</t>
        </is>
      </c>
      <c r="E2392" s="0" t="inlineStr">
        <is>
          <t>105.00K</t>
        </is>
      </c>
      <c r="F2392" s="0" t="inlineStr">
        <is>
          <t>(3,</t>
        </is>
      </c>
      <c r="G2392" s="0" t="inlineStr">
        <is>
          <t>1)</t>
        </is>
      </c>
      <c r="K2392" s="0">
        <f>IF(H2391="1)",1,IF(H2391="2)",2,IF(H2391="3)",3,IF(H2391="4)",4,IF(H2391="5)",5,IF(H2391="6)",6,IF(H2391="7)",7,IF(H2391="8)",8,0))))))))</f>
        <v/>
      </c>
      <c r="L2392" s="0">
        <f>IF(H2391="1)",J2391,IF(H2391="2)",J2391,IF(H2391="3)",J2391,IF(H2391="4)",J2391,IF(H2391="5)",J2391,IF(H2391="6)",J2391,IF(H2391="7)",J2391,IF(H2391="8)",J2391,0))))))))</f>
        <v/>
      </c>
    </row>
    <row r="2393">
      <c r="A2393" s="0" t="inlineStr">
        <is>
          <t>New</t>
        </is>
      </c>
      <c r="B2393" s="0" t="inlineStr">
        <is>
          <t>Item</t>
        </is>
      </c>
      <c r="C2393" s="0" t="inlineStr">
        <is>
          <t>Acquired</t>
        </is>
      </c>
      <c r="D2393" s="0" t="inlineStr">
        <is>
          <t>:</t>
        </is>
      </c>
      <c r="E2393" s="0" t="inlineStr">
        <is>
          <t>150.00K</t>
        </is>
      </c>
      <c r="F2393" s="0" t="inlineStr">
        <is>
          <t>(7,</t>
        </is>
      </c>
      <c r="G2393" s="0" t="inlineStr">
        <is>
          <t>5)</t>
        </is>
      </c>
      <c r="K2393" s="0">
        <f>IF(H2392="1)",1,IF(H2392="2)",2,IF(H2392="3)",3,IF(H2392="4)",4,IF(H2392="5)",5,IF(H2392="6)",6,IF(H2392="7)",7,IF(H2392="8)",8,0))))))))</f>
        <v/>
      </c>
      <c r="L2393" s="0">
        <f>IF(H2392="1)",J2392,IF(H2392="2)",J2392,IF(H2392="3)",J2392,IF(H2392="4)",J2392,IF(H2392="5)",J2392,IF(H2392="6)",J2392,IF(H2392="7)",J2392,IF(H2392="8)",J2392,0))))))))</f>
        <v/>
      </c>
    </row>
    <row r="2394">
      <c r="A2394" s="0" t="inlineStr">
        <is>
          <t>New</t>
        </is>
      </c>
      <c r="B2394" s="0" t="inlineStr">
        <is>
          <t>Item</t>
        </is>
      </c>
      <c r="C2394" s="0" t="inlineStr">
        <is>
          <t>Acquired</t>
        </is>
      </c>
      <c r="D2394" s="0" t="inlineStr">
        <is>
          <t>:</t>
        </is>
      </c>
      <c r="E2394" s="0" t="inlineStr">
        <is>
          <t>90.00K</t>
        </is>
      </c>
      <c r="F2394" s="0" t="inlineStr">
        <is>
          <t>(7,</t>
        </is>
      </c>
      <c r="G2394" s="0" t="inlineStr">
        <is>
          <t>18)</t>
        </is>
      </c>
      <c r="K2394" s="0">
        <f>IF(H2393="1)",1,IF(H2393="2)",2,IF(H2393="3)",3,IF(H2393="4)",4,IF(H2393="5)",5,IF(H2393="6)",6,IF(H2393="7)",7,IF(H2393="8)",8,0))))))))</f>
        <v/>
      </c>
      <c r="L2394" s="0">
        <f>IF(H2393="1)",J2393,IF(H2393="2)",J2393,IF(H2393="3)",J2393,IF(H2393="4)",J2393,IF(H2393="5)",J2393,IF(H2393="6)",J2393,IF(H2393="7)",J2393,IF(H2393="8)",J2393,0))))))))</f>
        <v/>
      </c>
    </row>
    <row r="2395">
      <c r="A2395" s="0" t="inlineStr">
        <is>
          <t>New</t>
        </is>
      </c>
      <c r="B2395" s="0" t="inlineStr">
        <is>
          <t>Item</t>
        </is>
      </c>
      <c r="C2395" s="0" t="inlineStr">
        <is>
          <t>Acquired</t>
        </is>
      </c>
      <c r="D2395" s="0" t="inlineStr">
        <is>
          <t>:</t>
        </is>
      </c>
      <c r="E2395" s="0" t="inlineStr">
        <is>
          <t>62.50K</t>
        </is>
      </c>
      <c r="F2395" s="0" t="inlineStr">
        <is>
          <t>(2,</t>
        </is>
      </c>
      <c r="G2395" s="0" t="inlineStr">
        <is>
          <t>16)</t>
        </is>
      </c>
      <c r="K2395" s="0">
        <f>IF(H2394="1)",1,IF(H2394="2)",2,IF(H2394="3)",3,IF(H2394="4)",4,IF(H2394="5)",5,IF(H2394="6)",6,IF(H2394="7)",7,IF(H2394="8)",8,0))))))))</f>
        <v/>
      </c>
      <c r="L2395" s="0">
        <f>IF(H2394="1)",J2394,IF(H2394="2)",J2394,IF(H2394="3)",J2394,IF(H2394="4)",J2394,IF(H2394="5)",J2394,IF(H2394="6)",J2394,IF(H2394="7)",J2394,IF(H2394="8)",J2394,0))))))))</f>
        <v/>
      </c>
    </row>
    <row r="2396">
      <c r="A2396" s="0" t="inlineStr">
        <is>
          <t>New</t>
        </is>
      </c>
      <c r="B2396" s="0" t="inlineStr">
        <is>
          <t>Item</t>
        </is>
      </c>
      <c r="C2396" s="0" t="inlineStr">
        <is>
          <t>Acquired</t>
        </is>
      </c>
      <c r="D2396" s="0" t="inlineStr">
        <is>
          <t>:</t>
        </is>
      </c>
      <c r="E2396" s="0" t="inlineStr">
        <is>
          <t>67.50K</t>
        </is>
      </c>
      <c r="F2396" s="0" t="inlineStr">
        <is>
          <t>(5,</t>
        </is>
      </c>
      <c r="G2396" s="0" t="inlineStr">
        <is>
          <t>22)</t>
        </is>
      </c>
      <c r="K2396" s="0">
        <f>IF(H2395="1)",1,IF(H2395="2)",2,IF(H2395="3)",3,IF(H2395="4)",4,IF(H2395="5)",5,IF(H2395="6)",6,IF(H2395="7)",7,IF(H2395="8)",8,0))))))))</f>
        <v/>
      </c>
      <c r="L2396" s="0">
        <f>IF(H2395="1)",J2395,IF(H2395="2)",J2395,IF(H2395="3)",J2395,IF(H2395="4)",J2395,IF(H2395="5)",J2395,IF(H2395="6)",J2395,IF(H2395="7)",J2395,IF(H2395="8)",J2395,0))))))))</f>
        <v/>
      </c>
    </row>
    <row r="2397">
      <c r="A2397" s="0" t="inlineStr">
        <is>
          <t>New</t>
        </is>
      </c>
      <c r="B2397" s="0" t="inlineStr">
        <is>
          <t>Item</t>
        </is>
      </c>
      <c r="C2397" s="0" t="inlineStr">
        <is>
          <t>Acquired</t>
        </is>
      </c>
      <c r="D2397" s="0" t="inlineStr">
        <is>
          <t>:</t>
        </is>
      </c>
      <c r="E2397" s="0" t="inlineStr">
        <is>
          <t>120.00K</t>
        </is>
      </c>
      <c r="F2397" s="0" t="inlineStr">
        <is>
          <t>(8,</t>
        </is>
      </c>
      <c r="G2397" s="0" t="inlineStr">
        <is>
          <t>3)</t>
        </is>
      </c>
      <c r="K2397" s="0">
        <f>IF(H2396="1)",1,IF(H2396="2)",2,IF(H2396="3)",3,IF(H2396="4)",4,IF(H2396="5)",5,IF(H2396="6)",6,IF(H2396="7)",7,IF(H2396="8)",8,0))))))))</f>
        <v/>
      </c>
      <c r="L2397" s="0">
        <f>IF(H2396="1)",J2396,IF(H2396="2)",J2396,IF(H2396="3)",J2396,IF(H2396="4)",J2396,IF(H2396="5)",J2396,IF(H2396="6)",J2396,IF(H2396="7)",J2396,IF(H2396="8)",J2396,0))))))))</f>
        <v/>
      </c>
    </row>
    <row r="2398">
      <c r="A2398" s="0" t="inlineStr">
        <is>
          <t>New</t>
        </is>
      </c>
      <c r="B2398" s="0" t="inlineStr">
        <is>
          <t>Item</t>
        </is>
      </c>
      <c r="C2398" s="0" t="inlineStr">
        <is>
          <t>Acquired</t>
        </is>
      </c>
      <c r="D2398" s="0" t="inlineStr">
        <is>
          <t>:</t>
        </is>
      </c>
      <c r="E2398" s="0" t="inlineStr">
        <is>
          <t>50.00K</t>
        </is>
      </c>
      <c r="F2398" s="0" t="inlineStr">
        <is>
          <t>(1,</t>
        </is>
      </c>
      <c r="G2398" s="0" t="inlineStr">
        <is>
          <t>8)</t>
        </is>
      </c>
      <c r="K2398" s="0">
        <f>IF(H2397="1)",1,IF(H2397="2)",2,IF(H2397="3)",3,IF(H2397="4)",4,IF(H2397="5)",5,IF(H2397="6)",6,IF(H2397="7)",7,IF(H2397="8)",8,0))))))))</f>
        <v/>
      </c>
      <c r="L2398" s="0">
        <f>IF(H2397="1)",J2397,IF(H2397="2)",J2397,IF(H2397="3)",J2397,IF(H2397="4)",J2397,IF(H2397="5)",J2397,IF(H2397="6)",J2397,IF(H2397="7)",J2397,IF(H2397="8)",J2397,0))))))))</f>
        <v/>
      </c>
    </row>
    <row r="2399">
      <c r="A2399" s="0" t="inlineStr">
        <is>
          <t>Line</t>
        </is>
      </c>
      <c r="B2399" s="0" t="inlineStr">
        <is>
          <t>Prize</t>
        </is>
      </c>
      <c r="C2399" s="0" t="inlineStr">
        <is>
          <t>Acquired</t>
        </is>
      </c>
      <c r="D2399" s="0" t="inlineStr">
        <is>
          <t>:</t>
        </is>
      </c>
      <c r="E2399" s="0" t="inlineStr">
        <is>
          <t>550.00K</t>
        </is>
      </c>
      <c r="F2399" s="0" t="inlineStr">
        <is>
          <t>(Stage</t>
        </is>
      </c>
      <c r="G2399" s="0" t="inlineStr">
        <is>
          <t>:</t>
        </is>
      </c>
      <c r="H2399" s="0" t="inlineStr">
        <is>
          <t>1)</t>
        </is>
      </c>
      <c r="I2399" s="0" t="inlineStr">
        <is>
          <t>-</t>
        </is>
      </c>
      <c r="J2399" s="0" t="n">
        <v>550000</v>
      </c>
      <c r="K2399" s="0">
        <f>IF(H2398="1)",1,IF(H2398="2)",2,IF(H2398="3)",3,IF(H2398="4)",4,IF(H2398="5)",5,IF(H2398="6)",6,IF(H2398="7)",7,IF(H2398="8)",8,0))))))))</f>
        <v/>
      </c>
      <c r="L2399" s="0">
        <f>IF(H2398="1)",J2398,IF(H2398="2)",J2398,IF(H2398="3)",J2398,IF(H2398="4)",J2398,IF(H2398="5)",J2398,IF(H2398="6)",J2398,IF(H2398="7)",J2398,IF(H2398="8)",J2398,0))))))))</f>
        <v/>
      </c>
    </row>
    <row r="2400">
      <c r="A2400" s="0" t="inlineStr">
        <is>
          <t>Clear</t>
        </is>
      </c>
      <c r="B2400" s="0" t="inlineStr">
        <is>
          <t>Gem</t>
        </is>
      </c>
      <c r="C2400" s="0" t="inlineStr">
        <is>
          <t>Acquired</t>
        </is>
      </c>
      <c r="D2400" s="0" t="inlineStr">
        <is>
          <t>:</t>
        </is>
      </c>
      <c r="E2400" s="0" t="n">
        <v>14600</v>
      </c>
      <c r="F2400" s="0" t="inlineStr">
        <is>
          <t>-&gt;</t>
        </is>
      </c>
      <c r="G2400" s="0" t="n">
        <v>14700</v>
      </c>
      <c r="H2400" s="0" t="inlineStr">
        <is>
          <t>(Stage</t>
        </is>
      </c>
      <c r="I2400" s="0" t="inlineStr">
        <is>
          <t>:</t>
        </is>
      </c>
      <c r="J2400" s="0" t="inlineStr">
        <is>
          <t>1)</t>
        </is>
      </c>
      <c r="K2400" s="0">
        <f>IF(H2399="1)",1,IF(H2399="2)",2,IF(H2399="3)",3,IF(H2399="4)",4,IF(H2399="5)",5,IF(H2399="6)",6,IF(H2399="7)",7,IF(H2399="8)",8,0))))))))</f>
        <v/>
      </c>
      <c r="L2400" s="0">
        <f>IF(H2399="1)",J2399,IF(H2399="2)",J2399,IF(H2399="3)",J2399,IF(H2399="4)",J2399,IF(H2399="5)",J2399,IF(H2399="6)",J2399,IF(H2399="7)",J2399,IF(H2399="8)",J2399,0))))))))</f>
        <v/>
      </c>
    </row>
    <row r="2401">
      <c r="A2401" s="0" t="inlineStr">
        <is>
          <t>New</t>
        </is>
      </c>
      <c r="B2401" s="0" t="inlineStr">
        <is>
          <t>Item</t>
        </is>
      </c>
      <c r="C2401" s="0" t="inlineStr">
        <is>
          <t>Acquired</t>
        </is>
      </c>
      <c r="D2401" s="0" t="inlineStr">
        <is>
          <t>:</t>
        </is>
      </c>
      <c r="E2401" s="0" t="inlineStr">
        <is>
          <t>175.00K</t>
        </is>
      </c>
      <c r="F2401" s="0" t="inlineStr">
        <is>
          <t>(6,</t>
        </is>
      </c>
      <c r="G2401" s="0" t="inlineStr">
        <is>
          <t>20)</t>
        </is>
      </c>
      <c r="K2401" s="0">
        <f>IF(H2400="1)",1,IF(H2400="2)",2,IF(H2400="3)",3,IF(H2400="4)",4,IF(H2400="5)",5,IF(H2400="6)",6,IF(H2400="7)",7,IF(H2400="8)",8,0))))))))</f>
        <v/>
      </c>
      <c r="L2401" s="0">
        <f>IF(H2400="1)",J2400,IF(H2400="2)",J2400,IF(H2400="3)",J2400,IF(H2400="4)",J2400,IF(H2400="5)",J2400,IF(H2400="6)",J2400,IF(H2400="7)",J2400,IF(H2400="8)",J2400,0))))))))</f>
        <v/>
      </c>
    </row>
    <row r="2402">
      <c r="A2402" s="0" t="inlineStr">
        <is>
          <t>Item</t>
        </is>
      </c>
      <c r="B2402" s="0" t="inlineStr">
        <is>
          <t>ReSelect</t>
        </is>
      </c>
      <c r="C2402" s="0" t="inlineStr">
        <is>
          <t>Failed</t>
        </is>
      </c>
      <c r="D2402" s="0" t="inlineStr">
        <is>
          <t>:</t>
        </is>
      </c>
      <c r="E2402" s="0" t="inlineStr">
        <is>
          <t>Attempt</t>
        </is>
      </c>
      <c r="F2402" s="0" t="inlineStr">
        <is>
          <t>Count</t>
        </is>
      </c>
      <c r="G2402" s="0" t="inlineStr">
        <is>
          <t>-</t>
        </is>
      </c>
      <c r="H2402" s="0" t="n">
        <v>3</v>
      </c>
      <c r="K2402" s="0">
        <f>IF(H2401="1)",1,IF(H2401="2)",2,IF(H2401="3)",3,IF(H2401="4)",4,IF(H2401="5)",5,IF(H2401="6)",6,IF(H2401="7)",7,IF(H2401="8)",8,0))))))))</f>
        <v/>
      </c>
      <c r="L2402" s="0">
        <f>IF(H2401="1)",J2401,IF(H2401="2)",J2401,IF(H2401="3)",J2401,IF(H2401="4)",J2401,IF(H2401="5)",J2401,IF(H2401="6)",J2401,IF(H2401="7)",J2401,IF(H2401="8)",J2401,0))))))))</f>
        <v/>
      </c>
    </row>
    <row r="2403">
      <c r="A2403" s="0" t="inlineStr">
        <is>
          <t>New</t>
        </is>
      </c>
      <c r="B2403" s="0" t="inlineStr">
        <is>
          <t>Item</t>
        </is>
      </c>
      <c r="C2403" s="0" t="inlineStr">
        <is>
          <t>Acquired</t>
        </is>
      </c>
      <c r="D2403" s="0" t="inlineStr">
        <is>
          <t>:</t>
        </is>
      </c>
      <c r="E2403" s="0" t="inlineStr">
        <is>
          <t>Minor</t>
        </is>
      </c>
      <c r="F2403" s="0" t="inlineStr">
        <is>
          <t>(1,</t>
        </is>
      </c>
      <c r="G2403" s="0" t="inlineStr">
        <is>
          <t>5)</t>
        </is>
      </c>
      <c r="K2403" s="0">
        <f>IF(H2402="1)",1,IF(H2402="2)",2,IF(H2402="3)",3,IF(H2402="4)",4,IF(H2402="5)",5,IF(H2402="6)",6,IF(H2402="7)",7,IF(H2402="8)",8,0))))))))</f>
        <v/>
      </c>
      <c r="L2403" s="0">
        <f>IF(H2402="1)",J2402,IF(H2402="2)",J2402,IF(H2402="3)",J2402,IF(H2402="4)",J2402,IF(H2402="5)",J2402,IF(H2402="6)",J2402,IF(H2402="7)",J2402,IF(H2402="8)",J2402,0))))))))</f>
        <v/>
      </c>
    </row>
    <row r="2404">
      <c r="A2404" s="0" t="inlineStr">
        <is>
          <t>New</t>
        </is>
      </c>
      <c r="B2404" s="0" t="inlineStr">
        <is>
          <t>Item</t>
        </is>
      </c>
      <c r="C2404" s="0" t="inlineStr">
        <is>
          <t>Acquired</t>
        </is>
      </c>
      <c r="D2404" s="0" t="inlineStr">
        <is>
          <t>:</t>
        </is>
      </c>
      <c r="E2404" s="0" t="inlineStr">
        <is>
          <t>112.50K</t>
        </is>
      </c>
      <c r="F2404" s="0" t="inlineStr">
        <is>
          <t>(5,</t>
        </is>
      </c>
      <c r="G2404" s="0" t="inlineStr">
        <is>
          <t>24)</t>
        </is>
      </c>
      <c r="K2404" s="0">
        <f>IF(H2403="1)",1,IF(H2403="2)",2,IF(H2403="3)",3,IF(H2403="4)",4,IF(H2403="5)",5,IF(H2403="6)",6,IF(H2403="7)",7,IF(H2403="8)",8,0))))))))</f>
        <v/>
      </c>
      <c r="L2404" s="0">
        <f>IF(H2403="1)",J2403,IF(H2403="2)",J2403,IF(H2403="3)",J2403,IF(H2403="4)",J2403,IF(H2403="5)",J2403,IF(H2403="6)",J2403,IF(H2403="7)",J2403,IF(H2403="8)",J2403,0))))))))</f>
        <v/>
      </c>
    </row>
    <row r="2405">
      <c r="A2405" s="0" t="inlineStr">
        <is>
          <t>New</t>
        </is>
      </c>
      <c r="B2405" s="0" t="inlineStr">
        <is>
          <t>Item</t>
        </is>
      </c>
      <c r="C2405" s="0" t="inlineStr">
        <is>
          <t>Acquired</t>
        </is>
      </c>
      <c r="D2405" s="0" t="inlineStr">
        <is>
          <t>:</t>
        </is>
      </c>
      <c r="E2405" s="0" t="inlineStr">
        <is>
          <t>175.00K</t>
        </is>
      </c>
      <c r="F2405" s="0" t="inlineStr">
        <is>
          <t>(6,</t>
        </is>
      </c>
      <c r="G2405" s="0" t="inlineStr">
        <is>
          <t>7)</t>
        </is>
      </c>
      <c r="K2405" s="0">
        <f>IF(H2404="1)",1,IF(H2404="2)",2,IF(H2404="3)",3,IF(H2404="4)",4,IF(H2404="5)",5,IF(H2404="6)",6,IF(H2404="7)",7,IF(H2404="8)",8,0))))))))</f>
        <v/>
      </c>
      <c r="L2405" s="0">
        <f>IF(H2404="1)",J2404,IF(H2404="2)",J2404,IF(H2404="3)",J2404,IF(H2404="4)",J2404,IF(H2404="5)",J2404,IF(H2404="6)",J2404,IF(H2404="7)",J2404,IF(H2404="8)",J2404,0))))))))</f>
        <v/>
      </c>
    </row>
    <row r="2406">
      <c r="A2406" s="0" t="inlineStr">
        <is>
          <t>New</t>
        </is>
      </c>
      <c r="B2406" s="0" t="inlineStr">
        <is>
          <t>Item</t>
        </is>
      </c>
      <c r="C2406" s="0" t="inlineStr">
        <is>
          <t>Acquired</t>
        </is>
      </c>
      <c r="D2406" s="0" t="inlineStr">
        <is>
          <t>:</t>
        </is>
      </c>
      <c r="E2406" s="0" t="inlineStr">
        <is>
          <t>112.50K</t>
        </is>
      </c>
      <c r="F2406" s="0" t="inlineStr">
        <is>
          <t>(5,</t>
        </is>
      </c>
      <c r="G2406" s="0" t="inlineStr">
        <is>
          <t>6)</t>
        </is>
      </c>
      <c r="K2406" s="0">
        <f>IF(H2405="1)",1,IF(H2405="2)",2,IF(H2405="3)",3,IF(H2405="4)",4,IF(H2405="5)",5,IF(H2405="6)",6,IF(H2405="7)",7,IF(H2405="8)",8,0))))))))</f>
        <v/>
      </c>
      <c r="L2406" s="0">
        <f>IF(H2405="1)",J2405,IF(H2405="2)",J2405,IF(H2405="3)",J2405,IF(H2405="4)",J2405,IF(H2405="5)",J2405,IF(H2405="6)",J2405,IF(H2405="7)",J2405,IF(H2405="8)",J2405,0))))))))</f>
        <v/>
      </c>
    </row>
    <row r="2407">
      <c r="A2407" s="0" t="inlineStr">
        <is>
          <t>New</t>
        </is>
      </c>
      <c r="B2407" s="0" t="inlineStr">
        <is>
          <t>Item</t>
        </is>
      </c>
      <c r="C2407" s="0" t="inlineStr">
        <is>
          <t>Acquired</t>
        </is>
      </c>
      <c r="D2407" s="0" t="inlineStr">
        <is>
          <t>:</t>
        </is>
      </c>
      <c r="E2407" s="0" t="inlineStr">
        <is>
          <t>67.50K</t>
        </is>
      </c>
      <c r="F2407" s="0" t="inlineStr">
        <is>
          <t>(5,</t>
        </is>
      </c>
      <c r="G2407" s="0" t="inlineStr">
        <is>
          <t>4)</t>
        </is>
      </c>
      <c r="K2407" s="0">
        <f>IF(H2406="1)",1,IF(H2406="2)",2,IF(H2406="3)",3,IF(H2406="4)",4,IF(H2406="5)",5,IF(H2406="6)",6,IF(H2406="7)",7,IF(H2406="8)",8,0))))))))</f>
        <v/>
      </c>
      <c r="L2407" s="0">
        <f>IF(H2406="1)",J2406,IF(H2406="2)",J2406,IF(H2406="3)",J2406,IF(H2406="4)",J2406,IF(H2406="5)",J2406,IF(H2406="6)",J2406,IF(H2406="7)",J2406,IF(H2406="8)",J2406,0))))))))</f>
        <v/>
      </c>
    </row>
    <row r="2408">
      <c r="A2408" s="0" t="inlineStr">
        <is>
          <t>New</t>
        </is>
      </c>
      <c r="B2408" s="0" t="inlineStr">
        <is>
          <t>Item</t>
        </is>
      </c>
      <c r="C2408" s="0" t="inlineStr">
        <is>
          <t>Acquired</t>
        </is>
      </c>
      <c r="D2408" s="0" t="inlineStr">
        <is>
          <t>:</t>
        </is>
      </c>
      <c r="E2408" s="0" t="inlineStr">
        <is>
          <t>75.00K</t>
        </is>
      </c>
      <c r="F2408" s="0" t="inlineStr">
        <is>
          <t>(6,</t>
        </is>
      </c>
      <c r="G2408" s="0" t="inlineStr">
        <is>
          <t>16)</t>
        </is>
      </c>
      <c r="K2408" s="0">
        <f>IF(H2407="1)",1,IF(H2407="2)",2,IF(H2407="3)",3,IF(H2407="4)",4,IF(H2407="5)",5,IF(H2407="6)",6,IF(H2407="7)",7,IF(H2407="8)",8,0))))))))</f>
        <v/>
      </c>
      <c r="L2408" s="0">
        <f>IF(H2407="1)",J2407,IF(H2407="2)",J2407,IF(H2407="3)",J2407,IF(H2407="4)",J2407,IF(H2407="5)",J2407,IF(H2407="6)",J2407,IF(H2407="7)",J2407,IF(H2407="8)",J2407,0))))))))</f>
        <v/>
      </c>
    </row>
    <row r="2409">
      <c r="A2409" s="0" t="inlineStr">
        <is>
          <t>New</t>
        </is>
      </c>
      <c r="B2409" s="0" t="inlineStr">
        <is>
          <t>Item</t>
        </is>
      </c>
      <c r="C2409" s="0" t="inlineStr">
        <is>
          <t>Acquired</t>
        </is>
      </c>
      <c r="D2409" s="0" t="inlineStr">
        <is>
          <t>:</t>
        </is>
      </c>
      <c r="E2409" s="0" t="inlineStr">
        <is>
          <t>Mini</t>
        </is>
      </c>
      <c r="F2409" s="0" t="inlineStr">
        <is>
          <t>(6,</t>
        </is>
      </c>
      <c r="G2409" s="0" t="inlineStr">
        <is>
          <t>3)</t>
        </is>
      </c>
      <c r="K2409" s="0">
        <f>IF(H2408="1)",1,IF(H2408="2)",2,IF(H2408="3)",3,IF(H2408="4)",4,IF(H2408="5)",5,IF(H2408="6)",6,IF(H2408="7)",7,IF(H2408="8)",8,0))))))))</f>
        <v/>
      </c>
      <c r="L2409" s="0">
        <f>IF(H2408="1)",J2408,IF(H2408="2)",J2408,IF(H2408="3)",J2408,IF(H2408="4)",J2408,IF(H2408="5)",J2408,IF(H2408="6)",J2408,IF(H2408="7)",J2408,IF(H2408="8)",J2408,0))))))))</f>
        <v/>
      </c>
    </row>
    <row r="2410">
      <c r="A2410" s="0" t="inlineStr">
        <is>
          <t>New</t>
        </is>
      </c>
      <c r="B2410" s="0" t="inlineStr">
        <is>
          <t>Item</t>
        </is>
      </c>
      <c r="C2410" s="0" t="inlineStr">
        <is>
          <t>Acquired</t>
        </is>
      </c>
      <c r="D2410" s="0" t="inlineStr">
        <is>
          <t>:</t>
        </is>
      </c>
      <c r="E2410" s="0" t="inlineStr">
        <is>
          <t>45.00K</t>
        </is>
      </c>
      <c r="F2410" s="0" t="inlineStr">
        <is>
          <t>(3,</t>
        </is>
      </c>
      <c r="G2410" s="0" t="inlineStr">
        <is>
          <t>11)</t>
        </is>
      </c>
      <c r="K2410" s="0">
        <f>IF(H2409="1)",1,IF(H2409="2)",2,IF(H2409="3)",3,IF(H2409="4)",4,IF(H2409="5)",5,IF(H2409="6)",6,IF(H2409="7)",7,IF(H2409="8)",8,0))))))))</f>
        <v/>
      </c>
      <c r="L2410" s="0">
        <f>IF(H2409="1)",J2409,IF(H2409="2)",J2409,IF(H2409="3)",J2409,IF(H2409="4)",J2409,IF(H2409="5)",J2409,IF(H2409="6)",J2409,IF(H2409="7)",J2409,IF(H2409="8)",J2409,0))))))))</f>
        <v/>
      </c>
    </row>
    <row r="2411">
      <c r="A2411" s="0" t="inlineStr">
        <is>
          <t>New</t>
        </is>
      </c>
      <c r="B2411" s="0" t="inlineStr">
        <is>
          <t>Item</t>
        </is>
      </c>
      <c r="C2411" s="0" t="inlineStr">
        <is>
          <t>Acquired</t>
        </is>
      </c>
      <c r="D2411" s="0" t="inlineStr">
        <is>
          <t>:</t>
        </is>
      </c>
      <c r="E2411" s="0" t="inlineStr">
        <is>
          <t>Minor</t>
        </is>
      </c>
      <c r="F2411" s="0" t="inlineStr">
        <is>
          <t>(3,</t>
        </is>
      </c>
      <c r="G2411" s="0" t="inlineStr">
        <is>
          <t>16)</t>
        </is>
      </c>
      <c r="K2411" s="0">
        <f>IF(H2410="1)",1,IF(H2410="2)",2,IF(H2410="3)",3,IF(H2410="4)",4,IF(H2410="5)",5,IF(H2410="6)",6,IF(H2410="7)",7,IF(H2410="8)",8,0))))))))</f>
        <v/>
      </c>
      <c r="L2411" s="0">
        <f>IF(H2410="1)",J2410,IF(H2410="2)",J2410,IF(H2410="3)",J2410,IF(H2410="4)",J2410,IF(H2410="5)",J2410,IF(H2410="6)",J2410,IF(H2410="7)",J2410,IF(H2410="8)",J2410,0))))))))</f>
        <v/>
      </c>
    </row>
    <row r="2412">
      <c r="A2412" s="0" t="inlineStr">
        <is>
          <t>New</t>
        </is>
      </c>
      <c r="B2412" s="0" t="inlineStr">
        <is>
          <t>Item</t>
        </is>
      </c>
      <c r="C2412" s="0" t="inlineStr">
        <is>
          <t>Acquired</t>
        </is>
      </c>
      <c r="D2412" s="0" t="inlineStr">
        <is>
          <t>:</t>
        </is>
      </c>
      <c r="E2412" s="0" t="inlineStr">
        <is>
          <t>60.00K</t>
        </is>
      </c>
      <c r="F2412" s="0" t="inlineStr">
        <is>
          <t>(4,</t>
        </is>
      </c>
      <c r="G2412" s="0" t="inlineStr">
        <is>
          <t>10)</t>
        </is>
      </c>
      <c r="K2412" s="0">
        <f>IF(H2411="1)",1,IF(H2411="2)",2,IF(H2411="3)",3,IF(H2411="4)",4,IF(H2411="5)",5,IF(H2411="6)",6,IF(H2411="7)",7,IF(H2411="8)",8,0))))))))</f>
        <v/>
      </c>
      <c r="L2412" s="0">
        <f>IF(H2411="1)",J2411,IF(H2411="2)",J2411,IF(H2411="3)",J2411,IF(H2411="4)",J2411,IF(H2411="5)",J2411,IF(H2411="6)",J2411,IF(H2411="7)",J2411,IF(H2411="8)",J2411,0))))))))</f>
        <v/>
      </c>
    </row>
    <row r="2413">
      <c r="A2413" s="0" t="inlineStr">
        <is>
          <t>New</t>
        </is>
      </c>
      <c r="B2413" s="0" t="inlineStr">
        <is>
          <t>Item</t>
        </is>
      </c>
      <c r="C2413" s="0" t="inlineStr">
        <is>
          <t>Acquired</t>
        </is>
      </c>
      <c r="D2413" s="0" t="inlineStr">
        <is>
          <t>:</t>
        </is>
      </c>
      <c r="E2413" s="0" t="inlineStr">
        <is>
          <t>50.00K</t>
        </is>
      </c>
      <c r="F2413" s="0" t="inlineStr">
        <is>
          <t>(1,</t>
        </is>
      </c>
      <c r="G2413" s="0" t="inlineStr">
        <is>
          <t>22)</t>
        </is>
      </c>
      <c r="K2413" s="0">
        <f>IF(H2412="1)",1,IF(H2412="2)",2,IF(H2412="3)",3,IF(H2412="4)",4,IF(H2412="5)",5,IF(H2412="6)",6,IF(H2412="7)",7,IF(H2412="8)",8,0))))))))</f>
        <v/>
      </c>
      <c r="L2413" s="0">
        <f>IF(H2412="1)",J2412,IF(H2412="2)",J2412,IF(H2412="3)",J2412,IF(H2412="4)",J2412,IF(H2412="5)",J2412,IF(H2412="6)",J2412,IF(H2412="7)",J2412,IF(H2412="8)",J2412,0))))))))</f>
        <v/>
      </c>
    </row>
    <row r="2414">
      <c r="A2414" s="0" t="inlineStr">
        <is>
          <t>New</t>
        </is>
      </c>
      <c r="B2414" s="0" t="inlineStr">
        <is>
          <t>Item</t>
        </is>
      </c>
      <c r="C2414" s="0" t="inlineStr">
        <is>
          <t>Acquired</t>
        </is>
      </c>
      <c r="D2414" s="0" t="inlineStr">
        <is>
          <t>:</t>
        </is>
      </c>
      <c r="E2414" s="0" t="inlineStr">
        <is>
          <t>200.00K</t>
        </is>
      </c>
      <c r="F2414" s="0" t="inlineStr">
        <is>
          <t>(8,</t>
        </is>
      </c>
      <c r="G2414" s="0" t="inlineStr">
        <is>
          <t>19)</t>
        </is>
      </c>
      <c r="K2414" s="0">
        <f>IF(H2413="1)",1,IF(H2413="2)",2,IF(H2413="3)",3,IF(H2413="4)",4,IF(H2413="5)",5,IF(H2413="6)",6,IF(H2413="7)",7,IF(H2413="8)",8,0))))))))</f>
        <v/>
      </c>
      <c r="L2414" s="0">
        <f>IF(H2413="1)",J2413,IF(H2413="2)",J2413,IF(H2413="3)",J2413,IF(H2413="4)",J2413,IF(H2413="5)",J2413,IF(H2413="6)",J2413,IF(H2413="7)",J2413,IF(H2413="8)",J2413,0))))))))</f>
        <v/>
      </c>
    </row>
    <row r="2415">
      <c r="A2415" s="0" t="inlineStr">
        <is>
          <t>Line</t>
        </is>
      </c>
      <c r="B2415" s="0" t="inlineStr">
        <is>
          <t>Prize</t>
        </is>
      </c>
      <c r="C2415" s="0" t="inlineStr">
        <is>
          <t>Acquired</t>
        </is>
      </c>
      <c r="D2415" s="0" t="inlineStr">
        <is>
          <t>:</t>
        </is>
      </c>
      <c r="E2415" s="0" t="inlineStr">
        <is>
          <t>3.16M</t>
        </is>
      </c>
      <c r="F2415" s="0" t="inlineStr">
        <is>
          <t>(Stage</t>
        </is>
      </c>
      <c r="G2415" s="0" t="inlineStr">
        <is>
          <t>:</t>
        </is>
      </c>
      <c r="H2415" s="0" t="inlineStr">
        <is>
          <t>8)</t>
        </is>
      </c>
      <c r="I2415" s="0" t="inlineStr">
        <is>
          <t>-</t>
        </is>
      </c>
      <c r="J2415" s="0" t="n">
        <v>3160000</v>
      </c>
      <c r="K2415" s="0">
        <f>IF(H2414="1)",1,IF(H2414="2)",2,IF(H2414="3)",3,IF(H2414="4)",4,IF(H2414="5)",5,IF(H2414="6)",6,IF(H2414="7)",7,IF(H2414="8)",8,0))))))))</f>
        <v/>
      </c>
      <c r="L2415" s="0">
        <f>IF(H2414="1)",J2414,IF(H2414="2)",J2414,IF(H2414="3)",J2414,IF(H2414="4)",J2414,IF(H2414="5)",J2414,IF(H2414="6)",J2414,IF(H2414="7)",J2414,IF(H2414="8)",J2414,0))))))))</f>
        <v/>
      </c>
    </row>
    <row r="2416">
      <c r="A2416" s="0" t="inlineStr">
        <is>
          <t>Clear</t>
        </is>
      </c>
      <c r="B2416" s="0" t="inlineStr">
        <is>
          <t>Gem</t>
        </is>
      </c>
      <c r="C2416" s="0" t="inlineStr">
        <is>
          <t>Acquired</t>
        </is>
      </c>
      <c r="D2416" s="0" t="inlineStr">
        <is>
          <t>:</t>
        </is>
      </c>
      <c r="E2416" s="0" t="n">
        <v>14700</v>
      </c>
      <c r="F2416" s="0" t="inlineStr">
        <is>
          <t>-&gt;</t>
        </is>
      </c>
      <c r="G2416" s="0" t="n">
        <v>14800</v>
      </c>
      <c r="H2416" s="0" t="inlineStr">
        <is>
          <t>(Stage</t>
        </is>
      </c>
      <c r="I2416" s="0" t="inlineStr">
        <is>
          <t>:</t>
        </is>
      </c>
      <c r="J2416" s="0" t="inlineStr">
        <is>
          <t>8)</t>
        </is>
      </c>
      <c r="K2416" s="0">
        <f>IF(H2415="1)",1,IF(H2415="2)",2,IF(H2415="3)",3,IF(H2415="4)",4,IF(H2415="5)",5,IF(H2415="6)",6,IF(H2415="7)",7,IF(H2415="8)",8,0))))))))</f>
        <v/>
      </c>
      <c r="L2416" s="0">
        <f>IF(H2415="1)",J2415,IF(H2415="2)",J2415,IF(H2415="3)",J2415,IF(H2415="4)",J2415,IF(H2415="5)",J2415,IF(H2415="6)",J2415,IF(H2415="7)",J2415,IF(H2415="8)",J2415,0))))))))</f>
        <v/>
      </c>
    </row>
    <row r="2417">
      <c r="A2417" s="0" t="inlineStr">
        <is>
          <t>New</t>
        </is>
      </c>
      <c r="B2417" s="0" t="inlineStr">
        <is>
          <t>Item</t>
        </is>
      </c>
      <c r="C2417" s="0" t="inlineStr">
        <is>
          <t>Acquired</t>
        </is>
      </c>
      <c r="D2417" s="0" t="inlineStr">
        <is>
          <t>:</t>
        </is>
      </c>
      <c r="E2417" s="0" t="inlineStr">
        <is>
          <t>120.00K</t>
        </is>
      </c>
      <c r="F2417" s="0" t="inlineStr">
        <is>
          <t>(8,</t>
        </is>
      </c>
      <c r="G2417" s="0" t="inlineStr">
        <is>
          <t>9)</t>
        </is>
      </c>
      <c r="K2417" s="0">
        <f>IF(H2416="1)",1,IF(H2416="2)",2,IF(H2416="3)",3,IF(H2416="4)",4,IF(H2416="5)",5,IF(H2416="6)",6,IF(H2416="7)",7,IF(H2416="8)",8,0))))))))</f>
        <v/>
      </c>
      <c r="L2417" s="0">
        <f>IF(H2416="1)",J2416,IF(H2416="2)",J2416,IF(H2416="3)",J2416,IF(H2416="4)",J2416,IF(H2416="5)",J2416,IF(H2416="6)",J2416,IF(H2416="7)",J2416,IF(H2416="8)",J2416,0))))))))</f>
        <v/>
      </c>
    </row>
    <row r="2418">
      <c r="A2418" s="0" t="inlineStr">
        <is>
          <t>New</t>
        </is>
      </c>
      <c r="B2418" s="0" t="inlineStr">
        <is>
          <t>Item</t>
        </is>
      </c>
      <c r="C2418" s="0" t="inlineStr">
        <is>
          <t>Acquired</t>
        </is>
      </c>
      <c r="D2418" s="0" t="inlineStr">
        <is>
          <t>:</t>
        </is>
      </c>
      <c r="E2418" s="0" t="inlineStr">
        <is>
          <t>87.50K</t>
        </is>
      </c>
      <c r="F2418" s="0" t="inlineStr">
        <is>
          <t>(2,</t>
        </is>
      </c>
      <c r="G2418" s="0" t="inlineStr">
        <is>
          <t>7)</t>
        </is>
      </c>
      <c r="K2418" s="0">
        <f>IF(H2417="1)",1,IF(H2417="2)",2,IF(H2417="3)",3,IF(H2417="4)",4,IF(H2417="5)",5,IF(H2417="6)",6,IF(H2417="7)",7,IF(H2417="8)",8,0))))))))</f>
        <v/>
      </c>
      <c r="L2418" s="0">
        <f>IF(H2417="1)",J2417,IF(H2417="2)",J2417,IF(H2417="3)",J2417,IF(H2417="4)",J2417,IF(H2417="5)",J2417,IF(H2417="6)",J2417,IF(H2417="7)",J2417,IF(H2417="8)",J2417,0))))))))</f>
        <v/>
      </c>
    </row>
    <row r="2419">
      <c r="A2419" s="0" t="inlineStr">
        <is>
          <t>New</t>
        </is>
      </c>
      <c r="B2419" s="0" t="inlineStr">
        <is>
          <t>Item</t>
        </is>
      </c>
      <c r="C2419" s="0" t="inlineStr">
        <is>
          <t>Acquired</t>
        </is>
      </c>
      <c r="D2419" s="0" t="inlineStr">
        <is>
          <t>:</t>
        </is>
      </c>
      <c r="E2419" s="0" t="inlineStr">
        <is>
          <t>210.00K</t>
        </is>
      </c>
      <c r="F2419" s="0" t="inlineStr">
        <is>
          <t>(7,</t>
        </is>
      </c>
      <c r="G2419" s="0" t="inlineStr">
        <is>
          <t>6)</t>
        </is>
      </c>
      <c r="K2419" s="0">
        <f>IF(H2418="1)",1,IF(H2418="2)",2,IF(H2418="3)",3,IF(H2418="4)",4,IF(H2418="5)",5,IF(H2418="6)",6,IF(H2418="7)",7,IF(H2418="8)",8,0))))))))</f>
        <v/>
      </c>
      <c r="L2419" s="0">
        <f>IF(H2418="1)",J2418,IF(H2418="2)",J2418,IF(H2418="3)",J2418,IF(H2418="4)",J2418,IF(H2418="5)",J2418,IF(H2418="6)",J2418,IF(H2418="7)",J2418,IF(H2418="8)",J2418,0))))))))</f>
        <v/>
      </c>
    </row>
    <row r="2420">
      <c r="A2420" s="0" t="inlineStr">
        <is>
          <t>New</t>
        </is>
      </c>
      <c r="B2420" s="0" t="inlineStr">
        <is>
          <t>Item</t>
        </is>
      </c>
      <c r="C2420" s="0" t="inlineStr">
        <is>
          <t>Acquired</t>
        </is>
      </c>
      <c r="D2420" s="0" t="inlineStr">
        <is>
          <t>:</t>
        </is>
      </c>
      <c r="E2420" s="0" t="inlineStr">
        <is>
          <t>30.00K</t>
        </is>
      </c>
      <c r="F2420" s="0" t="inlineStr">
        <is>
          <t>(1,</t>
        </is>
      </c>
      <c r="G2420" s="0" t="inlineStr">
        <is>
          <t>16)</t>
        </is>
      </c>
      <c r="K2420" s="0">
        <f>IF(H2419="1)",1,IF(H2419="2)",2,IF(H2419="3)",3,IF(H2419="4)",4,IF(H2419="5)",5,IF(H2419="6)",6,IF(H2419="7)",7,IF(H2419="8)",8,0))))))))</f>
        <v/>
      </c>
      <c r="L2420" s="0">
        <f>IF(H2419="1)",J2419,IF(H2419="2)",J2419,IF(H2419="3)",J2419,IF(H2419="4)",J2419,IF(H2419="5)",J2419,IF(H2419="6)",J2419,IF(H2419="7)",J2419,IF(H2419="8)",J2419,0))))))))</f>
        <v/>
      </c>
    </row>
    <row r="2421">
      <c r="A2421" s="0" t="inlineStr">
        <is>
          <t>New</t>
        </is>
      </c>
      <c r="B2421" s="0" t="inlineStr">
        <is>
          <t>Item</t>
        </is>
      </c>
      <c r="C2421" s="0" t="inlineStr">
        <is>
          <t>Acquired</t>
        </is>
      </c>
      <c r="D2421" s="0" t="inlineStr">
        <is>
          <t>:</t>
        </is>
      </c>
      <c r="E2421" s="0" t="inlineStr">
        <is>
          <t>30.00K</t>
        </is>
      </c>
      <c r="F2421" s="0" t="inlineStr">
        <is>
          <t>(1,</t>
        </is>
      </c>
      <c r="G2421" s="0" t="inlineStr">
        <is>
          <t>10)</t>
        </is>
      </c>
      <c r="K2421" s="0">
        <f>IF(H2420="1)",1,IF(H2420="2)",2,IF(H2420="3)",3,IF(H2420="4)",4,IF(H2420="5)",5,IF(H2420="6)",6,IF(H2420="7)",7,IF(H2420="8)",8,0))))))))</f>
        <v/>
      </c>
      <c r="L2421" s="0">
        <f>IF(H2420="1)",J2420,IF(H2420="2)",J2420,IF(H2420="3)",J2420,IF(H2420="4)",J2420,IF(H2420="5)",J2420,IF(H2420="6)",J2420,IF(H2420="7)",J2420,IF(H2420="8)",J2420,0))))))))</f>
        <v/>
      </c>
    </row>
    <row r="2422">
      <c r="A2422" s="0" t="inlineStr">
        <is>
          <t>New</t>
        </is>
      </c>
      <c r="B2422" s="0" t="inlineStr">
        <is>
          <t>Item</t>
        </is>
      </c>
      <c r="C2422" s="0" t="inlineStr">
        <is>
          <t>Acquired</t>
        </is>
      </c>
      <c r="D2422" s="0" t="inlineStr">
        <is>
          <t>:</t>
        </is>
      </c>
      <c r="E2422" s="0" t="inlineStr">
        <is>
          <t>30.00K</t>
        </is>
      </c>
      <c r="F2422" s="0" t="inlineStr">
        <is>
          <t>(1,</t>
        </is>
      </c>
      <c r="G2422" s="0" t="inlineStr">
        <is>
          <t>21)</t>
        </is>
      </c>
      <c r="K2422" s="0">
        <f>IF(H2421="1)",1,IF(H2421="2)",2,IF(H2421="3)",3,IF(H2421="4)",4,IF(H2421="5)",5,IF(H2421="6)",6,IF(H2421="7)",7,IF(H2421="8)",8,0))))))))</f>
        <v/>
      </c>
      <c r="L2422" s="0">
        <f>IF(H2421="1)",J2421,IF(H2421="2)",J2421,IF(H2421="3)",J2421,IF(H2421="4)",J2421,IF(H2421="5)",J2421,IF(H2421="6)",J2421,IF(H2421="7)",J2421,IF(H2421="8)",J2421,0))))))))</f>
        <v/>
      </c>
    </row>
    <row r="2423">
      <c r="A2423" s="0" t="inlineStr">
        <is>
          <t>New</t>
        </is>
      </c>
      <c r="B2423" s="0" t="inlineStr">
        <is>
          <t>Item</t>
        </is>
      </c>
      <c r="C2423" s="0" t="inlineStr">
        <is>
          <t>Acquired</t>
        </is>
      </c>
      <c r="D2423" s="0" t="inlineStr">
        <is>
          <t>:</t>
        </is>
      </c>
      <c r="E2423" s="0" t="inlineStr">
        <is>
          <t>50.00K</t>
        </is>
      </c>
      <c r="F2423" s="0" t="inlineStr">
        <is>
          <t>(1,</t>
        </is>
      </c>
      <c r="G2423" s="0" t="inlineStr">
        <is>
          <t>19)</t>
        </is>
      </c>
      <c r="K2423" s="0">
        <f>IF(H2422="1)",1,IF(H2422="2)",2,IF(H2422="3)",3,IF(H2422="4)",4,IF(H2422="5)",5,IF(H2422="6)",6,IF(H2422="7)",7,IF(H2422="8)",8,0))))))))</f>
        <v/>
      </c>
      <c r="L2423" s="0">
        <f>IF(H2422="1)",J2422,IF(H2422="2)",J2422,IF(H2422="3)",J2422,IF(H2422="4)",J2422,IF(H2422="5)",J2422,IF(H2422="6)",J2422,IF(H2422="7)",J2422,IF(H2422="8)",J2422,0))))))))</f>
        <v/>
      </c>
    </row>
    <row r="2424">
      <c r="A2424" s="0" t="inlineStr">
        <is>
          <t>New</t>
        </is>
      </c>
      <c r="B2424" s="0" t="inlineStr">
        <is>
          <t>Item</t>
        </is>
      </c>
      <c r="C2424" s="0" t="inlineStr">
        <is>
          <t>Acquired</t>
        </is>
      </c>
      <c r="D2424" s="0" t="inlineStr">
        <is>
          <t>:</t>
        </is>
      </c>
      <c r="E2424" s="0" t="inlineStr">
        <is>
          <t>105.00K</t>
        </is>
      </c>
      <c r="F2424" s="0" t="inlineStr">
        <is>
          <t>(4,</t>
        </is>
      </c>
      <c r="G2424" s="0" t="inlineStr">
        <is>
          <t>21)</t>
        </is>
      </c>
      <c r="K2424" s="0">
        <f>IF(H2423="1)",1,IF(H2423="2)",2,IF(H2423="3)",3,IF(H2423="4)",4,IF(H2423="5)",5,IF(H2423="6)",6,IF(H2423="7)",7,IF(H2423="8)",8,0))))))))</f>
        <v/>
      </c>
      <c r="L2424" s="0">
        <f>IF(H2423="1)",J2423,IF(H2423="2)",J2423,IF(H2423="3)",J2423,IF(H2423="4)",J2423,IF(H2423="5)",J2423,IF(H2423="6)",J2423,IF(H2423="7)",J2423,IF(H2423="8)",J2423,0))))))))</f>
        <v/>
      </c>
    </row>
    <row r="2425">
      <c r="A2425" s="0" t="inlineStr">
        <is>
          <t>New</t>
        </is>
      </c>
      <c r="B2425" s="0" t="inlineStr">
        <is>
          <t>Item</t>
        </is>
      </c>
      <c r="C2425" s="0" t="inlineStr">
        <is>
          <t>Acquired</t>
        </is>
      </c>
      <c r="D2425" s="0" t="inlineStr">
        <is>
          <t>:</t>
        </is>
      </c>
      <c r="E2425" s="0" t="inlineStr">
        <is>
          <t>200.00K</t>
        </is>
      </c>
      <c r="F2425" s="0" t="inlineStr">
        <is>
          <t>(8,</t>
        </is>
      </c>
      <c r="G2425" s="0" t="inlineStr">
        <is>
          <t>24)</t>
        </is>
      </c>
      <c r="K2425" s="0">
        <f>IF(H2424="1)",1,IF(H2424="2)",2,IF(H2424="3)",3,IF(H2424="4)",4,IF(H2424="5)",5,IF(H2424="6)",6,IF(H2424="7)",7,IF(H2424="8)",8,0))))))))</f>
        <v/>
      </c>
      <c r="L2425" s="0">
        <f>IF(H2424="1)",J2424,IF(H2424="2)",J2424,IF(H2424="3)",J2424,IF(H2424="4)",J2424,IF(H2424="5)",J2424,IF(H2424="6)",J2424,IF(H2424="7)",J2424,IF(H2424="8)",J2424,0))))))))</f>
        <v/>
      </c>
    </row>
    <row r="2426">
      <c r="A2426" s="0" t="inlineStr">
        <is>
          <t>New</t>
        </is>
      </c>
      <c r="B2426" s="0" t="inlineStr">
        <is>
          <t>Item</t>
        </is>
      </c>
      <c r="C2426" s="0" t="inlineStr">
        <is>
          <t>Acquired</t>
        </is>
      </c>
      <c r="D2426" s="0" t="inlineStr">
        <is>
          <t>:</t>
        </is>
      </c>
      <c r="E2426" s="0" t="inlineStr">
        <is>
          <t>75.00K</t>
        </is>
      </c>
      <c r="F2426" s="0" t="inlineStr">
        <is>
          <t>(4,</t>
        </is>
      </c>
      <c r="G2426" s="0" t="inlineStr">
        <is>
          <t>12)</t>
        </is>
      </c>
      <c r="K2426" s="0">
        <f>IF(H2425="1)",1,IF(H2425="2)",2,IF(H2425="3)",3,IF(H2425="4)",4,IF(H2425="5)",5,IF(H2425="6)",6,IF(H2425="7)",7,IF(H2425="8)",8,0))))))))</f>
        <v/>
      </c>
      <c r="L2426" s="0">
        <f>IF(H2425="1)",J2425,IF(H2425="2)",J2425,IF(H2425="3)",J2425,IF(H2425="4)",J2425,IF(H2425="5)",J2425,IF(H2425="6)",J2425,IF(H2425="7)",J2425,IF(H2425="8)",J2425,0))))))))</f>
        <v/>
      </c>
    </row>
    <row r="2427">
      <c r="A2427" s="0" t="inlineStr">
        <is>
          <t>New</t>
        </is>
      </c>
      <c r="B2427" s="0" t="inlineStr">
        <is>
          <t>Item</t>
        </is>
      </c>
      <c r="C2427" s="0" t="inlineStr">
        <is>
          <t>Acquired</t>
        </is>
      </c>
      <c r="D2427" s="0" t="inlineStr">
        <is>
          <t>:</t>
        </is>
      </c>
      <c r="E2427" s="0" t="inlineStr">
        <is>
          <t>200.00K</t>
        </is>
      </c>
      <c r="F2427" s="0" t="inlineStr">
        <is>
          <t>(8,</t>
        </is>
      </c>
      <c r="G2427" s="0" t="inlineStr">
        <is>
          <t>16)</t>
        </is>
      </c>
      <c r="K2427" s="0">
        <f>IF(H2426="1)",1,IF(H2426="2)",2,IF(H2426="3)",3,IF(H2426="4)",4,IF(H2426="5)",5,IF(H2426="6)",6,IF(H2426="7)",7,IF(H2426="8)",8,0))))))))</f>
        <v/>
      </c>
      <c r="L2427" s="0">
        <f>IF(H2426="1)",J2426,IF(H2426="2)",J2426,IF(H2426="3)",J2426,IF(H2426="4)",J2426,IF(H2426="5)",J2426,IF(H2426="6)",J2426,IF(H2426="7)",J2426,IF(H2426="8)",J2426,0))))))))</f>
        <v/>
      </c>
    </row>
    <row r="2428">
      <c r="A2428" s="0" t="inlineStr">
        <is>
          <t>New</t>
        </is>
      </c>
      <c r="B2428" s="0" t="inlineStr">
        <is>
          <t>Item</t>
        </is>
      </c>
      <c r="C2428" s="0" t="inlineStr">
        <is>
          <t>Acquired</t>
        </is>
      </c>
      <c r="D2428" s="0" t="inlineStr">
        <is>
          <t>:</t>
        </is>
      </c>
      <c r="E2428" s="0" t="inlineStr">
        <is>
          <t>90.00K</t>
        </is>
      </c>
      <c r="F2428" s="0" t="inlineStr">
        <is>
          <t>(7,</t>
        </is>
      </c>
      <c r="G2428" s="0" t="inlineStr">
        <is>
          <t>14)</t>
        </is>
      </c>
      <c r="K2428" s="0">
        <f>IF(H2427="1)",1,IF(H2427="2)",2,IF(H2427="3)",3,IF(H2427="4)",4,IF(H2427="5)",5,IF(H2427="6)",6,IF(H2427="7)",7,IF(H2427="8)",8,0))))))))</f>
        <v/>
      </c>
      <c r="L2428" s="0">
        <f>IF(H2427="1)",J2427,IF(H2427="2)",J2427,IF(H2427="3)",J2427,IF(H2427="4)",J2427,IF(H2427="5)",J2427,IF(H2427="6)",J2427,IF(H2427="7)",J2427,IF(H2427="8)",J2427,0))))))))</f>
        <v/>
      </c>
    </row>
    <row r="2429">
      <c r="A2429" s="0" t="inlineStr">
        <is>
          <t>New</t>
        </is>
      </c>
      <c r="B2429" s="0" t="inlineStr">
        <is>
          <t>Item</t>
        </is>
      </c>
      <c r="C2429" s="0" t="inlineStr">
        <is>
          <t>Acquired</t>
        </is>
      </c>
      <c r="D2429" s="0" t="inlineStr">
        <is>
          <t>:</t>
        </is>
      </c>
      <c r="E2429" s="0" t="inlineStr">
        <is>
          <t>87.50K</t>
        </is>
      </c>
      <c r="F2429" s="0" t="inlineStr">
        <is>
          <t>(2,</t>
        </is>
      </c>
      <c r="G2429" s="0" t="inlineStr">
        <is>
          <t>23)</t>
        </is>
      </c>
      <c r="K2429" s="0">
        <f>IF(H2428="1)",1,IF(H2428="2)",2,IF(H2428="3)",3,IF(H2428="4)",4,IF(H2428="5)",5,IF(H2428="6)",6,IF(H2428="7)",7,IF(H2428="8)",8,0))))))))</f>
        <v/>
      </c>
      <c r="L2429" s="0">
        <f>IF(H2428="1)",J2428,IF(H2428="2)",J2428,IF(H2428="3)",J2428,IF(H2428="4)",J2428,IF(H2428="5)",J2428,IF(H2428="6)",J2428,IF(H2428="7)",J2428,IF(H2428="8)",J2428,0))))))))</f>
        <v/>
      </c>
    </row>
    <row r="2430">
      <c r="A2430" s="0" t="inlineStr">
        <is>
          <t>Line</t>
        </is>
      </c>
      <c r="B2430" s="0" t="inlineStr">
        <is>
          <t>Prize</t>
        </is>
      </c>
      <c r="C2430" s="0" t="inlineStr">
        <is>
          <t>Acquired</t>
        </is>
      </c>
      <c r="D2430" s="0" t="inlineStr">
        <is>
          <t>:</t>
        </is>
      </c>
      <c r="E2430" s="0" t="inlineStr">
        <is>
          <t>650.00K</t>
        </is>
      </c>
      <c r="F2430" s="0" t="inlineStr">
        <is>
          <t>(Stage</t>
        </is>
      </c>
      <c r="G2430" s="0" t="inlineStr">
        <is>
          <t>:</t>
        </is>
      </c>
      <c r="H2430" s="0" t="inlineStr">
        <is>
          <t>2)</t>
        </is>
      </c>
      <c r="I2430" s="0" t="inlineStr">
        <is>
          <t>-</t>
        </is>
      </c>
      <c r="J2430" s="0" t="n">
        <v>650000</v>
      </c>
      <c r="K2430" s="0">
        <f>IF(H2429="1)",1,IF(H2429="2)",2,IF(H2429="3)",3,IF(H2429="4)",4,IF(H2429="5)",5,IF(H2429="6)",6,IF(H2429="7)",7,IF(H2429="8)",8,0))))))))</f>
        <v/>
      </c>
      <c r="L2430" s="0">
        <f>IF(H2429="1)",J2429,IF(H2429="2)",J2429,IF(H2429="3)",J2429,IF(H2429="4)",J2429,IF(H2429="5)",J2429,IF(H2429="6)",J2429,IF(H2429="7)",J2429,IF(H2429="8)",J2429,0))))))))</f>
        <v/>
      </c>
    </row>
    <row r="2431">
      <c r="A2431" s="0" t="inlineStr">
        <is>
          <t>Clear</t>
        </is>
      </c>
      <c r="B2431" s="0" t="inlineStr">
        <is>
          <t>Gem</t>
        </is>
      </c>
      <c r="C2431" s="0" t="inlineStr">
        <is>
          <t>Acquired</t>
        </is>
      </c>
      <c r="D2431" s="0" t="inlineStr">
        <is>
          <t>:</t>
        </is>
      </c>
      <c r="E2431" s="0" t="n">
        <v>14800</v>
      </c>
      <c r="F2431" s="0" t="inlineStr">
        <is>
          <t>-&gt;</t>
        </is>
      </c>
      <c r="G2431" s="0" t="n">
        <v>14900</v>
      </c>
      <c r="H2431" s="0" t="inlineStr">
        <is>
          <t>(Stage</t>
        </is>
      </c>
      <c r="I2431" s="0" t="inlineStr">
        <is>
          <t>:</t>
        </is>
      </c>
      <c r="J2431" s="0" t="inlineStr">
        <is>
          <t>2)</t>
        </is>
      </c>
      <c r="K2431" s="0">
        <f>IF(H2430="1)",1,IF(H2430="2)",2,IF(H2430="3)",3,IF(H2430="4)",4,IF(H2430="5)",5,IF(H2430="6)",6,IF(H2430="7)",7,IF(H2430="8)",8,0))))))))</f>
        <v/>
      </c>
      <c r="L2431" s="0">
        <f>IF(H2430="1)",J2430,IF(H2430="2)",J2430,IF(H2430="3)",J2430,IF(H2430="4)",J2430,IF(H2430="5)",J2430,IF(H2430="6)",J2430,IF(H2430="7)",J2430,IF(H2430="8)",J2430,0))))))))</f>
        <v/>
      </c>
    </row>
    <row r="2432">
      <c r="A2432" s="0" t="inlineStr">
        <is>
          <t>New</t>
        </is>
      </c>
      <c r="B2432" s="0" t="inlineStr">
        <is>
          <t>Item</t>
        </is>
      </c>
      <c r="C2432" s="0" t="inlineStr">
        <is>
          <t>Acquired</t>
        </is>
      </c>
      <c r="D2432" s="0" t="inlineStr">
        <is>
          <t>:</t>
        </is>
      </c>
      <c r="E2432" s="0" t="inlineStr">
        <is>
          <t>210.00K</t>
        </is>
      </c>
      <c r="F2432" s="0" t="inlineStr">
        <is>
          <t>(7,</t>
        </is>
      </c>
      <c r="G2432" s="0" t="inlineStr">
        <is>
          <t>3)</t>
        </is>
      </c>
      <c r="K2432" s="0">
        <f>IF(H2431="1)",1,IF(H2431="2)",2,IF(H2431="3)",3,IF(H2431="4)",4,IF(H2431="5)",5,IF(H2431="6)",6,IF(H2431="7)",7,IF(H2431="8)",8,0))))))))</f>
        <v/>
      </c>
      <c r="L2432" s="0">
        <f>IF(H2431="1)",J2431,IF(H2431="2)",J2431,IF(H2431="3)",J2431,IF(H2431="4)",J2431,IF(H2431="5)",J2431,IF(H2431="6)",J2431,IF(H2431="7)",J2431,IF(H2431="8)",J2431,0))))))))</f>
        <v/>
      </c>
    </row>
    <row r="2433">
      <c r="A2433" s="0" t="inlineStr">
        <is>
          <t>New</t>
        </is>
      </c>
      <c r="B2433" s="0" t="inlineStr">
        <is>
          <t>Item</t>
        </is>
      </c>
      <c r="C2433" s="0" t="inlineStr">
        <is>
          <t>Acquired</t>
        </is>
      </c>
      <c r="D2433" s="0" t="inlineStr">
        <is>
          <t>:</t>
        </is>
      </c>
      <c r="E2433" s="0" t="inlineStr">
        <is>
          <t>75.00K</t>
        </is>
      </c>
      <c r="F2433" s="0" t="inlineStr">
        <is>
          <t>(6,</t>
        </is>
      </c>
      <c r="G2433" s="0" t="inlineStr">
        <is>
          <t>1)</t>
        </is>
      </c>
      <c r="K2433" s="0">
        <f>IF(H2432="1)",1,IF(H2432="2)",2,IF(H2432="3)",3,IF(H2432="4)",4,IF(H2432="5)",5,IF(H2432="6)",6,IF(H2432="7)",7,IF(H2432="8)",8,0))))))))</f>
        <v/>
      </c>
      <c r="L2433" s="0">
        <f>IF(H2432="1)",J2432,IF(H2432="2)",J2432,IF(H2432="3)",J2432,IF(H2432="4)",J2432,IF(H2432="5)",J2432,IF(H2432="6)",J2432,IF(H2432="7)",J2432,IF(H2432="8)",J2432,0))))))))</f>
        <v/>
      </c>
    </row>
    <row r="2434">
      <c r="A2434" s="0" t="inlineStr">
        <is>
          <t>Line</t>
        </is>
      </c>
      <c r="B2434" s="0" t="inlineStr">
        <is>
          <t>Prize</t>
        </is>
      </c>
      <c r="C2434" s="0" t="inlineStr">
        <is>
          <t>Acquired</t>
        </is>
      </c>
      <c r="D2434" s="0" t="inlineStr">
        <is>
          <t>:</t>
        </is>
      </c>
      <c r="E2434" s="0" t="inlineStr">
        <is>
          <t>1.60M</t>
        </is>
      </c>
      <c r="F2434" s="0" t="inlineStr">
        <is>
          <t>(Stage</t>
        </is>
      </c>
      <c r="G2434" s="0" t="inlineStr">
        <is>
          <t>:</t>
        </is>
      </c>
      <c r="H2434" s="0" t="inlineStr">
        <is>
          <t>6)</t>
        </is>
      </c>
      <c r="I2434" s="0" t="inlineStr">
        <is>
          <t>-</t>
        </is>
      </c>
      <c r="J2434" s="0" t="n">
        <v>1600000</v>
      </c>
      <c r="K2434" s="0">
        <f>IF(H2433="1)",1,IF(H2433="2)",2,IF(H2433="3)",3,IF(H2433="4)",4,IF(H2433="5)",5,IF(H2433="6)",6,IF(H2433="7)",7,IF(H2433="8)",8,0))))))))</f>
        <v/>
      </c>
      <c r="L2434" s="0">
        <f>IF(H2433="1)",J2433,IF(H2433="2)",J2433,IF(H2433="3)",J2433,IF(H2433="4)",J2433,IF(H2433="5)",J2433,IF(H2433="6)",J2433,IF(H2433="7)",J2433,IF(H2433="8)",J2433,0))))))))</f>
        <v/>
      </c>
    </row>
    <row r="2435">
      <c r="A2435" s="0" t="inlineStr">
        <is>
          <t>Clear</t>
        </is>
      </c>
      <c r="B2435" s="0" t="inlineStr">
        <is>
          <t>Gem</t>
        </is>
      </c>
      <c r="C2435" s="0" t="inlineStr">
        <is>
          <t>Acquired</t>
        </is>
      </c>
      <c r="D2435" s="0" t="inlineStr">
        <is>
          <t>:</t>
        </is>
      </c>
      <c r="E2435" s="0" t="n">
        <v>14900</v>
      </c>
      <c r="F2435" s="0" t="inlineStr">
        <is>
          <t>-&gt;</t>
        </is>
      </c>
      <c r="G2435" s="0" t="n">
        <v>15000</v>
      </c>
      <c r="H2435" s="0" t="inlineStr">
        <is>
          <t>(Stage</t>
        </is>
      </c>
      <c r="I2435" s="0" t="inlineStr">
        <is>
          <t>:</t>
        </is>
      </c>
      <c r="J2435" s="0" t="inlineStr">
        <is>
          <t>6)</t>
        </is>
      </c>
      <c r="K2435" s="0">
        <f>IF(H2434="1)",1,IF(H2434="2)",2,IF(H2434="3)",3,IF(H2434="4)",4,IF(H2434="5)",5,IF(H2434="6)",6,IF(H2434="7)",7,IF(H2434="8)",8,0))))))))</f>
        <v/>
      </c>
      <c r="L2435" s="0">
        <f>IF(H2434="1)",J2434,IF(H2434="2)",J2434,IF(H2434="3)",J2434,IF(H2434="4)",J2434,IF(H2434="5)",J2434,IF(H2434="6)",J2434,IF(H2434="7)",J2434,IF(H2434="8)",J2434,0))))))))</f>
        <v/>
      </c>
    </row>
    <row r="2436">
      <c r="A2436" s="0" t="inlineStr">
        <is>
          <t>New</t>
        </is>
      </c>
      <c r="B2436" s="0" t="inlineStr">
        <is>
          <t>Item</t>
        </is>
      </c>
      <c r="C2436" s="0" t="inlineStr">
        <is>
          <t>Acquired</t>
        </is>
      </c>
      <c r="D2436" s="0" t="inlineStr">
        <is>
          <t>:</t>
        </is>
      </c>
      <c r="E2436" s="0" t="inlineStr">
        <is>
          <t>50.00K</t>
        </is>
      </c>
      <c r="F2436" s="0" t="inlineStr">
        <is>
          <t>(1,</t>
        </is>
      </c>
      <c r="G2436" s="0" t="inlineStr">
        <is>
          <t>20)</t>
        </is>
      </c>
      <c r="K2436" s="0">
        <f>IF(H2435="1)",1,IF(H2435="2)",2,IF(H2435="3)",3,IF(H2435="4)",4,IF(H2435="5)",5,IF(H2435="6)",6,IF(H2435="7)",7,IF(H2435="8)",8,0))))))))</f>
        <v/>
      </c>
      <c r="L2436" s="0">
        <f>IF(H2435="1)",J2435,IF(H2435="2)",J2435,IF(H2435="3)",J2435,IF(H2435="4)",J2435,IF(H2435="5)",J2435,IF(H2435="6)",J2435,IF(H2435="7)",J2435,IF(H2435="8)",J2435,0))))))))</f>
        <v/>
      </c>
    </row>
    <row r="2437">
      <c r="A2437" s="0" t="inlineStr">
        <is>
          <t>New</t>
        </is>
      </c>
      <c r="B2437" s="0" t="inlineStr">
        <is>
          <t>Item</t>
        </is>
      </c>
      <c r="C2437" s="0" t="inlineStr">
        <is>
          <t>Acquired</t>
        </is>
      </c>
      <c r="D2437" s="0" t="inlineStr">
        <is>
          <t>:</t>
        </is>
      </c>
      <c r="E2437" s="0" t="inlineStr">
        <is>
          <t>45.00K</t>
        </is>
      </c>
      <c r="F2437" s="0" t="inlineStr">
        <is>
          <t>(3,</t>
        </is>
      </c>
      <c r="G2437" s="0" t="inlineStr">
        <is>
          <t>8)</t>
        </is>
      </c>
      <c r="K2437" s="0">
        <f>IF(H2436="1)",1,IF(H2436="2)",2,IF(H2436="3)",3,IF(H2436="4)",4,IF(H2436="5)",5,IF(H2436="6)",6,IF(H2436="7)",7,IF(H2436="8)",8,0))))))))</f>
        <v/>
      </c>
      <c r="L2437" s="0">
        <f>IF(H2436="1)",J2436,IF(H2436="2)",J2436,IF(H2436="3)",J2436,IF(H2436="4)",J2436,IF(H2436="5)",J2436,IF(H2436="6)",J2436,IF(H2436="7)",J2436,IF(H2436="8)",J2436,0))))))))</f>
        <v/>
      </c>
    </row>
    <row r="2438">
      <c r="A2438" s="0" t="inlineStr">
        <is>
          <t>New</t>
        </is>
      </c>
      <c r="B2438" s="0" t="inlineStr">
        <is>
          <t>Item</t>
        </is>
      </c>
      <c r="C2438" s="0" t="inlineStr">
        <is>
          <t>Acquired</t>
        </is>
      </c>
      <c r="D2438" s="0" t="inlineStr">
        <is>
          <t>:</t>
        </is>
      </c>
      <c r="E2438" s="0" t="inlineStr">
        <is>
          <t>45.00K</t>
        </is>
      </c>
      <c r="F2438" s="0" t="inlineStr">
        <is>
          <t>(3,</t>
        </is>
      </c>
      <c r="G2438" s="0" t="inlineStr">
        <is>
          <t>21)</t>
        </is>
      </c>
      <c r="K2438" s="0">
        <f>IF(H2437="1)",1,IF(H2437="2)",2,IF(H2437="3)",3,IF(H2437="4)",4,IF(H2437="5)",5,IF(H2437="6)",6,IF(H2437="7)",7,IF(H2437="8)",8,0))))))))</f>
        <v/>
      </c>
      <c r="L2438" s="0">
        <f>IF(H2437="1)",J2437,IF(H2437="2)",J2437,IF(H2437="3)",J2437,IF(H2437="4)",J2437,IF(H2437="5)",J2437,IF(H2437="6)",J2437,IF(H2437="7)",J2437,IF(H2437="8)",J2437,0))))))))</f>
        <v/>
      </c>
    </row>
    <row r="2439">
      <c r="A2439" s="0" t="inlineStr">
        <is>
          <t>Line</t>
        </is>
      </c>
      <c r="B2439" s="0" t="inlineStr">
        <is>
          <t>Prize</t>
        </is>
      </c>
      <c r="C2439" s="0" t="inlineStr">
        <is>
          <t>Acquired</t>
        </is>
      </c>
      <c r="D2439" s="0" t="inlineStr">
        <is>
          <t>:</t>
        </is>
      </c>
      <c r="E2439" s="0" t="inlineStr">
        <is>
          <t>720.00K</t>
        </is>
      </c>
      <c r="F2439" s="0" t="inlineStr">
        <is>
          <t>(Stage</t>
        </is>
      </c>
      <c r="G2439" s="0" t="inlineStr">
        <is>
          <t>:</t>
        </is>
      </c>
      <c r="H2439" s="0" t="inlineStr">
        <is>
          <t>3)</t>
        </is>
      </c>
      <c r="I2439" s="0" t="inlineStr">
        <is>
          <t>-</t>
        </is>
      </c>
      <c r="J2439" s="0" t="n">
        <v>720000</v>
      </c>
      <c r="K2439" s="0">
        <f>IF(H2438="1)",1,IF(H2438="2)",2,IF(H2438="3)",3,IF(H2438="4)",4,IF(H2438="5)",5,IF(H2438="6)",6,IF(H2438="7)",7,IF(H2438="8)",8,0))))))))</f>
        <v/>
      </c>
      <c r="L2439" s="0">
        <f>IF(H2438="1)",J2438,IF(H2438="2)",J2438,IF(H2438="3)",J2438,IF(H2438="4)",J2438,IF(H2438="5)",J2438,IF(H2438="6)",J2438,IF(H2438="7)",J2438,IF(H2438="8)",J2438,0))))))))</f>
        <v/>
      </c>
    </row>
    <row r="2440">
      <c r="A2440" s="0" t="inlineStr">
        <is>
          <t>Clear</t>
        </is>
      </c>
      <c r="B2440" s="0" t="inlineStr">
        <is>
          <t>Gem</t>
        </is>
      </c>
      <c r="C2440" s="0" t="inlineStr">
        <is>
          <t>Acquired</t>
        </is>
      </c>
      <c r="D2440" s="0" t="inlineStr">
        <is>
          <t>:</t>
        </is>
      </c>
      <c r="E2440" s="0" t="n">
        <v>15000</v>
      </c>
      <c r="F2440" s="0" t="inlineStr">
        <is>
          <t>-&gt;</t>
        </is>
      </c>
      <c r="G2440" s="0" t="n">
        <v>15100</v>
      </c>
      <c r="H2440" s="0" t="inlineStr">
        <is>
          <t>(Stage</t>
        </is>
      </c>
      <c r="I2440" s="0" t="inlineStr">
        <is>
          <t>:</t>
        </is>
      </c>
      <c r="J2440" s="0" t="inlineStr">
        <is>
          <t>3)</t>
        </is>
      </c>
      <c r="K2440" s="0">
        <f>IF(H2439="1)",1,IF(H2439="2)",2,IF(H2439="3)",3,IF(H2439="4)",4,IF(H2439="5)",5,IF(H2439="6)",6,IF(H2439="7)",7,IF(H2439="8)",8,0))))))))</f>
        <v/>
      </c>
      <c r="L2440" s="0">
        <f>IF(H2439="1)",J2439,IF(H2439="2)",J2439,IF(H2439="3)",J2439,IF(H2439="4)",J2439,IF(H2439="5)",J2439,IF(H2439="6)",J2439,IF(H2439="7)",J2439,IF(H2439="8)",J2439,0))))))))</f>
        <v/>
      </c>
    </row>
    <row r="2441">
      <c r="A2441" s="0" t="inlineStr">
        <is>
          <t>New</t>
        </is>
      </c>
      <c r="B2441" s="0" t="inlineStr">
        <is>
          <t>Item</t>
        </is>
      </c>
      <c r="C2441" s="0" t="inlineStr">
        <is>
          <t>Acquired</t>
        </is>
      </c>
      <c r="D2441" s="0" t="inlineStr">
        <is>
          <t>:</t>
        </is>
      </c>
      <c r="E2441" s="0" t="inlineStr">
        <is>
          <t>75.00K</t>
        </is>
      </c>
      <c r="F2441" s="0" t="inlineStr">
        <is>
          <t>(6,</t>
        </is>
      </c>
      <c r="G2441" s="0" t="inlineStr">
        <is>
          <t>1)</t>
        </is>
      </c>
      <c r="K2441" s="0">
        <f>IF(H2440="1)",1,IF(H2440="2)",2,IF(H2440="3)",3,IF(H2440="4)",4,IF(H2440="5)",5,IF(H2440="6)",6,IF(H2440="7)",7,IF(H2440="8)",8,0))))))))</f>
        <v/>
      </c>
      <c r="L2441" s="0">
        <f>IF(H2440="1)",J2440,IF(H2440="2)",J2440,IF(H2440="3)",J2440,IF(H2440="4)",J2440,IF(H2440="5)",J2440,IF(H2440="6)",J2440,IF(H2440="7)",J2440,IF(H2440="8)",J2440,0))))))))</f>
        <v/>
      </c>
    </row>
    <row r="2442">
      <c r="A2442" s="0" t="inlineStr">
        <is>
          <t>New</t>
        </is>
      </c>
      <c r="B2442" s="0" t="inlineStr">
        <is>
          <t>Item</t>
        </is>
      </c>
      <c r="C2442" s="0" t="inlineStr">
        <is>
          <t>Acquired</t>
        </is>
      </c>
      <c r="D2442" s="0" t="inlineStr">
        <is>
          <t>:</t>
        </is>
      </c>
      <c r="E2442" s="0" t="inlineStr">
        <is>
          <t>120.00K</t>
        </is>
      </c>
      <c r="F2442" s="0" t="inlineStr">
        <is>
          <t>(8,</t>
        </is>
      </c>
      <c r="G2442" s="0" t="inlineStr">
        <is>
          <t>10)</t>
        </is>
      </c>
      <c r="K2442" s="0">
        <f>IF(H2441="1)",1,IF(H2441="2)",2,IF(H2441="3)",3,IF(H2441="4)",4,IF(H2441="5)",5,IF(H2441="6)",6,IF(H2441="7)",7,IF(H2441="8)",8,0))))))))</f>
        <v/>
      </c>
      <c r="L2442" s="0">
        <f>IF(H2441="1)",J2441,IF(H2441="2)",J2441,IF(H2441="3)",J2441,IF(H2441="4)",J2441,IF(H2441="5)",J2441,IF(H2441="6)",J2441,IF(H2441="7)",J2441,IF(H2441="8)",J2441,0))))))))</f>
        <v/>
      </c>
    </row>
    <row r="2443">
      <c r="A2443" s="0" t="inlineStr">
        <is>
          <t>New</t>
        </is>
      </c>
      <c r="B2443" s="0" t="inlineStr">
        <is>
          <t>Item</t>
        </is>
      </c>
      <c r="C2443" s="0" t="inlineStr">
        <is>
          <t>Acquired</t>
        </is>
      </c>
      <c r="D2443" s="0" t="inlineStr">
        <is>
          <t>:</t>
        </is>
      </c>
      <c r="E2443" s="0" t="inlineStr">
        <is>
          <t>30.00K</t>
        </is>
      </c>
      <c r="F2443" s="0" t="inlineStr">
        <is>
          <t>(1,</t>
        </is>
      </c>
      <c r="G2443" s="0" t="inlineStr">
        <is>
          <t>15)</t>
        </is>
      </c>
      <c r="K2443" s="0">
        <f>IF(H2442="1)",1,IF(H2442="2)",2,IF(H2442="3)",3,IF(H2442="4)",4,IF(H2442="5)",5,IF(H2442="6)",6,IF(H2442="7)",7,IF(H2442="8)",8,0))))))))</f>
        <v/>
      </c>
      <c r="L2443" s="0">
        <f>IF(H2442="1)",J2442,IF(H2442="2)",J2442,IF(H2442="3)",J2442,IF(H2442="4)",J2442,IF(H2442="5)",J2442,IF(H2442="6)",J2442,IF(H2442="7)",J2442,IF(H2442="8)",J2442,0))))))))</f>
        <v/>
      </c>
    </row>
    <row r="2444">
      <c r="A2444" s="0" t="inlineStr">
        <is>
          <t>New</t>
        </is>
      </c>
      <c r="B2444" s="0" t="inlineStr">
        <is>
          <t>Item</t>
        </is>
      </c>
      <c r="C2444" s="0" t="inlineStr">
        <is>
          <t>Acquired</t>
        </is>
      </c>
      <c r="D2444" s="0" t="inlineStr">
        <is>
          <t>:</t>
        </is>
      </c>
      <c r="E2444" s="0" t="inlineStr">
        <is>
          <t>30.00K</t>
        </is>
      </c>
      <c r="F2444" s="0" t="inlineStr">
        <is>
          <t>(1,</t>
        </is>
      </c>
      <c r="G2444" s="0" t="inlineStr">
        <is>
          <t>6)</t>
        </is>
      </c>
      <c r="K2444" s="0">
        <f>IF(H2443="1)",1,IF(H2443="2)",2,IF(H2443="3)",3,IF(H2443="4)",4,IF(H2443="5)",5,IF(H2443="6)",6,IF(H2443="7)",7,IF(H2443="8)",8,0))))))))</f>
        <v/>
      </c>
      <c r="L2444" s="0">
        <f>IF(H2443="1)",J2443,IF(H2443="2)",J2443,IF(H2443="3)",J2443,IF(H2443="4)",J2443,IF(H2443="5)",J2443,IF(H2443="6)",J2443,IF(H2443="7)",J2443,IF(H2443="8)",J2443,0))))))))</f>
        <v/>
      </c>
    </row>
    <row r="2445">
      <c r="A2445" s="0" t="inlineStr">
        <is>
          <t>New</t>
        </is>
      </c>
      <c r="B2445" s="0" t="inlineStr">
        <is>
          <t>Item</t>
        </is>
      </c>
      <c r="C2445" s="0" t="inlineStr">
        <is>
          <t>Acquired</t>
        </is>
      </c>
      <c r="D2445" s="0" t="inlineStr">
        <is>
          <t>:</t>
        </is>
      </c>
      <c r="E2445" s="0" t="inlineStr">
        <is>
          <t>75.00K</t>
        </is>
      </c>
      <c r="F2445" s="0" t="inlineStr">
        <is>
          <t>(4,</t>
        </is>
      </c>
      <c r="G2445" s="0" t="inlineStr">
        <is>
          <t>20)</t>
        </is>
      </c>
      <c r="K2445" s="0">
        <f>IF(H2444="1)",1,IF(H2444="2)",2,IF(H2444="3)",3,IF(H2444="4)",4,IF(H2444="5)",5,IF(H2444="6)",6,IF(H2444="7)",7,IF(H2444="8)",8,0))))))))</f>
        <v/>
      </c>
      <c r="L2445" s="0">
        <f>IF(H2444="1)",J2444,IF(H2444="2)",J2444,IF(H2444="3)",J2444,IF(H2444="4)",J2444,IF(H2444="5)",J2444,IF(H2444="6)",J2444,IF(H2444="7)",J2444,IF(H2444="8)",J2444,0))))))))</f>
        <v/>
      </c>
    </row>
    <row r="2446">
      <c r="A2446" s="0" t="inlineStr">
        <is>
          <t>New</t>
        </is>
      </c>
      <c r="B2446" s="0" t="inlineStr">
        <is>
          <t>Item</t>
        </is>
      </c>
      <c r="C2446" s="0" t="inlineStr">
        <is>
          <t>Acquired</t>
        </is>
      </c>
      <c r="D2446" s="0" t="inlineStr">
        <is>
          <t>:</t>
        </is>
      </c>
      <c r="E2446" s="0" t="inlineStr">
        <is>
          <t>Mini</t>
        </is>
      </c>
      <c r="F2446" s="0" t="inlineStr">
        <is>
          <t>(4,</t>
        </is>
      </c>
      <c r="G2446" s="0" t="inlineStr">
        <is>
          <t>23)</t>
        </is>
      </c>
      <c r="K2446" s="0">
        <f>IF(H2445="1)",1,IF(H2445="2)",2,IF(H2445="3)",3,IF(H2445="4)",4,IF(H2445="5)",5,IF(H2445="6)",6,IF(H2445="7)",7,IF(H2445="8)",8,0))))))))</f>
        <v/>
      </c>
      <c r="L2446" s="0">
        <f>IF(H2445="1)",J2445,IF(H2445="2)",J2445,IF(H2445="3)",J2445,IF(H2445="4)",J2445,IF(H2445="5)",J2445,IF(H2445="6)",J2445,IF(H2445="7)",J2445,IF(H2445="8)",J2445,0))))))))</f>
        <v/>
      </c>
    </row>
    <row r="2447">
      <c r="A2447" s="0" t="inlineStr">
        <is>
          <t>New</t>
        </is>
      </c>
      <c r="B2447" s="0" t="inlineStr">
        <is>
          <t>Item</t>
        </is>
      </c>
      <c r="C2447" s="0" t="inlineStr">
        <is>
          <t>Acquired</t>
        </is>
      </c>
      <c r="D2447" s="0" t="inlineStr">
        <is>
          <t>:</t>
        </is>
      </c>
      <c r="E2447" s="0" t="inlineStr">
        <is>
          <t>30.00K</t>
        </is>
      </c>
      <c r="F2447" s="0" t="inlineStr">
        <is>
          <t>(1,</t>
        </is>
      </c>
      <c r="G2447" s="0" t="inlineStr">
        <is>
          <t>25)</t>
        </is>
      </c>
      <c r="K2447" s="0">
        <f>IF(H2446="1)",1,IF(H2446="2)",2,IF(H2446="3)",3,IF(H2446="4)",4,IF(H2446="5)",5,IF(H2446="6)",6,IF(H2446="7)",7,IF(H2446="8)",8,0))))))))</f>
        <v/>
      </c>
      <c r="L2447" s="0">
        <f>IF(H2446="1)",J2446,IF(H2446="2)",J2446,IF(H2446="3)",J2446,IF(H2446="4)",J2446,IF(H2446="5)",J2446,IF(H2446="6)",J2446,IF(H2446="7)",J2446,IF(H2446="8)",J2446,0))))))))</f>
        <v/>
      </c>
    </row>
    <row r="2448">
      <c r="A2448" s="0" t="inlineStr">
        <is>
          <t>Line</t>
        </is>
      </c>
      <c r="B2448" s="0" t="inlineStr">
        <is>
          <t>Prize</t>
        </is>
      </c>
      <c r="C2448" s="0" t="inlineStr">
        <is>
          <t>Acquired</t>
        </is>
      </c>
      <c r="D2448" s="0" t="inlineStr">
        <is>
          <t>:</t>
        </is>
      </c>
      <c r="E2448" s="0" t="inlineStr">
        <is>
          <t>440.00K</t>
        </is>
      </c>
      <c r="F2448" s="0" t="inlineStr">
        <is>
          <t>(Stage</t>
        </is>
      </c>
      <c r="G2448" s="0" t="inlineStr">
        <is>
          <t>:</t>
        </is>
      </c>
      <c r="H2448" s="0" t="inlineStr">
        <is>
          <t>1)</t>
        </is>
      </c>
      <c r="I2448" s="0" t="inlineStr">
        <is>
          <t>-</t>
        </is>
      </c>
      <c r="J2448" s="0" t="n">
        <v>440000</v>
      </c>
      <c r="K2448" s="0">
        <f>IF(H2447="1)",1,IF(H2447="2)",2,IF(H2447="3)",3,IF(H2447="4)",4,IF(H2447="5)",5,IF(H2447="6)",6,IF(H2447="7)",7,IF(H2447="8)",8,0))))))))</f>
        <v/>
      </c>
      <c r="L2448" s="0">
        <f>IF(H2447="1)",J2447,IF(H2447="2)",J2447,IF(H2447="3)",J2447,IF(H2447="4)",J2447,IF(H2447="5)",J2447,IF(H2447="6)",J2447,IF(H2447="7)",J2447,IF(H2447="8)",J2447,0))))))))</f>
        <v/>
      </c>
    </row>
    <row r="2449">
      <c r="A2449" s="0" t="inlineStr">
        <is>
          <t>Clear</t>
        </is>
      </c>
      <c r="B2449" s="0" t="inlineStr">
        <is>
          <t>Gem</t>
        </is>
      </c>
      <c r="C2449" s="0" t="inlineStr">
        <is>
          <t>Acquired</t>
        </is>
      </c>
      <c r="D2449" s="0" t="inlineStr">
        <is>
          <t>:</t>
        </is>
      </c>
      <c r="E2449" s="0" t="n">
        <v>15100</v>
      </c>
      <c r="F2449" s="0" t="inlineStr">
        <is>
          <t>-&gt;</t>
        </is>
      </c>
      <c r="G2449" s="0" t="n">
        <v>15200</v>
      </c>
      <c r="H2449" s="0" t="inlineStr">
        <is>
          <t>(Stage</t>
        </is>
      </c>
      <c r="I2449" s="0" t="inlineStr">
        <is>
          <t>:</t>
        </is>
      </c>
      <c r="J2449" s="0" t="inlineStr">
        <is>
          <t>1)</t>
        </is>
      </c>
      <c r="K2449" s="0">
        <f>IF(H2448="1)",1,IF(H2448="2)",2,IF(H2448="3)",3,IF(H2448="4)",4,IF(H2448="5)",5,IF(H2448="6)",6,IF(H2448="7)",7,IF(H2448="8)",8,0))))))))</f>
        <v/>
      </c>
      <c r="L2449" s="0">
        <f>IF(H2448="1)",J2448,IF(H2448="2)",J2448,IF(H2448="3)",J2448,IF(H2448="4)",J2448,IF(H2448="5)",J2448,IF(H2448="6)",J2448,IF(H2448="7)",J2448,IF(H2448="8)",J2448,0))))))))</f>
        <v/>
      </c>
    </row>
    <row r="2450">
      <c r="A2450" s="0" t="inlineStr">
        <is>
          <t>New</t>
        </is>
      </c>
      <c r="B2450" s="0" t="inlineStr">
        <is>
          <t>Item</t>
        </is>
      </c>
      <c r="C2450" s="0" t="inlineStr">
        <is>
          <t>Acquired</t>
        </is>
      </c>
      <c r="D2450" s="0" t="inlineStr">
        <is>
          <t>:</t>
        </is>
      </c>
      <c r="E2450" s="0" t="inlineStr">
        <is>
          <t>90.00K</t>
        </is>
      </c>
      <c r="F2450" s="0" t="inlineStr">
        <is>
          <t>(7,</t>
        </is>
      </c>
      <c r="G2450" s="0" t="inlineStr">
        <is>
          <t>4)</t>
        </is>
      </c>
      <c r="K2450" s="0">
        <f>IF(H2449="1)",1,IF(H2449="2)",2,IF(H2449="3)",3,IF(H2449="4)",4,IF(H2449="5)",5,IF(H2449="6)",6,IF(H2449="7)",7,IF(H2449="8)",8,0))))))))</f>
        <v/>
      </c>
      <c r="L2450" s="0">
        <f>IF(H2449="1)",J2449,IF(H2449="2)",J2449,IF(H2449="3)",J2449,IF(H2449="4)",J2449,IF(H2449="5)",J2449,IF(H2449="6)",J2449,IF(H2449="7)",J2449,IF(H2449="8)",J2449,0))))))))</f>
        <v/>
      </c>
    </row>
    <row r="2451">
      <c r="A2451" s="0" t="inlineStr">
        <is>
          <t>Line</t>
        </is>
      </c>
      <c r="B2451" s="0" t="inlineStr">
        <is>
          <t>Prize</t>
        </is>
      </c>
      <c r="C2451" s="0" t="inlineStr">
        <is>
          <t>Acquired</t>
        </is>
      </c>
      <c r="D2451" s="0" t="inlineStr">
        <is>
          <t>:</t>
        </is>
      </c>
      <c r="E2451" s="0" t="inlineStr">
        <is>
          <t>1.14M</t>
        </is>
      </c>
      <c r="F2451" s="0" t="inlineStr">
        <is>
          <t>(Stage</t>
        </is>
      </c>
      <c r="G2451" s="0" t="inlineStr">
        <is>
          <t>:</t>
        </is>
      </c>
      <c r="H2451" s="0" t="inlineStr">
        <is>
          <t>7)</t>
        </is>
      </c>
      <c r="I2451" s="0" t="inlineStr">
        <is>
          <t>-</t>
        </is>
      </c>
      <c r="J2451" s="0" t="n">
        <v>1140000</v>
      </c>
      <c r="K2451" s="0">
        <f>IF(H2450="1)",1,IF(H2450="2)",2,IF(H2450="3)",3,IF(H2450="4)",4,IF(H2450="5)",5,IF(H2450="6)",6,IF(H2450="7)",7,IF(H2450="8)",8,0))))))))</f>
        <v/>
      </c>
      <c r="L2451" s="0">
        <f>IF(H2450="1)",J2450,IF(H2450="2)",J2450,IF(H2450="3)",J2450,IF(H2450="4)",J2450,IF(H2450="5)",J2450,IF(H2450="6)",J2450,IF(H2450="7)",J2450,IF(H2450="8)",J2450,0))))))))</f>
        <v/>
      </c>
    </row>
    <row r="2452">
      <c r="A2452" s="0" t="inlineStr">
        <is>
          <t>Clear</t>
        </is>
      </c>
      <c r="B2452" s="0" t="inlineStr">
        <is>
          <t>Gem</t>
        </is>
      </c>
      <c r="C2452" s="0" t="inlineStr">
        <is>
          <t>Acquired</t>
        </is>
      </c>
      <c r="D2452" s="0" t="inlineStr">
        <is>
          <t>:</t>
        </is>
      </c>
      <c r="E2452" s="0" t="n">
        <v>15200</v>
      </c>
      <c r="F2452" s="0" t="inlineStr">
        <is>
          <t>-&gt;</t>
        </is>
      </c>
      <c r="G2452" s="0" t="n">
        <v>15300</v>
      </c>
      <c r="H2452" s="0" t="inlineStr">
        <is>
          <t>(Stage</t>
        </is>
      </c>
      <c r="I2452" s="0" t="inlineStr">
        <is>
          <t>:</t>
        </is>
      </c>
      <c r="J2452" s="0" t="inlineStr">
        <is>
          <t>7)</t>
        </is>
      </c>
      <c r="K2452" s="0">
        <f>IF(H2451="1)",1,IF(H2451="2)",2,IF(H2451="3)",3,IF(H2451="4)",4,IF(H2451="5)",5,IF(H2451="6)",6,IF(H2451="7)",7,IF(H2451="8)",8,0))))))))</f>
        <v/>
      </c>
      <c r="L2452" s="0">
        <f>IF(H2451="1)",J2451,IF(H2451="2)",J2451,IF(H2451="3)",J2451,IF(H2451="4)",J2451,IF(H2451="5)",J2451,IF(H2451="6)",J2451,IF(H2451="7)",J2451,IF(H2451="8)",J2451,0))))))))</f>
        <v/>
      </c>
    </row>
    <row r="2453">
      <c r="A2453" s="0" t="inlineStr">
        <is>
          <t>New</t>
        </is>
      </c>
      <c r="B2453" s="0" t="inlineStr">
        <is>
          <t>Item</t>
        </is>
      </c>
      <c r="C2453" s="0" t="inlineStr">
        <is>
          <t>Acquired</t>
        </is>
      </c>
      <c r="D2453" s="0" t="inlineStr">
        <is>
          <t>:</t>
        </is>
      </c>
      <c r="E2453" s="0" t="inlineStr">
        <is>
          <t>175.00K</t>
        </is>
      </c>
      <c r="F2453" s="0" t="inlineStr">
        <is>
          <t>(6,</t>
        </is>
      </c>
      <c r="G2453" s="0" t="inlineStr">
        <is>
          <t>12)</t>
        </is>
      </c>
      <c r="K2453" s="0">
        <f>IF(H2452="1)",1,IF(H2452="2)",2,IF(H2452="3)",3,IF(H2452="4)",4,IF(H2452="5)",5,IF(H2452="6)",6,IF(H2452="7)",7,IF(H2452="8)",8,0))))))))</f>
        <v/>
      </c>
      <c r="L2453" s="0">
        <f>IF(H2452="1)",J2452,IF(H2452="2)",J2452,IF(H2452="3)",J2452,IF(H2452="4)",J2452,IF(H2452="5)",J2452,IF(H2452="6)",J2452,IF(H2452="7)",J2452,IF(H2452="8)",J2452,0))))))))</f>
        <v/>
      </c>
    </row>
    <row r="2454">
      <c r="A2454" s="0" t="inlineStr">
        <is>
          <t>New</t>
        </is>
      </c>
      <c r="B2454" s="0" t="inlineStr">
        <is>
          <t>Item</t>
        </is>
      </c>
      <c r="C2454" s="0" t="inlineStr">
        <is>
          <t>Acquired</t>
        </is>
      </c>
      <c r="D2454" s="0" t="inlineStr">
        <is>
          <t>:</t>
        </is>
      </c>
      <c r="E2454" s="0" t="inlineStr">
        <is>
          <t>75.00K</t>
        </is>
      </c>
      <c r="F2454" s="0" t="inlineStr">
        <is>
          <t>(6,</t>
        </is>
      </c>
      <c r="G2454" s="0" t="inlineStr">
        <is>
          <t>9)</t>
        </is>
      </c>
      <c r="K2454" s="0">
        <f>IF(H2453="1)",1,IF(H2453="2)",2,IF(H2453="3)",3,IF(H2453="4)",4,IF(H2453="5)",5,IF(H2453="6)",6,IF(H2453="7)",7,IF(H2453="8)",8,0))))))))</f>
        <v/>
      </c>
      <c r="L2454" s="0">
        <f>IF(H2453="1)",J2453,IF(H2453="2)",J2453,IF(H2453="3)",J2453,IF(H2453="4)",J2453,IF(H2453="5)",J2453,IF(H2453="6)",J2453,IF(H2453="7)",J2453,IF(H2453="8)",J2453,0))))))))</f>
        <v/>
      </c>
    </row>
    <row r="2455">
      <c r="A2455" s="0" t="inlineStr">
        <is>
          <t>New</t>
        </is>
      </c>
      <c r="B2455" s="0" t="inlineStr">
        <is>
          <t>Item</t>
        </is>
      </c>
      <c r="C2455" s="0" t="inlineStr">
        <is>
          <t>Acquired</t>
        </is>
      </c>
      <c r="D2455" s="0" t="inlineStr">
        <is>
          <t>:</t>
        </is>
      </c>
      <c r="E2455" s="0" t="inlineStr">
        <is>
          <t>105.00K</t>
        </is>
      </c>
      <c r="F2455" s="0" t="inlineStr">
        <is>
          <t>(3,</t>
        </is>
      </c>
      <c r="G2455" s="0" t="inlineStr">
        <is>
          <t>17)</t>
        </is>
      </c>
      <c r="K2455" s="0">
        <f>IF(H2454="1)",1,IF(H2454="2)",2,IF(H2454="3)",3,IF(H2454="4)",4,IF(H2454="5)",5,IF(H2454="6)",6,IF(H2454="7)",7,IF(H2454="8)",8,0))))))))</f>
        <v/>
      </c>
      <c r="L2455" s="0">
        <f>IF(H2454="1)",J2454,IF(H2454="2)",J2454,IF(H2454="3)",J2454,IF(H2454="4)",J2454,IF(H2454="5)",J2454,IF(H2454="6)",J2454,IF(H2454="7)",J2454,IF(H2454="8)",J2454,0))))))))</f>
        <v/>
      </c>
    </row>
    <row r="2456">
      <c r="A2456" s="0" t="inlineStr">
        <is>
          <t>New</t>
        </is>
      </c>
      <c r="B2456" s="0" t="inlineStr">
        <is>
          <t>Item</t>
        </is>
      </c>
      <c r="C2456" s="0" t="inlineStr">
        <is>
          <t>Acquired</t>
        </is>
      </c>
      <c r="D2456" s="0" t="inlineStr">
        <is>
          <t>:</t>
        </is>
      </c>
      <c r="E2456" s="0" t="inlineStr">
        <is>
          <t>75.00K</t>
        </is>
      </c>
      <c r="F2456" s="0" t="inlineStr">
        <is>
          <t>(6,</t>
        </is>
      </c>
      <c r="G2456" s="0" t="inlineStr">
        <is>
          <t>15)</t>
        </is>
      </c>
      <c r="K2456" s="0">
        <f>IF(H2455="1)",1,IF(H2455="2)",2,IF(H2455="3)",3,IF(H2455="4)",4,IF(H2455="5)",5,IF(H2455="6)",6,IF(H2455="7)",7,IF(H2455="8)",8,0))))))))</f>
        <v/>
      </c>
      <c r="L2456" s="0">
        <f>IF(H2455="1)",J2455,IF(H2455="2)",J2455,IF(H2455="3)",J2455,IF(H2455="4)",J2455,IF(H2455="5)",J2455,IF(H2455="6)",J2455,IF(H2455="7)",J2455,IF(H2455="8)",J2455,0))))))))</f>
        <v/>
      </c>
    </row>
    <row r="2457">
      <c r="A2457" s="0" t="inlineStr">
        <is>
          <t>New</t>
        </is>
      </c>
      <c r="B2457" s="0" t="inlineStr">
        <is>
          <t>Item</t>
        </is>
      </c>
      <c r="C2457" s="0" t="inlineStr">
        <is>
          <t>Acquired</t>
        </is>
      </c>
      <c r="D2457" s="0" t="inlineStr">
        <is>
          <t>:</t>
        </is>
      </c>
      <c r="E2457" s="0" t="inlineStr">
        <is>
          <t>70.00K</t>
        </is>
      </c>
      <c r="F2457" s="0" t="inlineStr">
        <is>
          <t>(1,</t>
        </is>
      </c>
      <c r="G2457" s="0" t="inlineStr">
        <is>
          <t>8)</t>
        </is>
      </c>
      <c r="K2457" s="0">
        <f>IF(H2456="1)",1,IF(H2456="2)",2,IF(H2456="3)",3,IF(H2456="4)",4,IF(H2456="5)",5,IF(H2456="6)",6,IF(H2456="7)",7,IF(H2456="8)",8,0))))))))</f>
        <v/>
      </c>
      <c r="L2457" s="0">
        <f>IF(H2456="1)",J2456,IF(H2456="2)",J2456,IF(H2456="3)",J2456,IF(H2456="4)",J2456,IF(H2456="5)",J2456,IF(H2456="6)",J2456,IF(H2456="7)",J2456,IF(H2456="8)",J2456,0))))))))</f>
        <v/>
      </c>
    </row>
    <row r="2458">
      <c r="A2458" s="0" t="inlineStr">
        <is>
          <t>New</t>
        </is>
      </c>
      <c r="B2458" s="0" t="inlineStr">
        <is>
          <t>Item</t>
        </is>
      </c>
      <c r="C2458" s="0" t="inlineStr">
        <is>
          <t>Acquired</t>
        </is>
      </c>
      <c r="D2458" s="0" t="inlineStr">
        <is>
          <t>:</t>
        </is>
      </c>
      <c r="E2458" s="0" t="inlineStr">
        <is>
          <t>90.00K</t>
        </is>
      </c>
      <c r="F2458" s="0" t="inlineStr">
        <is>
          <t>(7,</t>
        </is>
      </c>
      <c r="G2458" s="0" t="inlineStr">
        <is>
          <t>24)</t>
        </is>
      </c>
      <c r="K2458" s="0">
        <f>IF(H2457="1)",1,IF(H2457="2)",2,IF(H2457="3)",3,IF(H2457="4)",4,IF(H2457="5)",5,IF(H2457="6)",6,IF(H2457="7)",7,IF(H2457="8)",8,0))))))))</f>
        <v/>
      </c>
      <c r="L2458" s="0">
        <f>IF(H2457="1)",J2457,IF(H2457="2)",J2457,IF(H2457="3)",J2457,IF(H2457="4)",J2457,IF(H2457="5)",J2457,IF(H2457="6)",J2457,IF(H2457="7)",J2457,IF(H2457="8)",J2457,0))))))))</f>
        <v/>
      </c>
    </row>
    <row r="2459">
      <c r="A2459" s="0" t="inlineStr">
        <is>
          <t>New</t>
        </is>
      </c>
      <c r="B2459" s="0" t="inlineStr">
        <is>
          <t>Item</t>
        </is>
      </c>
      <c r="C2459" s="0" t="inlineStr">
        <is>
          <t>Acquired</t>
        </is>
      </c>
      <c r="D2459" s="0" t="inlineStr">
        <is>
          <t>:</t>
        </is>
      </c>
      <c r="E2459" s="0" t="inlineStr">
        <is>
          <t>90.00K</t>
        </is>
      </c>
      <c r="F2459" s="0" t="inlineStr">
        <is>
          <t>(7,</t>
        </is>
      </c>
      <c r="G2459" s="0" t="inlineStr">
        <is>
          <t>14)</t>
        </is>
      </c>
      <c r="K2459" s="0">
        <f>IF(H2458="1)",1,IF(H2458="2)",2,IF(H2458="3)",3,IF(H2458="4)",4,IF(H2458="5)",5,IF(H2458="6)",6,IF(H2458="7)",7,IF(H2458="8)",8,0))))))))</f>
        <v/>
      </c>
      <c r="L2459" s="0">
        <f>IF(H2458="1)",J2458,IF(H2458="2)",J2458,IF(H2458="3)",J2458,IF(H2458="4)",J2458,IF(H2458="5)",J2458,IF(H2458="6)",J2458,IF(H2458="7)",J2458,IF(H2458="8)",J2458,0))))))))</f>
        <v/>
      </c>
    </row>
    <row r="2460">
      <c r="A2460" s="0" t="inlineStr">
        <is>
          <t>New</t>
        </is>
      </c>
      <c r="B2460" s="0" t="inlineStr">
        <is>
          <t>Item</t>
        </is>
      </c>
      <c r="C2460" s="0" t="inlineStr">
        <is>
          <t>Acquired</t>
        </is>
      </c>
      <c r="D2460" s="0" t="inlineStr">
        <is>
          <t>:</t>
        </is>
      </c>
      <c r="E2460" s="0" t="inlineStr">
        <is>
          <t>30.00K</t>
        </is>
      </c>
      <c r="F2460" s="0" t="inlineStr">
        <is>
          <t>(1,</t>
        </is>
      </c>
      <c r="G2460" s="0" t="inlineStr">
        <is>
          <t>18)</t>
        </is>
      </c>
      <c r="K2460" s="0">
        <f>IF(H2459="1)",1,IF(H2459="2)",2,IF(H2459="3)",3,IF(H2459="4)",4,IF(H2459="5)",5,IF(H2459="6)",6,IF(H2459="7)",7,IF(H2459="8)",8,0))))))))</f>
        <v/>
      </c>
      <c r="L2460" s="0">
        <f>IF(H2459="1)",J2459,IF(H2459="2)",J2459,IF(H2459="3)",J2459,IF(H2459="4)",J2459,IF(H2459="5)",J2459,IF(H2459="6)",J2459,IF(H2459="7)",J2459,IF(H2459="8)",J2459,0))))))))</f>
        <v/>
      </c>
    </row>
  </sheetData>
  <mergeCells count="1">
    <mergeCell ref="A1:Y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6.5"/>
  <cols>
    <col width="12.125" bestFit="1" customWidth="1" style="161" min="2" max="2"/>
    <col width="13.375" bestFit="1" customWidth="1" style="161" min="5" max="5"/>
    <col width="15.375" bestFit="1" customWidth="1" style="161" min="8" max="8"/>
    <col width="15.375" bestFit="1" customWidth="1" style="161" min="11" max="11"/>
    <col width="18" bestFit="1" customWidth="1" style="161" min="14" max="14"/>
    <col width="11.625" bestFit="1" customWidth="1" style="161" min="15" max="15"/>
    <col width="10.625" bestFit="1" customWidth="1" style="161" min="16" max="16"/>
    <col width="16.625" bestFit="1" customWidth="1" style="161" min="17" max="17"/>
    <col width="9.125" bestFit="1" customWidth="1" style="161" min="18" max="19"/>
    <col width="16.625" bestFit="1" customWidth="1" style="161" min="20" max="20"/>
    <col width="9.25" bestFit="1" customWidth="1" style="161" min="21" max="22"/>
    <col width="16.625" bestFit="1" customWidth="1" style="161" min="23" max="23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E2" s="0" t="inlineStr">
        <is>
          <t>C1</t>
        </is>
      </c>
      <c r="H2" s="0" t="inlineStr">
        <is>
          <t>C2</t>
        </is>
      </c>
      <c r="K2" s="0" t="inlineStr">
        <is>
          <t>C3</t>
        </is>
      </c>
      <c r="N2" s="0" t="inlineStr">
        <is>
          <t>C4</t>
        </is>
      </c>
      <c r="Q2" s="0" t="inlineStr">
        <is>
          <t>C5</t>
        </is>
      </c>
      <c r="T2" s="0" t="inlineStr">
        <is>
          <t>C6</t>
        </is>
      </c>
      <c r="W2" s="0" t="inlineStr">
        <is>
          <t>C7</t>
        </is>
      </c>
      <c r="Z2" s="0" t="inlineStr">
        <is>
          <t>C7</t>
        </is>
      </c>
      <c r="AC2" s="0" t="inlineStr">
        <is>
          <t>C7</t>
        </is>
      </c>
      <c r="AF2" s="0" t="inlineStr">
        <is>
          <t>C7</t>
        </is>
      </c>
    </row>
    <row r="3" ht="18.75" customFormat="1" customHeight="1" s="2">
      <c r="A3" s="0" t="inlineStr">
        <is>
          <t>Spins</t>
        </is>
      </c>
      <c r="B3" s="0" t="n">
        <v>500</v>
      </c>
      <c r="D3" s="0" t="inlineStr">
        <is>
          <t>Spins</t>
        </is>
      </c>
      <c r="E3" s="0" t="n">
        <v>1000</v>
      </c>
      <c r="G3" s="0" t="inlineStr">
        <is>
          <t>Spins</t>
        </is>
      </c>
      <c r="H3" s="0" t="n">
        <v>2000</v>
      </c>
      <c r="J3" s="0" t="inlineStr">
        <is>
          <t>Spins</t>
        </is>
      </c>
      <c r="K3" s="0" t="n">
        <v>3000</v>
      </c>
      <c r="M3" s="0" t="inlineStr">
        <is>
          <t>Spins</t>
        </is>
      </c>
      <c r="N3" s="0" t="n">
        <v>4000</v>
      </c>
      <c r="P3" s="0" t="inlineStr">
        <is>
          <t>Spins</t>
        </is>
      </c>
      <c r="Q3" s="0" t="n">
        <v>5000</v>
      </c>
      <c r="S3" s="0" t="inlineStr">
        <is>
          <t>Spins</t>
        </is>
      </c>
      <c r="T3" s="0" t="n">
        <v>6000</v>
      </c>
      <c r="V3" s="0" t="inlineStr">
        <is>
          <t>Spins</t>
        </is>
      </c>
      <c r="W3" s="0" t="n">
        <v>7000</v>
      </c>
      <c r="Y3" s="0" t="inlineStr">
        <is>
          <t>Spins</t>
        </is>
      </c>
      <c r="Z3" s="0" t="n">
        <v>8000</v>
      </c>
      <c r="AB3" s="0" t="inlineStr">
        <is>
          <t>Spins</t>
        </is>
      </c>
      <c r="AC3" s="0" t="n">
        <v>9000</v>
      </c>
      <c r="AE3" s="0" t="inlineStr">
        <is>
          <t>Spins</t>
        </is>
      </c>
      <c r="AF3" s="0" t="n">
        <v>10000</v>
      </c>
    </row>
    <row r="4">
      <c r="A4" s="2" t="inlineStr">
        <is>
          <t>Total Won</t>
        </is>
      </c>
      <c r="B4" s="9" t="n">
        <v>96540000</v>
      </c>
      <c r="D4" s="2" t="inlineStr">
        <is>
          <t>Total Won</t>
        </is>
      </c>
      <c r="E4" s="9" t="n">
        <v>802060000</v>
      </c>
      <c r="G4" s="2" t="inlineStr">
        <is>
          <t>Total Won</t>
        </is>
      </c>
      <c r="H4" s="7" t="n">
        <v>3070812500</v>
      </c>
      <c r="J4" s="2" t="inlineStr">
        <is>
          <t>Total Won</t>
        </is>
      </c>
      <c r="K4" s="7" t="n">
        <v>6552160000</v>
      </c>
      <c r="M4" s="2" t="inlineStr">
        <is>
          <t>Total Won</t>
        </is>
      </c>
      <c r="N4" s="7" t="n">
        <v>9095692500</v>
      </c>
      <c r="P4" s="2" t="inlineStr">
        <is>
          <t>Total Won</t>
        </is>
      </c>
      <c r="Q4" s="7" t="n">
        <v>12286855000</v>
      </c>
      <c r="S4" s="2" t="inlineStr">
        <is>
          <t>Total Won</t>
        </is>
      </c>
      <c r="T4" s="7" t="n">
        <v>16420022500</v>
      </c>
      <c r="V4" s="2" t="inlineStr">
        <is>
          <t>Total Won</t>
        </is>
      </c>
      <c r="W4" s="7" t="n">
        <v>18478392500</v>
      </c>
      <c r="Y4" s="2" t="inlineStr">
        <is>
          <t>Total Won</t>
        </is>
      </c>
      <c r="Z4" s="7" t="n">
        <v>22338342500</v>
      </c>
      <c r="AB4" s="2" t="inlineStr">
        <is>
          <t>Total Won</t>
        </is>
      </c>
      <c r="AC4" s="7" t="n">
        <v>25198262500</v>
      </c>
      <c r="AE4" s="2" t="inlineStr">
        <is>
          <t>Total Won</t>
        </is>
      </c>
      <c r="AF4" s="7" t="n">
        <v>28066822500</v>
      </c>
    </row>
    <row r="5">
      <c r="A5" s="0" t="inlineStr">
        <is>
          <t>Players</t>
        </is>
      </c>
      <c r="B5" s="0" t="n">
        <v>1000</v>
      </c>
      <c r="D5" s="0" t="inlineStr">
        <is>
          <t>Players</t>
        </is>
      </c>
      <c r="E5" s="0" t="n">
        <v>1000</v>
      </c>
      <c r="G5" s="0" t="inlineStr">
        <is>
          <t>Players</t>
        </is>
      </c>
      <c r="H5" s="0" t="n">
        <v>1000</v>
      </c>
      <c r="J5" s="0" t="inlineStr">
        <is>
          <t>Players</t>
        </is>
      </c>
      <c r="K5" s="0" t="n">
        <v>1000</v>
      </c>
      <c r="M5" s="0" t="inlineStr">
        <is>
          <t>Players</t>
        </is>
      </c>
      <c r="N5" s="0" t="n">
        <v>1000</v>
      </c>
      <c r="P5" s="0" t="inlineStr">
        <is>
          <t>Players</t>
        </is>
      </c>
      <c r="Q5" s="0" t="n">
        <v>1000</v>
      </c>
      <c r="S5" s="0" t="inlineStr">
        <is>
          <t>Players</t>
        </is>
      </c>
      <c r="T5" s="0" t="n">
        <v>1000</v>
      </c>
      <c r="V5" s="0" t="inlineStr">
        <is>
          <t>Players</t>
        </is>
      </c>
      <c r="W5" s="0" t="n">
        <v>1000</v>
      </c>
      <c r="Y5" s="0" t="inlineStr">
        <is>
          <t>Players</t>
        </is>
      </c>
      <c r="Z5" s="0" t="n">
        <v>1000</v>
      </c>
      <c r="AB5" s="0" t="inlineStr">
        <is>
          <t>Players</t>
        </is>
      </c>
      <c r="AC5" s="0" t="n">
        <v>1000</v>
      </c>
      <c r="AE5" s="0" t="inlineStr">
        <is>
          <t>Players</t>
        </is>
      </c>
      <c r="AF5" s="0" t="n">
        <v>1000</v>
      </c>
    </row>
    <row r="6">
      <c r="A6" s="0" t="inlineStr">
        <is>
          <t>Days</t>
        </is>
      </c>
      <c r="B6" s="0">
        <f>B2/300</f>
        <v/>
      </c>
      <c r="D6" s="0" t="inlineStr">
        <is>
          <t>Days</t>
        </is>
      </c>
      <c r="E6" s="0">
        <f>E2/160</f>
        <v/>
      </c>
      <c r="G6" s="0" t="inlineStr">
        <is>
          <t>Days</t>
        </is>
      </c>
      <c r="H6" s="0">
        <f>H2/160</f>
        <v/>
      </c>
      <c r="J6" s="0" t="inlineStr">
        <is>
          <t>Days</t>
        </is>
      </c>
      <c r="K6" s="0">
        <f>K2/157</f>
        <v/>
      </c>
      <c r="M6" s="0" t="inlineStr">
        <is>
          <t>Days</t>
        </is>
      </c>
      <c r="N6" s="0">
        <f>N2/264</f>
        <v/>
      </c>
      <c r="P6" s="0" t="inlineStr">
        <is>
          <t>Days</t>
        </is>
      </c>
      <c r="Q6" s="0">
        <f>Q2/490</f>
        <v/>
      </c>
      <c r="S6" s="0" t="inlineStr">
        <is>
          <t>Days</t>
        </is>
      </c>
      <c r="T6" s="0">
        <f>T2/826</f>
        <v/>
      </c>
      <c r="V6" s="0" t="inlineStr">
        <is>
          <t>Days</t>
        </is>
      </c>
      <c r="W6" s="0">
        <f>W2/877</f>
        <v/>
      </c>
      <c r="Y6" s="0" t="inlineStr">
        <is>
          <t>Days</t>
        </is>
      </c>
      <c r="Z6" s="0">
        <f>Z2/877</f>
        <v/>
      </c>
      <c r="AB6" s="0" t="inlineStr">
        <is>
          <t>Days</t>
        </is>
      </c>
      <c r="AC6" s="0">
        <f>AC2/877</f>
        <v/>
      </c>
      <c r="AE6" s="0" t="inlineStr">
        <is>
          <t>Days</t>
        </is>
      </c>
      <c r="AF6" s="0">
        <f>AF2/877</f>
        <v/>
      </c>
    </row>
    <row r="7">
      <c r="B7" s="2">
        <f>B3/B5</f>
        <v/>
      </c>
      <c r="E7" s="2">
        <f>E3/E5</f>
        <v/>
      </c>
      <c r="H7" s="2">
        <f>H3/H5</f>
        <v/>
      </c>
      <c r="K7" s="2">
        <f>K3/K5</f>
        <v/>
      </c>
      <c r="N7" s="2">
        <f>N3/N5</f>
        <v/>
      </c>
      <c r="Q7" s="2">
        <f>Q3/Q5</f>
        <v/>
      </c>
      <c r="T7" s="2">
        <f>T3/T5</f>
        <v/>
      </c>
      <c r="W7" s="2">
        <f>W3/W5</f>
        <v/>
      </c>
      <c r="Z7" s="2">
        <f>Z3/Z5</f>
        <v/>
      </c>
      <c r="AC7" s="2">
        <f>AC3/AC5</f>
        <v/>
      </c>
      <c r="AF7" s="2">
        <f>AF3/AF5</f>
        <v/>
      </c>
    </row>
    <row r="8">
      <c r="A8" s="0" t="inlineStr">
        <is>
          <t>Daily Gain</t>
        </is>
      </c>
      <c r="B8" s="2">
        <f>B6/B4</f>
        <v/>
      </c>
      <c r="D8" s="0" t="inlineStr">
        <is>
          <t>Daily Gain</t>
        </is>
      </c>
      <c r="E8" s="2">
        <f>E6/E4</f>
        <v/>
      </c>
      <c r="G8" s="0" t="inlineStr">
        <is>
          <t>Daily Gain</t>
        </is>
      </c>
      <c r="H8" s="2">
        <f>H6/H4</f>
        <v/>
      </c>
      <c r="J8" s="0" t="inlineStr">
        <is>
          <t>Daily Gain</t>
        </is>
      </c>
      <c r="K8" s="2">
        <f>K6/K4</f>
        <v/>
      </c>
      <c r="M8" s="0" t="inlineStr">
        <is>
          <t>Daily Gain</t>
        </is>
      </c>
      <c r="N8" s="2">
        <f>N6/N4</f>
        <v/>
      </c>
      <c r="P8" s="0" t="inlineStr">
        <is>
          <t>Daily Gain</t>
        </is>
      </c>
      <c r="Q8" s="2">
        <f>Q6/Q4</f>
        <v/>
      </c>
      <c r="S8" s="0" t="inlineStr">
        <is>
          <t>Daily Gain</t>
        </is>
      </c>
      <c r="T8" s="2">
        <f>T6/T4</f>
        <v/>
      </c>
      <c r="V8" s="0" t="inlineStr">
        <is>
          <t>Daily Gain</t>
        </is>
      </c>
      <c r="W8" s="2">
        <f>W6/W4</f>
        <v/>
      </c>
      <c r="Y8" s="0" t="inlineStr">
        <is>
          <t>Daily Gain</t>
        </is>
      </c>
      <c r="Z8" s="2">
        <f>Z6/Z4</f>
        <v/>
      </c>
      <c r="AB8" s="0" t="inlineStr">
        <is>
          <t>Daily Gain</t>
        </is>
      </c>
      <c r="AC8" s="2">
        <f>AC6/AC4</f>
        <v/>
      </c>
      <c r="AE8" s="0" t="inlineStr">
        <is>
          <t>Daily Gain</t>
        </is>
      </c>
      <c r="AF8" s="2">
        <f>AF6/AF4</f>
        <v/>
      </c>
    </row>
    <row r="9">
      <c r="A9" s="0" t="inlineStr">
        <is>
          <t>Per Spin</t>
        </is>
      </c>
      <c r="B9" s="2">
        <f>B3/(B2*B4)</f>
        <v/>
      </c>
      <c r="D9" s="0" t="inlineStr">
        <is>
          <t>Per Spin</t>
        </is>
      </c>
      <c r="E9" s="2">
        <f>E3/(E2*E4)</f>
        <v/>
      </c>
      <c r="G9" s="0" t="inlineStr">
        <is>
          <t>Per Spin</t>
        </is>
      </c>
      <c r="H9" s="2">
        <f>H3/(H2*H4)</f>
        <v/>
      </c>
      <c r="J9" s="0" t="inlineStr">
        <is>
          <t>Per Spin</t>
        </is>
      </c>
      <c r="K9" s="2">
        <f>K3/(K2*K4)</f>
        <v/>
      </c>
      <c r="M9" s="0" t="inlineStr">
        <is>
          <t>Per Spin</t>
        </is>
      </c>
      <c r="N9" s="2">
        <f>N3/(N2*N4)</f>
        <v/>
      </c>
      <c r="P9" s="0" t="inlineStr">
        <is>
          <t>Per Spin</t>
        </is>
      </c>
      <c r="Q9" s="2">
        <f>Q3/(Q2*Q4)</f>
        <v/>
      </c>
      <c r="S9" s="0" t="inlineStr">
        <is>
          <t>Per Spin</t>
        </is>
      </c>
      <c r="T9" s="2">
        <f>T3/(T2*T4)</f>
        <v/>
      </c>
      <c r="V9" s="0" t="inlineStr">
        <is>
          <t>Per Spin</t>
        </is>
      </c>
      <c r="W9" s="2">
        <f>W3/(W2*W4)</f>
        <v/>
      </c>
      <c r="Y9" s="0" t="inlineStr">
        <is>
          <t>Per Spin</t>
        </is>
      </c>
      <c r="Z9" s="2">
        <f>Z3/(Z2*Z4)</f>
        <v/>
      </c>
      <c r="AB9" s="0" t="inlineStr">
        <is>
          <t>Per Spin</t>
        </is>
      </c>
      <c r="AC9" s="2">
        <f>AC3/(AC2*AC4)</f>
        <v/>
      </c>
      <c r="AE9" s="0" t="inlineStr">
        <is>
          <t>Per Spin</t>
        </is>
      </c>
      <c r="AF9" s="2">
        <f>AF3/(AF2*AF4)</f>
        <v/>
      </c>
    </row>
    <row r="10">
      <c r="B10" s="2">
        <f>B3/B4</f>
        <v/>
      </c>
      <c r="E10" s="2">
        <f>E3/E4</f>
        <v/>
      </c>
      <c r="H10" s="2">
        <f>H3/H4</f>
        <v/>
      </c>
      <c r="K10" s="2">
        <f>K3/K4</f>
        <v/>
      </c>
      <c r="N10" s="2">
        <f>N3/N4</f>
        <v/>
      </c>
      <c r="Q10" s="2">
        <f>Q3/Q4</f>
        <v/>
      </c>
      <c r="T10" s="2">
        <f>T3/T4</f>
        <v/>
      </c>
      <c r="W10" s="2">
        <f>W3/W4</f>
        <v/>
      </c>
      <c r="Z10" s="2">
        <f>Z3/Z4</f>
        <v/>
      </c>
      <c r="AC10" s="2">
        <f>AC3/AC4</f>
        <v/>
      </c>
      <c r="AF10" s="2">
        <f>AF3/AF4</f>
        <v/>
      </c>
    </row>
    <row r="11" ht="18.75" customHeight="1" s="161">
      <c r="E11" s="8">
        <f>'Control Panel'!C8</f>
        <v/>
      </c>
      <c r="H11" s="8">
        <f>'Control Panel'!D8</f>
        <v/>
      </c>
      <c r="K11" s="8">
        <f>'Control Panel'!E8</f>
        <v/>
      </c>
      <c r="N11" s="8">
        <f>'Control Panel'!F8</f>
        <v/>
      </c>
      <c r="Q11" s="8">
        <f>'Control Panel'!G8</f>
        <v/>
      </c>
      <c r="T11" s="8">
        <f>'Control Panel'!H8</f>
        <v/>
      </c>
      <c r="W11" s="8">
        <f>'Control Panel'!I8</f>
        <v/>
      </c>
      <c r="Z11" s="8">
        <f>'Control Panel'!M8</f>
        <v/>
      </c>
      <c r="AC11" s="8">
        <f>'Control Panel'!P8</f>
        <v/>
      </c>
      <c r="AF11" s="8">
        <f>'Control Panel'!S8</f>
        <v/>
      </c>
    </row>
    <row r="12">
      <c r="D12" s="0" t="inlineStr">
        <is>
          <t>Spin Multiplier Diff</t>
        </is>
      </c>
      <c r="E12" s="2" t="n"/>
      <c r="H12" s="0">
        <f>H2/E2</f>
        <v/>
      </c>
      <c r="K12" s="0">
        <f>K2/E2</f>
        <v/>
      </c>
      <c r="N12" s="2">
        <f>N2/E2</f>
        <v/>
      </c>
      <c r="Q12" s="7">
        <f>Q2/E2</f>
        <v/>
      </c>
      <c r="T12" s="0">
        <f>T2/E2</f>
        <v/>
      </c>
      <c r="W12" s="0">
        <f>W2/E2</f>
        <v/>
      </c>
      <c r="Z12" s="0">
        <f>Z2/H2</f>
        <v/>
      </c>
      <c r="AC12" s="0">
        <f>AC2/K2</f>
        <v/>
      </c>
      <c r="AF12" s="0">
        <f>AF2/N2</f>
        <v/>
      </c>
    </row>
    <row r="13">
      <c r="D13" s="0" t="inlineStr">
        <is>
          <t>Money Diff</t>
        </is>
      </c>
      <c r="H13" s="0">
        <f>H7/E7</f>
        <v/>
      </c>
      <c r="K13" s="0">
        <f>K7/E7</f>
        <v/>
      </c>
      <c r="N13" s="0">
        <f>N7/E7</f>
        <v/>
      </c>
      <c r="Q13" s="0">
        <f>Q7/E7</f>
        <v/>
      </c>
      <c r="T13" s="0">
        <f>T7/E7</f>
        <v/>
      </c>
      <c r="W13" s="0">
        <f>W7/E7</f>
        <v/>
      </c>
      <c r="Z13" s="0">
        <f>Z7/H7</f>
        <v/>
      </c>
      <c r="AC13" s="0">
        <f>AC7/K7</f>
        <v/>
      </c>
      <c r="AF13" s="0">
        <f>AF7/N7</f>
        <v/>
      </c>
    </row>
    <row r="14">
      <c r="D14" s="0" t="inlineStr">
        <is>
          <t>Weight</t>
        </is>
      </c>
      <c r="H14" s="25">
        <f>H12/H11</f>
        <v/>
      </c>
      <c r="I14" s="25" t="n"/>
      <c r="J14" s="25" t="n"/>
      <c r="K14" s="25">
        <f>K12/K11</f>
        <v/>
      </c>
      <c r="L14" s="25" t="n"/>
      <c r="M14" s="25" t="n"/>
      <c r="N14" s="25">
        <f>N12/N11</f>
        <v/>
      </c>
      <c r="O14" s="25" t="n"/>
      <c r="P14" s="25" t="n"/>
      <c r="Q14" s="25">
        <f>Q12/Q11</f>
        <v/>
      </c>
      <c r="R14" s="25" t="n"/>
      <c r="S14" s="25" t="n"/>
      <c r="T14" s="25">
        <f>T12/T11</f>
        <v/>
      </c>
      <c r="U14" s="25" t="n"/>
      <c r="V14" s="25" t="n"/>
      <c r="W14" s="25">
        <f>W12/W11</f>
        <v/>
      </c>
      <c r="Y14" s="25" t="n"/>
      <c r="Z14" s="25">
        <f>Z12/Z11</f>
        <v/>
      </c>
      <c r="AB14" s="25" t="n"/>
      <c r="AC14" s="25">
        <f>AC12/AC11</f>
        <v/>
      </c>
      <c r="AE14" s="25" t="n"/>
      <c r="AF14" s="25">
        <f>AF12/AF11</f>
        <v/>
      </c>
    </row>
    <row r="15">
      <c r="K15" s="0" t="n">
        <v>16</v>
      </c>
      <c r="N15" s="2" t="n"/>
    </row>
    <row r="16">
      <c r="H16" s="0">
        <f>H7/H2</f>
        <v/>
      </c>
      <c r="I16" s="0">
        <f>K7/K2</f>
        <v/>
      </c>
      <c r="J16" s="0" t="inlineStr">
        <is>
          <t>Average</t>
        </is>
      </c>
      <c r="K16" s="2">
        <f>E9*E10+H9*H10+K9*K10+N9*N10+Q9*Q10+T9*T10+W9*W10</f>
        <v/>
      </c>
      <c r="N16" s="2" t="n"/>
    </row>
    <row r="17">
      <c r="K17" s="2">
        <f>K15/K14</f>
        <v/>
      </c>
      <c r="N17" s="2" t="n"/>
    </row>
    <row r="23">
      <c r="H23" s="0" t="n">
        <v>60500000</v>
      </c>
      <c r="I23" s="0" t="n">
        <v>311650000</v>
      </c>
      <c r="J23" s="0" t="n">
        <v>729950000</v>
      </c>
      <c r="K23" s="0" t="n">
        <v>946900000</v>
      </c>
      <c r="L23" s="0" t="n">
        <v>667750000</v>
      </c>
      <c r="M23" s="0" t="n">
        <v>220050000</v>
      </c>
      <c r="N23" s="0" t="n">
        <v>120200000</v>
      </c>
      <c r="O23" s="0">
        <f>SUM(H22:N22)</f>
        <v/>
      </c>
      <c r="P23" s="0" t="n">
        <v>316</v>
      </c>
      <c r="Q23" s="0" t="n">
        <v>1219</v>
      </c>
      <c r="R23" s="0" t="n">
        <v>2202</v>
      </c>
      <c r="S23" s="0" t="n">
        <v>1967</v>
      </c>
      <c r="T23" s="0" t="n">
        <v>1039</v>
      </c>
      <c r="U23" s="0" t="n">
        <v>278</v>
      </c>
      <c r="V23" s="0" t="n">
        <v>122</v>
      </c>
      <c r="W23" s="0">
        <f>SUM(P22:V22)</f>
        <v/>
      </c>
      <c r="X23" s="2">
        <f>O24/W22</f>
        <v/>
      </c>
    </row>
    <row r="24">
      <c r="H24" s="0" t="n">
        <v>82970000</v>
      </c>
      <c r="I24" s="0" t="n">
        <v>390412500</v>
      </c>
      <c r="J24" s="0" t="n">
        <v>835017500</v>
      </c>
      <c r="K24" s="0" t="n">
        <v>1008195000</v>
      </c>
      <c r="L24" s="0" t="n">
        <v>654375000</v>
      </c>
      <c r="M24" s="0" t="n">
        <v>227970000</v>
      </c>
      <c r="N24" s="0" t="n">
        <v>137560000</v>
      </c>
      <c r="O24" s="0">
        <f>SUM(H23:N23)</f>
        <v/>
      </c>
      <c r="P24" s="0" t="n">
        <v>316</v>
      </c>
      <c r="Q24" s="0" t="n">
        <v>1219</v>
      </c>
      <c r="R24" s="0" t="n">
        <v>2202</v>
      </c>
      <c r="S24" s="0" t="n">
        <v>1967</v>
      </c>
      <c r="T24" s="0" t="n">
        <v>1039</v>
      </c>
      <c r="U24" s="0" t="n">
        <v>278</v>
      </c>
      <c r="V24" s="0" t="n">
        <v>122</v>
      </c>
    </row>
    <row r="25">
      <c r="H25" s="0">
        <f>SUM(H22:H23)</f>
        <v/>
      </c>
      <c r="I25" s="0">
        <f>SUM(I22:I23)</f>
        <v/>
      </c>
      <c r="J25" s="0">
        <f>SUM(J22:J23)</f>
        <v/>
      </c>
      <c r="K25" s="0">
        <f>SUM(K22:K23)</f>
        <v/>
      </c>
      <c r="L25" s="0">
        <f>SUM(L22:L23)</f>
        <v/>
      </c>
      <c r="M25" s="0">
        <f>SUM(M22:M23)</f>
        <v/>
      </c>
      <c r="N25" s="0">
        <f>SUM(N22:N23)</f>
        <v/>
      </c>
      <c r="O25" s="0">
        <f>SUM(O22:O23)</f>
        <v/>
      </c>
      <c r="P25" s="0">
        <f>P23</f>
        <v/>
      </c>
      <c r="Q25" s="0">
        <f>Q23</f>
        <v/>
      </c>
      <c r="R25" s="0">
        <f>R23</f>
        <v/>
      </c>
      <c r="S25" s="0">
        <f>S23</f>
        <v/>
      </c>
      <c r="T25" s="0">
        <f>T23</f>
        <v/>
      </c>
      <c r="U25" s="0">
        <f>U23</f>
        <v/>
      </c>
      <c r="V25" s="0">
        <f>V23</f>
        <v/>
      </c>
    </row>
    <row r="27">
      <c r="P27" s="24" t="n">
        <v>1</v>
      </c>
      <c r="Q27" s="24" t="n">
        <v>2</v>
      </c>
      <c r="R27" s="24" t="n">
        <v>3</v>
      </c>
      <c r="S27" s="24" t="n">
        <v>4</v>
      </c>
      <c r="T27" s="24" t="n">
        <v>5</v>
      </c>
      <c r="U27" s="24" t="n">
        <v>6</v>
      </c>
      <c r="V27" s="24" t="n">
        <v>7</v>
      </c>
    </row>
    <row r="28">
      <c r="P28" s="2">
        <f>H24/P24</f>
        <v/>
      </c>
      <c r="Q28" s="2">
        <f>I24/Q24</f>
        <v/>
      </c>
      <c r="R28" s="2">
        <f>J24/R24</f>
        <v/>
      </c>
      <c r="S28" s="2">
        <f>K24/S24</f>
        <v/>
      </c>
      <c r="T28" s="2">
        <f>L24/T24</f>
        <v/>
      </c>
      <c r="U28" s="2">
        <f>M24/U24</f>
        <v/>
      </c>
      <c r="V28" s="2">
        <f>N24/V24</f>
        <v/>
      </c>
      <c r="Y28" s="0" t="n">
        <v>800</v>
      </c>
      <c r="Z28" s="0" t="n">
        <v>6000</v>
      </c>
    </row>
    <row r="29">
      <c r="Y29" s="0" t="n">
        <v>16</v>
      </c>
      <c r="Z29" s="0">
        <f>Z27/Y29</f>
        <v/>
      </c>
    </row>
    <row r="30">
      <c r="Y30" s="0">
        <f>Y27/Y28</f>
        <v/>
      </c>
    </row>
  </sheetData>
  <mergeCells count="1">
    <mergeCell ref="A1:AF1"/>
  </mergeCells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6.5"/>
  <cols>
    <col width="9.125" bestFit="1" customWidth="1" style="161" min="1" max="2"/>
    <col width="9.25" bestFit="1" customWidth="1" style="161" min="3" max="3"/>
    <col width="9.125" bestFit="1" customWidth="1" style="161" min="4" max="4"/>
    <col width="15.125" bestFit="1" customWidth="1" style="161" min="5" max="5"/>
    <col width="10.25" bestFit="1" customWidth="1" style="161" min="6" max="6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3">
      <c r="A3" s="0" t="inlineStr">
        <is>
          <t>Avg Spins</t>
        </is>
      </c>
      <c r="B3" s="0" t="inlineStr">
        <is>
          <t>Players</t>
        </is>
      </c>
      <c r="C3" s="0" t="inlineStr">
        <is>
          <t>Spins</t>
        </is>
      </c>
      <c r="D3" s="0" t="inlineStr">
        <is>
          <t>Average</t>
        </is>
      </c>
      <c r="E3" s="0" t="inlineStr">
        <is>
          <t>Bet Amount</t>
        </is>
      </c>
      <c r="F3" s="2" t="inlineStr">
        <is>
          <t>Average</t>
        </is>
      </c>
      <c r="H3" s="0" t="inlineStr">
        <is>
          <t>Avg Attendance</t>
        </is>
      </c>
      <c r="I3" s="0" t="inlineStr">
        <is>
          <t>Players</t>
        </is>
      </c>
      <c r="J3" s="0" t="inlineStr">
        <is>
          <t>Attendance Days</t>
        </is>
      </c>
      <c r="K3" s="0" t="n">
        <v>15</v>
      </c>
      <c r="L3" s="0" t="inlineStr">
        <is>
          <t>Attendance Rate</t>
        </is>
      </c>
    </row>
    <row r="4">
      <c r="A4" s="2" t="n">
        <v>1</v>
      </c>
      <c r="B4" s="2" t="n">
        <v>158</v>
      </c>
      <c r="C4" s="2" t="n">
        <v>30039</v>
      </c>
      <c r="D4" s="2" t="n">
        <v>191.3312101910828</v>
      </c>
      <c r="E4" s="2" t="n">
        <v>2692936900</v>
      </c>
      <c r="F4" s="2" t="n">
        <v>89648.02090615533</v>
      </c>
      <c r="H4" s="0" t="n">
        <v>1</v>
      </c>
      <c r="I4" s="0" t="n">
        <v>1334</v>
      </c>
      <c r="J4" s="0" t="n">
        <v>5225</v>
      </c>
      <c r="K4" s="0" t="n">
        <v>3.916791604197901</v>
      </c>
      <c r="L4" s="0" t="n">
        <v>0.2611194402798601</v>
      </c>
    </row>
    <row r="5">
      <c r="A5" s="2" t="n">
        <v>2</v>
      </c>
      <c r="B5" s="2" t="n">
        <v>583</v>
      </c>
      <c r="C5" s="2" t="n">
        <v>93189</v>
      </c>
      <c r="D5" s="2" t="n">
        <v>160.1185567010309</v>
      </c>
      <c r="E5" s="2" t="n">
        <v>27209098800</v>
      </c>
      <c r="F5" s="2" t="n">
        <v>291977.5810449731</v>
      </c>
      <c r="H5" s="0" t="n">
        <v>2</v>
      </c>
      <c r="I5" s="0" t="n">
        <v>3128</v>
      </c>
      <c r="J5" s="0" t="n">
        <v>19037</v>
      </c>
      <c r="K5" s="0" t="n">
        <v>6.085997442455243</v>
      </c>
      <c r="L5" s="0" t="n">
        <v>0.4057331628303495</v>
      </c>
    </row>
    <row r="6">
      <c r="A6" s="2" t="n">
        <v>3</v>
      </c>
      <c r="B6" s="2" t="n">
        <v>1165</v>
      </c>
      <c r="C6" s="2" t="n">
        <v>183183</v>
      </c>
      <c r="D6" s="2" t="n">
        <v>157.2386266094421</v>
      </c>
      <c r="E6" s="2" t="n">
        <v>85629113200</v>
      </c>
      <c r="F6" s="2" t="n">
        <v>467451.2001659542</v>
      </c>
      <c r="H6" s="0" t="n">
        <v>3</v>
      </c>
      <c r="I6" s="0" t="n">
        <v>4107</v>
      </c>
      <c r="J6" s="0" t="n">
        <v>33629</v>
      </c>
      <c r="K6" s="0" t="n">
        <v>8.188215242269296</v>
      </c>
      <c r="L6" s="0" t="n">
        <v>0.5458810161512864</v>
      </c>
    </row>
    <row r="7">
      <c r="A7" s="2" t="n">
        <v>4</v>
      </c>
      <c r="B7" s="2" t="n">
        <v>1275</v>
      </c>
      <c r="C7" s="2" t="n">
        <v>336289</v>
      </c>
      <c r="D7" s="2" t="n">
        <v>263.7560784313725</v>
      </c>
      <c r="E7" s="2" t="n">
        <v>155430589300</v>
      </c>
      <c r="F7" s="2" t="n">
        <v>462193.4981518872</v>
      </c>
      <c r="H7" s="0" t="n">
        <v>4</v>
      </c>
      <c r="I7" s="0" t="n">
        <v>2901</v>
      </c>
      <c r="J7" s="0" t="n">
        <v>29047</v>
      </c>
      <c r="K7" s="0" t="n">
        <v>10.01275422268183</v>
      </c>
      <c r="L7" s="0" t="n">
        <v>0.6675169481787889</v>
      </c>
    </row>
    <row r="8">
      <c r="A8" s="2" t="n">
        <v>5</v>
      </c>
      <c r="B8" s="2" t="n">
        <v>812</v>
      </c>
      <c r="C8" s="2" t="n">
        <v>397944</v>
      </c>
      <c r="D8" s="2" t="n">
        <v>490.0788177339901</v>
      </c>
      <c r="E8" s="2" t="n">
        <v>294885841000</v>
      </c>
      <c r="F8" s="2" t="n">
        <v>741023.4631003357</v>
      </c>
      <c r="H8" s="0" t="n">
        <v>5</v>
      </c>
      <c r="I8" s="0" t="n">
        <v>1330</v>
      </c>
      <c r="J8" s="0" t="n">
        <v>15379</v>
      </c>
      <c r="K8" s="0" t="n">
        <v>11.56315789473684</v>
      </c>
      <c r="L8" s="0" t="n">
        <v>0.770877192982456</v>
      </c>
    </row>
    <row r="9">
      <c r="A9" s="2" t="n">
        <v>6</v>
      </c>
      <c r="B9" s="2" t="n">
        <v>230</v>
      </c>
      <c r="C9" s="2" t="n">
        <v>190010</v>
      </c>
      <c r="D9" s="2" t="n">
        <v>826.1304347826087</v>
      </c>
      <c r="E9" s="2" t="n">
        <v>323141828100</v>
      </c>
      <c r="F9" s="2" t="n">
        <v>1700656.955423399</v>
      </c>
      <c r="H9" s="0" t="n">
        <v>6</v>
      </c>
      <c r="I9" s="0" t="n">
        <v>339</v>
      </c>
      <c r="J9" s="0" t="n">
        <v>4166</v>
      </c>
      <c r="K9" s="0" t="n">
        <v>12.28908554572271</v>
      </c>
      <c r="L9" s="0" t="n">
        <v>0.8192723697148475</v>
      </c>
    </row>
    <row r="10">
      <c r="A10" s="2" t="n">
        <v>7</v>
      </c>
      <c r="B10" s="2" t="n">
        <v>96</v>
      </c>
      <c r="C10" s="2" t="n">
        <v>84174</v>
      </c>
      <c r="D10" s="2" t="n">
        <v>876.8125</v>
      </c>
      <c r="E10" s="2" t="n">
        <v>628711370500</v>
      </c>
      <c r="F10" s="2" t="n">
        <v>7469187.284672227</v>
      </c>
      <c r="H10" s="0" t="n">
        <v>7</v>
      </c>
      <c r="I10" s="0" t="n">
        <v>170</v>
      </c>
      <c r="J10" s="0" t="n">
        <v>1802</v>
      </c>
      <c r="K10" s="0" t="n">
        <v>10.6</v>
      </c>
      <c r="L10" s="0" t="n">
        <v>0.7066666666666667</v>
      </c>
    </row>
    <row r="11">
      <c r="A11" s="2" t="n"/>
      <c r="B11" s="2" t="n">
        <v>4319</v>
      </c>
      <c r="C11" s="2" t="n">
        <v>1314828</v>
      </c>
      <c r="D11" s="2" t="n">
        <v>304.5698401667825</v>
      </c>
      <c r="E11" s="2" t="n"/>
      <c r="F11" s="2" t="n">
        <v>11222138.00346493</v>
      </c>
      <c r="I11" s="0" t="n">
        <v>13309</v>
      </c>
      <c r="L11" s="0">
        <f>SUM(L3:L9)</f>
        <v/>
      </c>
    </row>
    <row r="13">
      <c r="D13" s="2" t="n"/>
    </row>
  </sheetData>
  <mergeCells count="1">
    <mergeCell ref="A1:L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P183"/>
  <sheetViews>
    <sheetView workbookViewId="0">
      <selection activeCell="A1" sqref="A1"/>
    </sheetView>
  </sheetViews>
  <sheetFormatPr baseColWidth="8" defaultRowHeight="16.5"/>
  <cols>
    <col width="11.375" bestFit="1" customWidth="1" style="161" min="2" max="2"/>
    <col width="11.375" customWidth="1" style="161" min="3" max="3"/>
    <col width="13.25" bestFit="1" customWidth="1" style="161" min="4" max="4"/>
    <col width="14.5" bestFit="1" customWidth="1" style="161" min="5" max="5"/>
    <col width="13.25" bestFit="1" customWidth="1" style="161" min="6" max="6"/>
    <col width="17.875" bestFit="1" customWidth="1" style="161" min="7" max="7"/>
    <col width="10.375" bestFit="1" customWidth="1" style="161" min="8" max="9"/>
    <col width="14.5" bestFit="1" customWidth="1" style="161" min="10" max="10"/>
    <col width="4" customWidth="1" style="161" min="11" max="11"/>
    <col width="14.5" customWidth="1" style="161" min="12" max="12"/>
    <col width="4.125" customWidth="1" style="161" min="14" max="14"/>
    <col width="5.125" bestFit="1" customWidth="1" style="161" min="15" max="15"/>
    <col width="4.5" bestFit="1" customWidth="1" style="161" min="16" max="18"/>
    <col width="3.5" customWidth="1" style="161" min="19" max="19"/>
    <col width="3.75" customWidth="1" style="161" min="20" max="20"/>
    <col width="4" bestFit="1" customWidth="1" style="161" min="21" max="21"/>
    <col width="3.5" bestFit="1" customWidth="1" style="161" min="22" max="24"/>
    <col width="3.5" customWidth="1" style="161" min="25" max="25"/>
    <col width="3.875" customWidth="1" style="161" min="26" max="26"/>
    <col width="4" bestFit="1" customWidth="1" style="161" min="27" max="27"/>
    <col width="3.5" bestFit="1" customWidth="1" style="161" min="28" max="30"/>
    <col width="3.5" customWidth="1" style="161" min="31" max="31"/>
    <col width="3.75" customWidth="1" style="161" min="32" max="32"/>
    <col width="4" bestFit="1" customWidth="1" style="161" min="33" max="33"/>
    <col width="3.5" bestFit="1" customWidth="1" style="161" min="34" max="36"/>
    <col width="45.625" bestFit="1" customWidth="1" style="161" min="39" max="39"/>
  </cols>
  <sheetData>
    <row r="1" ht="20" customHeight="1" s="161">
      <c r="A1" s="206" t="inlineStr">
        <is>
          <t>CONFIDENTIAL — Shared for portfolio review purposes only. All game content is the property of its respective studio.</t>
        </is>
      </c>
    </row>
    <row r="2">
      <c r="D2" s="0" t="inlineStr">
        <is>
          <t>C1</t>
        </is>
      </c>
      <c r="E2" s="0" t="inlineStr">
        <is>
          <t>C2</t>
        </is>
      </c>
      <c r="F2" s="0" t="inlineStr">
        <is>
          <t>C3</t>
        </is>
      </c>
      <c r="G2" s="0" t="inlineStr">
        <is>
          <t>C4</t>
        </is>
      </c>
      <c r="H2" s="0" t="inlineStr">
        <is>
          <t>C5</t>
        </is>
      </c>
      <c r="I2" s="0" t="inlineStr">
        <is>
          <t>C6</t>
        </is>
      </c>
      <c r="J2" s="0" t="inlineStr">
        <is>
          <t>C7</t>
        </is>
      </c>
      <c r="L2" s="31" t="inlineStr">
        <is>
          <t>Weight</t>
        </is>
      </c>
      <c r="N2" s="31" t="inlineStr">
        <is>
          <t>Level1</t>
        </is>
      </c>
      <c r="O2" s="31" t="n"/>
      <c r="P2" s="31" t="n"/>
      <c r="Q2" s="31" t="n"/>
      <c r="R2" s="31" t="n"/>
      <c r="T2" s="31" t="inlineStr">
        <is>
          <t>Level2</t>
        </is>
      </c>
      <c r="U2" s="31" t="n"/>
      <c r="V2" s="31" t="n"/>
      <c r="W2" s="31" t="n"/>
      <c r="X2" s="31" t="n"/>
      <c r="Z2" s="31" t="inlineStr">
        <is>
          <t>Level3</t>
        </is>
      </c>
      <c r="AA2" s="31" t="n"/>
      <c r="AB2" s="31" t="n"/>
      <c r="AC2" s="31" t="n"/>
      <c r="AD2" s="31" t="n"/>
      <c r="AF2" s="28" t="inlineStr">
        <is>
          <t>Level4</t>
        </is>
      </c>
      <c r="AG2" s="29" t="n"/>
      <c r="AH2" s="29" t="n"/>
      <c r="AI2" s="29" t="n"/>
      <c r="AJ2" s="30" t="n"/>
      <c r="AM2" s="0" t="inlineStr">
        <is>
          <t>New Item Acquired: 180.00K (6, 20)</t>
        </is>
      </c>
      <c r="AO2" s="0" t="inlineStr">
        <is>
          <t>Bingo Win</t>
        </is>
      </c>
      <c r="AP2" s="0">
        <f>COUNTIF($AM$1:$AM$182,"*")</f>
        <v/>
      </c>
    </row>
    <row r="3" ht="18.75" customHeight="1" s="161">
      <c r="A3" s="0" t="inlineStr">
        <is>
          <t>Spins</t>
        </is>
      </c>
      <c r="B3" s="0" t="n">
        <v>3000</v>
      </c>
      <c r="C3" s="0" t="n">
        <v>1500</v>
      </c>
      <c r="D3" s="0" t="n">
        <v>799</v>
      </c>
      <c r="E3" s="0" t="n">
        <v>1039</v>
      </c>
      <c r="F3" s="0" t="n">
        <v>1373</v>
      </c>
      <c r="G3" s="0" t="n">
        <v>2816</v>
      </c>
      <c r="H3" s="0" t="n">
        <v>6044</v>
      </c>
      <c r="I3" s="0" t="n">
        <v>10829</v>
      </c>
      <c r="J3" s="0" t="n">
        <v>9913</v>
      </c>
      <c r="L3" s="32" t="n">
        <v>8</v>
      </c>
      <c r="N3" s="22" t="n">
        <v>92</v>
      </c>
      <c r="O3" s="23" t="n">
        <v>92</v>
      </c>
      <c r="P3" s="11" t="n">
        <v>92</v>
      </c>
      <c r="Q3" s="11" t="n">
        <v>92</v>
      </c>
      <c r="R3" s="12" t="n">
        <v>92</v>
      </c>
      <c r="T3" s="22" t="n">
        <v>81</v>
      </c>
      <c r="U3" s="23" t="n">
        <v>81</v>
      </c>
      <c r="V3" s="13" t="n">
        <v>81</v>
      </c>
      <c r="W3" s="13" t="n">
        <v>81</v>
      </c>
      <c r="X3" s="12" t="n">
        <v>81</v>
      </c>
      <c r="Z3" s="22" t="n">
        <v>69</v>
      </c>
      <c r="AA3" s="23" t="n">
        <v>69</v>
      </c>
      <c r="AB3" s="13" t="n">
        <v>69</v>
      </c>
      <c r="AC3" s="13" t="n">
        <v>69</v>
      </c>
      <c r="AD3" s="12" t="n">
        <v>69</v>
      </c>
      <c r="AF3" s="22" t="n">
        <v>57</v>
      </c>
      <c r="AG3" s="23" t="n">
        <v>57</v>
      </c>
      <c r="AH3" s="13" t="n">
        <v>57</v>
      </c>
      <c r="AI3" s="13" t="n">
        <v>57</v>
      </c>
      <c r="AJ3" s="12" t="n">
        <v>57</v>
      </c>
      <c r="AM3" s="0" t="inlineStr">
        <is>
          <t>New Item Acquired: 60.00K (2, 6)</t>
        </is>
      </c>
      <c r="AO3" s="0" t="inlineStr">
        <is>
          <t>Made</t>
        </is>
      </c>
      <c r="AP3" s="0">
        <f>COUNTIF($AM$1:$AM$182,"Line*")</f>
        <v/>
      </c>
    </row>
    <row r="4">
      <c r="A4" s="0" t="inlineStr">
        <is>
          <t>Total Won</t>
        </is>
      </c>
      <c r="B4" s="7" t="n">
        <v>13173660000</v>
      </c>
      <c r="C4" s="7" t="n">
        <v>3399260000</v>
      </c>
      <c r="D4" s="7" t="n">
        <v>434130000</v>
      </c>
      <c r="E4" s="7" t="n">
        <v>1120180000</v>
      </c>
      <c r="F4" s="7" t="n">
        <v>2718910000</v>
      </c>
      <c r="G4" s="7" t="n">
        <v>11886420000</v>
      </c>
      <c r="H4" s="7" t="n">
        <v>34235720000</v>
      </c>
      <c r="I4" s="7" t="n">
        <v>69272320000</v>
      </c>
      <c r="J4" s="7" t="n">
        <v>61825920000</v>
      </c>
      <c r="K4" s="7" t="n"/>
      <c r="L4" s="32" t="n">
        <v>7</v>
      </c>
      <c r="N4" s="11" t="n">
        <v>92</v>
      </c>
      <c r="O4" s="12" t="n">
        <v>92</v>
      </c>
      <c r="P4" s="11" t="n">
        <v>92</v>
      </c>
      <c r="Q4" s="12" t="n">
        <v>92</v>
      </c>
      <c r="R4" s="11" t="n">
        <v>92</v>
      </c>
      <c r="T4" s="13" t="n">
        <v>81</v>
      </c>
      <c r="U4" s="12" t="n">
        <v>81</v>
      </c>
      <c r="V4" s="13" t="n">
        <v>81</v>
      </c>
      <c r="W4" s="12" t="n">
        <v>81</v>
      </c>
      <c r="X4" s="13" t="n">
        <v>81</v>
      </c>
      <c r="Z4" s="13" t="n">
        <v>69</v>
      </c>
      <c r="AA4" s="12" t="n">
        <v>69</v>
      </c>
      <c r="AB4" s="13" t="n">
        <v>69</v>
      </c>
      <c r="AC4" s="12" t="n">
        <v>69</v>
      </c>
      <c r="AD4" s="13" t="n">
        <v>69</v>
      </c>
      <c r="AF4" s="13" t="n">
        <v>57</v>
      </c>
      <c r="AG4" s="12" t="n">
        <v>57</v>
      </c>
      <c r="AH4" s="13" t="n">
        <v>57</v>
      </c>
      <c r="AI4" s="12" t="n">
        <v>57</v>
      </c>
      <c r="AJ4" s="13" t="n">
        <v>57</v>
      </c>
      <c r="AM4" s="0" t="inlineStr">
        <is>
          <t>New Item Acquired: 30.00K (1, 20)</t>
        </is>
      </c>
      <c r="AP4" s="0">
        <f>AP1/AP2</f>
        <v/>
      </c>
    </row>
    <row r="5">
      <c r="A5" s="0" t="inlineStr">
        <is>
          <t>Players</t>
        </is>
      </c>
      <c r="B5" s="0" t="n">
        <v>1000</v>
      </c>
      <c r="C5" s="0" t="n">
        <v>1000</v>
      </c>
      <c r="D5" s="0" t="n">
        <v>1000</v>
      </c>
      <c r="E5" s="0" t="n">
        <v>1000</v>
      </c>
      <c r="F5" s="0" t="n">
        <v>1000</v>
      </c>
      <c r="G5" s="0" t="n">
        <v>1000</v>
      </c>
      <c r="H5" s="0" t="n">
        <v>1000</v>
      </c>
      <c r="I5" s="0" t="n">
        <v>1000</v>
      </c>
      <c r="J5" s="0" t="n">
        <v>1000</v>
      </c>
      <c r="L5" s="32" t="n">
        <v>6</v>
      </c>
      <c r="N5" s="11" t="n">
        <v>92</v>
      </c>
      <c r="O5" s="11" t="n">
        <v>92</v>
      </c>
      <c r="P5" s="10" t="n"/>
      <c r="Q5" s="11" t="n">
        <v>92</v>
      </c>
      <c r="R5" s="11" t="n">
        <v>92</v>
      </c>
      <c r="T5" s="13" t="n">
        <v>81</v>
      </c>
      <c r="U5" s="13" t="n">
        <v>81</v>
      </c>
      <c r="V5" s="14" t="n"/>
      <c r="W5" s="13" t="n">
        <v>81</v>
      </c>
      <c r="X5" s="13" t="n">
        <v>81</v>
      </c>
      <c r="Z5" s="13" t="n">
        <v>69</v>
      </c>
      <c r="AA5" s="13" t="n">
        <v>69</v>
      </c>
      <c r="AB5" s="14" t="n"/>
      <c r="AC5" s="13" t="n">
        <v>69</v>
      </c>
      <c r="AD5" s="13" t="n">
        <v>69</v>
      </c>
      <c r="AF5" s="13" t="n">
        <v>57</v>
      </c>
      <c r="AG5" s="13" t="n">
        <v>57</v>
      </c>
      <c r="AH5" s="14" t="n"/>
      <c r="AI5" s="13" t="n">
        <v>57</v>
      </c>
      <c r="AJ5" s="13" t="n">
        <v>57</v>
      </c>
      <c r="AM5" s="0" t="inlineStr">
        <is>
          <t>New Item Acquired: 100.00K (1, 4)</t>
        </is>
      </c>
    </row>
    <row r="6">
      <c r="A6" s="0" t="inlineStr">
        <is>
          <t>Days</t>
        </is>
      </c>
      <c r="B6" s="0">
        <f>B2/300</f>
        <v/>
      </c>
      <c r="C6" s="0">
        <f>C2/300</f>
        <v/>
      </c>
      <c r="D6" s="0">
        <f>D2/160</f>
        <v/>
      </c>
      <c r="E6" s="0">
        <f>E2/160</f>
        <v/>
      </c>
      <c r="F6" s="0">
        <f>F2/157</f>
        <v/>
      </c>
      <c r="G6" s="0">
        <f>G2/264</f>
        <v/>
      </c>
      <c r="H6" s="0">
        <f>H2/490</f>
        <v/>
      </c>
      <c r="I6" s="0">
        <f>I2/826</f>
        <v/>
      </c>
      <c r="J6" s="0">
        <f>J2/877</f>
        <v/>
      </c>
      <c r="L6" s="32" t="n">
        <v>5</v>
      </c>
      <c r="N6" s="11" t="n">
        <v>92</v>
      </c>
      <c r="O6" s="12" t="n">
        <v>92</v>
      </c>
      <c r="P6" s="11" t="n">
        <v>92</v>
      </c>
      <c r="Q6" s="12" t="n">
        <v>92</v>
      </c>
      <c r="R6" s="11" t="n">
        <v>92</v>
      </c>
      <c r="T6" s="13" t="n">
        <v>81</v>
      </c>
      <c r="U6" s="12" t="n">
        <v>81</v>
      </c>
      <c r="V6" s="13" t="n">
        <v>81</v>
      </c>
      <c r="W6" s="12" t="n">
        <v>81</v>
      </c>
      <c r="X6" s="13" t="n">
        <v>81</v>
      </c>
      <c r="Z6" s="13" t="n">
        <v>69</v>
      </c>
      <c r="AA6" s="12" t="n">
        <v>69</v>
      </c>
      <c r="AB6" s="13" t="n">
        <v>69</v>
      </c>
      <c r="AC6" s="12" t="n">
        <v>69</v>
      </c>
      <c r="AD6" s="13" t="n">
        <v>69</v>
      </c>
      <c r="AF6" s="13" t="n">
        <v>57</v>
      </c>
      <c r="AG6" s="12" t="n">
        <v>57</v>
      </c>
      <c r="AH6" s="13" t="n">
        <v>57</v>
      </c>
      <c r="AI6" s="12" t="n">
        <v>57</v>
      </c>
      <c r="AJ6" s="13" t="n">
        <v>57</v>
      </c>
      <c r="AM6" s="0" t="inlineStr">
        <is>
          <t>New Item Acquired: 250.00K (5, 16)</t>
        </is>
      </c>
    </row>
    <row r="7">
      <c r="B7" s="2">
        <f>B3/B5</f>
        <v/>
      </c>
      <c r="C7" s="2">
        <f>C3/C5</f>
        <v/>
      </c>
      <c r="D7" s="2">
        <f>D3/D5</f>
        <v/>
      </c>
      <c r="E7" s="2">
        <f>E3/E5</f>
        <v/>
      </c>
      <c r="F7" s="2">
        <f>F3/F5</f>
        <v/>
      </c>
      <c r="G7" s="2">
        <f>G3/G5</f>
        <v/>
      </c>
      <c r="H7" s="2">
        <f>H3/H5</f>
        <v/>
      </c>
      <c r="I7" s="2">
        <f>I3/I5</f>
        <v/>
      </c>
      <c r="J7" s="2">
        <f>J3/J5</f>
        <v/>
      </c>
      <c r="K7" s="2" t="n"/>
      <c r="L7" s="32" t="n">
        <v>4</v>
      </c>
      <c r="N7" s="12" t="n">
        <v>92</v>
      </c>
      <c r="O7" s="11" t="n">
        <v>92</v>
      </c>
      <c r="P7" s="11" t="n">
        <v>92</v>
      </c>
      <c r="Q7" s="11" t="n">
        <v>92</v>
      </c>
      <c r="R7" s="12" t="n">
        <v>92</v>
      </c>
      <c r="T7" s="12" t="n">
        <v>81</v>
      </c>
      <c r="U7" s="13" t="n">
        <v>81</v>
      </c>
      <c r="V7" s="13" t="n">
        <v>81</v>
      </c>
      <c r="W7" s="13" t="n">
        <v>81</v>
      </c>
      <c r="X7" s="12" t="n">
        <v>81</v>
      </c>
      <c r="Z7" s="12" t="n">
        <v>69</v>
      </c>
      <c r="AA7" s="13" t="n">
        <v>69</v>
      </c>
      <c r="AB7" s="13" t="n">
        <v>69</v>
      </c>
      <c r="AC7" s="13" t="n">
        <v>69</v>
      </c>
      <c r="AD7" s="12" t="n">
        <v>69</v>
      </c>
      <c r="AF7" s="12" t="n">
        <v>57</v>
      </c>
      <c r="AG7" s="13" t="n">
        <v>57</v>
      </c>
      <c r="AH7" s="13" t="n">
        <v>57</v>
      </c>
      <c r="AI7" s="13" t="n">
        <v>57</v>
      </c>
      <c r="AJ7" s="12" t="n">
        <v>57</v>
      </c>
      <c r="AM7" s="0" t="inlineStr">
        <is>
          <t>New Item Acquired: 100.00K (1, 12)</t>
        </is>
      </c>
    </row>
    <row r="8">
      <c r="A8" s="0" t="inlineStr">
        <is>
          <t>Daily Gain</t>
        </is>
      </c>
      <c r="B8" s="33">
        <f>B6/B4</f>
        <v/>
      </c>
      <c r="C8" s="33">
        <f>C6/C4</f>
        <v/>
      </c>
      <c r="D8" s="33">
        <f>D6/D4</f>
        <v/>
      </c>
      <c r="E8" s="33">
        <f>E6/E4</f>
        <v/>
      </c>
      <c r="F8" s="33">
        <f>F6/F4</f>
        <v/>
      </c>
      <c r="G8" s="33">
        <f>G6/G4</f>
        <v/>
      </c>
      <c r="H8" s="33">
        <f>H6/H4</f>
        <v/>
      </c>
      <c r="I8" s="33">
        <f>I6/I4</f>
        <v/>
      </c>
      <c r="J8" s="33">
        <f>J6/J4</f>
        <v/>
      </c>
      <c r="K8" s="2" t="n"/>
      <c r="L8" s="32" t="n">
        <v>3</v>
      </c>
      <c r="Q8" s="204" t="n">
        <v>1104</v>
      </c>
      <c r="R8" s="204" t="n"/>
      <c r="W8" s="205" t="n">
        <v>816</v>
      </c>
      <c r="X8" s="205" t="n"/>
      <c r="AC8" s="205" t="n">
        <v>552</v>
      </c>
      <c r="AD8" s="205" t="n"/>
      <c r="AI8" s="205" t="n">
        <v>264</v>
      </c>
      <c r="AJ8" s="205" t="n"/>
      <c r="AM8" s="0" t="inlineStr">
        <is>
          <t>New Item Acquired: Grand (4, 1)</t>
        </is>
      </c>
    </row>
    <row r="9">
      <c r="A9" s="0" t="inlineStr">
        <is>
          <t>Per Spin</t>
        </is>
      </c>
      <c r="B9" s="2">
        <f>B3/(B2*B4)</f>
        <v/>
      </c>
      <c r="C9" s="2">
        <f>C3/(C2*C4)</f>
        <v/>
      </c>
      <c r="D9" s="2">
        <f>D3/(D2*D4)</f>
        <v/>
      </c>
      <c r="E9" s="2">
        <f>E3/(E2*E4)</f>
        <v/>
      </c>
      <c r="F9" s="2">
        <f>F3/(F2*F4)</f>
        <v/>
      </c>
      <c r="G9" s="2">
        <f>G3/(G2*G4)</f>
        <v/>
      </c>
      <c r="H9" s="2">
        <f>H3/(H2*H4)</f>
        <v/>
      </c>
      <c r="I9" s="2">
        <f>I3/(I2*I4)</f>
        <v/>
      </c>
      <c r="J9" s="2">
        <f>J3/(J2*J4)</f>
        <v/>
      </c>
      <c r="K9" s="2" t="n"/>
      <c r="L9" s="32" t="n">
        <v>2</v>
      </c>
      <c r="N9" s="31" t="inlineStr">
        <is>
          <t>Level5</t>
        </is>
      </c>
      <c r="O9" s="31" t="n"/>
      <c r="P9" s="31" t="n"/>
      <c r="Q9" s="31" t="n"/>
      <c r="R9" s="31" t="n"/>
      <c r="T9" s="31" t="inlineStr">
        <is>
          <t>Level6</t>
        </is>
      </c>
      <c r="U9" s="31" t="n"/>
      <c r="V9" s="31" t="n"/>
      <c r="W9" s="31" t="n"/>
      <c r="X9" s="31" t="n"/>
      <c r="Z9" s="31" t="inlineStr">
        <is>
          <t>Level7</t>
        </is>
      </c>
      <c r="AA9" s="31" t="n"/>
      <c r="AB9" s="31" t="n"/>
      <c r="AC9" s="31" t="n"/>
      <c r="AD9" s="31" t="n"/>
      <c r="AF9" s="31" t="inlineStr">
        <is>
          <t>Level8</t>
        </is>
      </c>
      <c r="AG9" s="31" t="n"/>
      <c r="AH9" s="31" t="n"/>
      <c r="AI9" s="31" t="n"/>
      <c r="AJ9" s="31" t="n"/>
      <c r="AM9" s="0" t="inlineStr">
        <is>
          <t>New Item Acquired: 210.00K (7, 2)</t>
        </is>
      </c>
    </row>
    <row r="10">
      <c r="B10" s="2">
        <f>B3/B4</f>
        <v/>
      </c>
      <c r="C10" s="2">
        <f>C3/C4</f>
        <v/>
      </c>
      <c r="D10" s="2">
        <f>D3/D4</f>
        <v/>
      </c>
      <c r="E10" s="2">
        <f>E3/E4</f>
        <v/>
      </c>
      <c r="F10" s="2">
        <f>F3/F4</f>
        <v/>
      </c>
      <c r="G10" s="2">
        <f>G3/G4</f>
        <v/>
      </c>
      <c r="H10" s="2">
        <f>H3/H4</f>
        <v/>
      </c>
      <c r="I10" s="2">
        <f>I3/I4</f>
        <v/>
      </c>
      <c r="J10" s="2">
        <f>J3/J4</f>
        <v/>
      </c>
      <c r="K10" s="2" t="n"/>
      <c r="L10" s="32" t="n">
        <v>1</v>
      </c>
      <c r="N10" s="22" t="n">
        <v>46</v>
      </c>
      <c r="O10" s="23" t="n">
        <v>46</v>
      </c>
      <c r="P10" s="13" t="n">
        <v>46</v>
      </c>
      <c r="Q10" s="13" t="n">
        <v>46</v>
      </c>
      <c r="R10" s="12" t="n">
        <v>46</v>
      </c>
      <c r="T10" s="22" t="n">
        <v>34</v>
      </c>
      <c r="U10" s="23" t="n">
        <v>34</v>
      </c>
      <c r="V10" s="13" t="n">
        <v>34</v>
      </c>
      <c r="W10" s="13" t="n">
        <v>34</v>
      </c>
      <c r="X10" s="12" t="n">
        <v>34</v>
      </c>
      <c r="Z10" s="22" t="n">
        <v>23</v>
      </c>
      <c r="AA10" s="13" t="n">
        <v>23</v>
      </c>
      <c r="AB10" s="13" t="n">
        <v>23</v>
      </c>
      <c r="AC10" s="13" t="n">
        <v>23</v>
      </c>
      <c r="AD10" s="12" t="n">
        <v>23</v>
      </c>
      <c r="AF10" s="22" t="n">
        <v>11</v>
      </c>
      <c r="AG10" s="13" t="n">
        <v>11</v>
      </c>
      <c r="AH10" s="13" t="n">
        <v>11</v>
      </c>
      <c r="AI10" s="13" t="n">
        <v>11</v>
      </c>
      <c r="AJ10" s="12" t="n">
        <v>11</v>
      </c>
      <c r="AM10" s="0" t="inlineStr">
        <is>
          <t>New Item Acquired: 60.00K (2, 20)</t>
        </is>
      </c>
    </row>
    <row r="11" ht="18.75" customHeight="1" s="161">
      <c r="D11" s="8">
        <f>'Control Panel'!C8</f>
        <v/>
      </c>
      <c r="E11" s="8">
        <f>'Control Panel'!D8</f>
        <v/>
      </c>
      <c r="F11" s="8">
        <f>'Control Panel'!E8</f>
        <v/>
      </c>
      <c r="G11" s="8">
        <f>'Control Panel'!F8</f>
        <v/>
      </c>
      <c r="H11" s="8">
        <f>'Control Panel'!G8</f>
        <v/>
      </c>
      <c r="I11" s="8">
        <f>'Control Panel'!H8</f>
        <v/>
      </c>
      <c r="J11" s="8">
        <f>'Control Panel'!I8</f>
        <v/>
      </c>
      <c r="K11" s="8" t="n"/>
      <c r="L11" s="25">
        <f>SUM(L2:L9)</f>
        <v/>
      </c>
      <c r="N11" s="13" t="n">
        <v>46</v>
      </c>
      <c r="O11" s="12" t="n">
        <v>46</v>
      </c>
      <c r="P11" s="13" t="n">
        <v>46</v>
      </c>
      <c r="Q11" s="12" t="n">
        <v>46</v>
      </c>
      <c r="R11" s="13" t="n">
        <v>46</v>
      </c>
      <c r="T11" s="13" t="n">
        <v>34</v>
      </c>
      <c r="U11" s="12" t="n">
        <v>34</v>
      </c>
      <c r="V11" s="13" t="n">
        <v>34</v>
      </c>
      <c r="W11" s="12" t="n">
        <v>34</v>
      </c>
      <c r="X11" s="13" t="n">
        <v>34</v>
      </c>
      <c r="Z11" s="13" t="n">
        <v>23</v>
      </c>
      <c r="AA11" s="12" t="n">
        <v>23</v>
      </c>
      <c r="AB11" s="13" t="n">
        <v>23</v>
      </c>
      <c r="AC11" s="12" t="n">
        <v>23</v>
      </c>
      <c r="AD11" s="13" t="n">
        <v>23</v>
      </c>
      <c r="AF11" s="13" t="n">
        <v>11</v>
      </c>
      <c r="AG11" s="12" t="n">
        <v>11</v>
      </c>
      <c r="AH11" s="13" t="n">
        <v>11</v>
      </c>
      <c r="AI11" s="12" t="n">
        <v>11</v>
      </c>
      <c r="AJ11" s="13" t="n">
        <v>11</v>
      </c>
      <c r="AM11" s="0" t="inlineStr">
        <is>
          <t>New Item Acquired: 210.00K (7, 3)</t>
        </is>
      </c>
    </row>
    <row r="12">
      <c r="D12" s="2" t="n"/>
      <c r="E12" s="0">
        <f>E2/D2</f>
        <v/>
      </c>
      <c r="F12" s="0">
        <f>F2/D2</f>
        <v/>
      </c>
      <c r="G12" s="2">
        <f>G2/D2</f>
        <v/>
      </c>
      <c r="H12" s="7">
        <f>H2/D2</f>
        <v/>
      </c>
      <c r="I12" s="0">
        <f>I2/D2</f>
        <v/>
      </c>
      <c r="J12" s="0">
        <f>J2/D2</f>
        <v/>
      </c>
      <c r="N12" s="13" t="n">
        <v>46</v>
      </c>
      <c r="O12" s="13" t="n">
        <v>46</v>
      </c>
      <c r="P12" s="14" t="n"/>
      <c r="Q12" s="13" t="n">
        <v>46</v>
      </c>
      <c r="R12" s="13" t="n">
        <v>46</v>
      </c>
      <c r="T12" s="13" t="n">
        <v>34</v>
      </c>
      <c r="U12" s="13" t="n">
        <v>34</v>
      </c>
      <c r="V12" s="14" t="n"/>
      <c r="W12" s="13" t="n">
        <v>34</v>
      </c>
      <c r="X12" s="13" t="n">
        <v>34</v>
      </c>
      <c r="Z12" s="13" t="n">
        <v>23</v>
      </c>
      <c r="AA12" s="13" t="n">
        <v>23</v>
      </c>
      <c r="AB12" s="14" t="n"/>
      <c r="AC12" s="13" t="n">
        <v>23</v>
      </c>
      <c r="AD12" s="13" t="n">
        <v>23</v>
      </c>
      <c r="AF12" s="13" t="n">
        <v>11</v>
      </c>
      <c r="AG12" s="13" t="n">
        <v>11</v>
      </c>
      <c r="AH12" s="14" t="n"/>
      <c r="AI12" s="13" t="n">
        <v>11</v>
      </c>
      <c r="AJ12" s="13" t="n">
        <v>11</v>
      </c>
      <c r="AM12" s="0" t="inlineStr">
        <is>
          <t>New Item Acquired: 90.00K (3, 8)</t>
        </is>
      </c>
    </row>
    <row r="13">
      <c r="E13" s="0">
        <f>E7/D7</f>
        <v/>
      </c>
      <c r="F13" s="0">
        <f>F7/D7</f>
        <v/>
      </c>
      <c r="G13" s="0">
        <f>G7/D7</f>
        <v/>
      </c>
      <c r="H13" s="0">
        <f>H7/D7</f>
        <v/>
      </c>
      <c r="I13" s="0">
        <f>I7/D7</f>
        <v/>
      </c>
      <c r="J13" s="0">
        <f>J7/D7</f>
        <v/>
      </c>
      <c r="N13" s="13" t="n">
        <v>46</v>
      </c>
      <c r="O13" s="12" t="n">
        <v>46</v>
      </c>
      <c r="P13" s="13" t="n">
        <v>46</v>
      </c>
      <c r="Q13" s="12" t="n">
        <v>46</v>
      </c>
      <c r="R13" s="13" t="n">
        <v>46</v>
      </c>
      <c r="T13" s="13" t="n">
        <v>34</v>
      </c>
      <c r="U13" s="12" t="n">
        <v>34</v>
      </c>
      <c r="V13" s="13" t="n">
        <v>34</v>
      </c>
      <c r="W13" s="12" t="n">
        <v>34</v>
      </c>
      <c r="X13" s="13" t="n">
        <v>34</v>
      </c>
      <c r="Z13" s="13" t="n">
        <v>23</v>
      </c>
      <c r="AA13" s="12" t="n">
        <v>23</v>
      </c>
      <c r="AB13" s="13" t="n">
        <v>23</v>
      </c>
      <c r="AC13" s="12" t="n">
        <v>23</v>
      </c>
      <c r="AD13" s="13" t="n">
        <v>23</v>
      </c>
      <c r="AF13" s="13" t="n">
        <v>11</v>
      </c>
      <c r="AG13" s="12" t="n">
        <v>11</v>
      </c>
      <c r="AH13" s="13" t="n">
        <v>11</v>
      </c>
      <c r="AI13" s="12" t="n">
        <v>11</v>
      </c>
      <c r="AJ13" s="13" t="n">
        <v>11</v>
      </c>
      <c r="AM13" s="0" t="inlineStr">
        <is>
          <t>New Item Acquired: 200.00K (2, 1)</t>
        </is>
      </c>
    </row>
    <row r="14">
      <c r="E14" s="25">
        <f>E12/E11</f>
        <v/>
      </c>
      <c r="F14" s="25">
        <f>F12/F11</f>
        <v/>
      </c>
      <c r="G14" s="25">
        <f>G12/G11</f>
        <v/>
      </c>
      <c r="H14" s="25">
        <f>H12/H11</f>
        <v/>
      </c>
      <c r="I14" s="25">
        <f>I12/I11</f>
        <v/>
      </c>
      <c r="J14" s="25">
        <f>J12/J11</f>
        <v/>
      </c>
      <c r="K14" s="25" t="n"/>
      <c r="L14" s="25" t="n"/>
      <c r="N14" s="12" t="n">
        <v>46</v>
      </c>
      <c r="O14" s="13" t="n">
        <v>46</v>
      </c>
      <c r="P14" s="13" t="n">
        <v>46</v>
      </c>
      <c r="Q14" s="13" t="n">
        <v>46</v>
      </c>
      <c r="R14" s="12" t="n">
        <v>46</v>
      </c>
      <c r="T14" s="12" t="n">
        <v>34</v>
      </c>
      <c r="U14" s="13" t="n">
        <v>34</v>
      </c>
      <c r="V14" s="13" t="n">
        <v>34</v>
      </c>
      <c r="W14" s="13" t="n">
        <v>34</v>
      </c>
      <c r="X14" s="12" t="n">
        <v>34</v>
      </c>
      <c r="Z14" s="12" t="n">
        <v>23</v>
      </c>
      <c r="AA14" s="13" t="n">
        <v>23</v>
      </c>
      <c r="AB14" s="13" t="n">
        <v>23</v>
      </c>
      <c r="AC14" s="13" t="n">
        <v>23</v>
      </c>
      <c r="AD14" s="12" t="n">
        <v>23</v>
      </c>
      <c r="AF14" s="12" t="n">
        <v>11</v>
      </c>
      <c r="AG14" s="13" t="n">
        <v>11</v>
      </c>
      <c r="AH14" s="13" t="n">
        <v>11</v>
      </c>
      <c r="AI14" s="13" t="n">
        <v>11</v>
      </c>
      <c r="AJ14" s="12" t="n">
        <v>11</v>
      </c>
      <c r="AM14" s="0" t="inlineStr">
        <is>
          <t>New Item Acquired: 50.00K (1, 21)</t>
        </is>
      </c>
    </row>
    <row r="15">
      <c r="G15" s="2" t="n"/>
      <c r="AM15" s="0" t="inlineStr">
        <is>
          <t>New Item Acquired: Mini (1, 16)</t>
        </is>
      </c>
    </row>
    <row r="16">
      <c r="F16" s="0" t="n">
        <v>16</v>
      </c>
      <c r="G16" s="2" t="n"/>
      <c r="AM16" s="0" t="inlineStr">
        <is>
          <t>New Item Acquired: 300.00K (3, 1)</t>
        </is>
      </c>
    </row>
    <row r="17">
      <c r="F17" s="2">
        <f>D9*D10+E9*E10+F9*F10+G9*G10+H9*H10+I9*I10+J9*J10</f>
        <v/>
      </c>
      <c r="G17" s="2" t="n"/>
      <c r="AM17" s="0" t="inlineStr">
        <is>
          <t>New Item Acquired: 100.00K (2, 16)</t>
        </is>
      </c>
    </row>
    <row r="18">
      <c r="F18" s="2">
        <f>F16/F15</f>
        <v/>
      </c>
      <c r="AM18" s="0" t="inlineStr">
        <is>
          <t>New Item Acquired: 150.00K (3, 15)</t>
        </is>
      </c>
    </row>
    <row r="19">
      <c r="AM19" s="0" t="inlineStr">
        <is>
          <t>New Item Acquired: 500.00K (5, 17)</t>
        </is>
      </c>
    </row>
    <row r="20">
      <c r="AM20" s="0" t="inlineStr">
        <is>
          <t>New Item Acquired: Mini (7, 18)</t>
        </is>
      </c>
    </row>
    <row r="21" ht="18.75" customHeight="1" s="161">
      <c r="AM21" s="0" t="inlineStr">
        <is>
          <t>New Item Acquired: 250.00K (5, 2)</t>
        </is>
      </c>
    </row>
    <row r="22">
      <c r="D22" s="9" t="n"/>
      <c r="AM22" s="0" t="inlineStr">
        <is>
          <t>New Item Acquired: 180.00K (6, 21)</t>
        </is>
      </c>
    </row>
    <row r="23" ht="18.75" customHeight="1" s="161">
      <c r="M23" s="2" t="n"/>
      <c r="AM23" s="0" t="inlineStr">
        <is>
          <t>New Item Acquired: 200.00K (2, 24)</t>
        </is>
      </c>
    </row>
    <row r="24">
      <c r="D24" s="2" t="n"/>
      <c r="E24" s="7" t="n"/>
      <c r="AM24" s="0" t="inlineStr">
        <is>
          <t>New Item Acquired: 90.00K (3, 7)</t>
        </is>
      </c>
    </row>
    <row r="25">
      <c r="AM25" s="0" t="inlineStr">
        <is>
          <t>New Item Acquired: 100.00K (2, 22)</t>
        </is>
      </c>
    </row>
    <row r="26">
      <c r="AM26" s="0" t="inlineStr">
        <is>
          <t>New Item Acquired: 400.00K (8, 8)</t>
        </is>
      </c>
    </row>
    <row r="27">
      <c r="H27" s="24" t="n"/>
      <c r="I27" s="24" t="n"/>
      <c r="AM27" s="0" t="inlineStr">
        <is>
          <t>New Item Acquired: 200.00K (2, 21)</t>
        </is>
      </c>
    </row>
    <row r="28">
      <c r="H28" s="2" t="n"/>
      <c r="I28" s="2" t="n"/>
      <c r="AM28" s="0" t="inlineStr">
        <is>
          <t>New Item Acquired: Grand (1, 23)</t>
        </is>
      </c>
    </row>
    <row r="29">
      <c r="AM29" s="0" t="inlineStr">
        <is>
          <t>New Item Acquired: 100.00K (2, 12)</t>
        </is>
      </c>
    </row>
    <row r="30">
      <c r="AM30" s="0" t="inlineStr">
        <is>
          <t>New Item Acquired: 210.00K (7, 19)</t>
        </is>
      </c>
    </row>
    <row r="31">
      <c r="AM31" s="0" t="inlineStr">
        <is>
          <t>New Item Acquired: Minor (7, 7)</t>
        </is>
      </c>
    </row>
    <row r="32">
      <c r="AM32" s="0" t="inlineStr">
        <is>
          <t>New Item Acquired: 150.00K (5, 11)</t>
        </is>
      </c>
    </row>
    <row r="33">
      <c r="AM33" s="0" t="inlineStr">
        <is>
          <t>New Item Acquired: 150.00K (5, 25)</t>
        </is>
      </c>
    </row>
    <row r="34">
      <c r="AM34" s="0" t="inlineStr">
        <is>
          <t>New Item Acquired: 250.00K (5, 7)</t>
        </is>
      </c>
    </row>
    <row r="35">
      <c r="AM35" s="0" t="inlineStr">
        <is>
          <t>New Item Acquired: 150.00K (3, 18)</t>
        </is>
      </c>
    </row>
    <row r="36">
      <c r="AM36" s="0" t="inlineStr">
        <is>
          <t>New Item Acquired: 100.00K (2, 11)</t>
        </is>
      </c>
    </row>
    <row r="37">
      <c r="AM37" s="0" t="inlineStr">
        <is>
          <t>Line Prize Won: 660.00K (Stage : 2) - 660000</t>
        </is>
      </c>
    </row>
    <row r="38">
      <c r="AM38" s="0" t="inlineStr">
        <is>
          <t>Clear Gem Acquired : 0 -&gt; 100 (Stage : 2)</t>
        </is>
      </c>
    </row>
    <row r="39">
      <c r="AM39" s="0" t="inlineStr">
        <is>
          <t>New Item Acquired: 30.00K (1, 14)</t>
        </is>
      </c>
    </row>
    <row r="40">
      <c r="AM40" s="0" t="inlineStr">
        <is>
          <t>New Item Acquired: 250.00K (5, 18)</t>
        </is>
      </c>
    </row>
    <row r="41">
      <c r="AM41" s="0" t="inlineStr">
        <is>
          <t>New Item Acquired: 800.00K (8, 4)</t>
        </is>
      </c>
    </row>
    <row r="42">
      <c r="AM42" s="0" t="inlineStr">
        <is>
          <t>New Item Acquired: 300.00K (6, 24)</t>
        </is>
      </c>
    </row>
    <row r="43">
      <c r="AM43" s="0" t="inlineStr">
        <is>
          <t>New Item Acquired: 250.00K (5, 22)</t>
        </is>
      </c>
    </row>
    <row r="44">
      <c r="AM44" s="0" t="inlineStr">
        <is>
          <t>New Item Acquired: 180.00K (6, 11)</t>
        </is>
      </c>
    </row>
    <row r="45">
      <c r="AM45" s="0" t="inlineStr">
        <is>
          <t>New Item Acquired: 300.00K (3, 14)</t>
        </is>
      </c>
    </row>
    <row r="46">
      <c r="AM46" s="0" t="inlineStr">
        <is>
          <t>New Item Acquired: Major (3, 3)</t>
        </is>
      </c>
    </row>
    <row r="47">
      <c r="AM47" s="0" t="inlineStr">
        <is>
          <t>New Item Acquired: 240.00K (8, 17)</t>
        </is>
      </c>
    </row>
    <row r="48">
      <c r="AM48" s="0" t="inlineStr">
        <is>
          <t>New Item Acquired: 100.00K (2, 16)</t>
        </is>
      </c>
    </row>
    <row r="49">
      <c r="AM49" s="0" t="inlineStr">
        <is>
          <t>New Item Acquired: 100.00K (2, 3)</t>
        </is>
      </c>
    </row>
    <row r="50">
      <c r="AM50" s="0" t="inlineStr">
        <is>
          <t>New Item Acquired: 90.00K (3, 6)</t>
        </is>
      </c>
    </row>
    <row r="51">
      <c r="AM51" s="0" t="inlineStr">
        <is>
          <t>New Item Acquired: 350.00K (7, 8)</t>
        </is>
      </c>
    </row>
    <row r="52">
      <c r="AM52" s="0" t="inlineStr">
        <is>
          <t>New Item Acquired: 150.00K (3, 9)</t>
        </is>
      </c>
    </row>
    <row r="53">
      <c r="AM53" s="0" t="inlineStr">
        <is>
          <t>New Item Acquired: 180.00K (6, 16)</t>
        </is>
      </c>
    </row>
    <row r="54">
      <c r="AM54" s="0" t="inlineStr">
        <is>
          <t>New Item Acquired: 120.00K (4, 18)</t>
        </is>
      </c>
    </row>
    <row r="55">
      <c r="AM55" s="0" t="inlineStr">
        <is>
          <t>New Item Acquired: 60.00K (2, 10)</t>
        </is>
      </c>
    </row>
    <row r="56">
      <c r="AM56" s="0" t="inlineStr">
        <is>
          <t>New Item Acquired: 90.00K (3, 20)</t>
        </is>
      </c>
    </row>
    <row r="57">
      <c r="AM57" s="0" t="inlineStr">
        <is>
          <t>New Item Acquired: 90.00K (3, 24)</t>
        </is>
      </c>
    </row>
    <row r="58">
      <c r="AM58" s="0" t="inlineStr">
        <is>
          <t>New Item Acquired: 300.00K (4, 15)</t>
        </is>
      </c>
    </row>
    <row r="59">
      <c r="AM59" s="0" t="inlineStr">
        <is>
          <t>New Item Acquired: 150.00K (3, 5)</t>
        </is>
      </c>
    </row>
    <row r="60">
      <c r="AM60" s="0" t="inlineStr">
        <is>
          <t>New Item Acquired: Minor (1, 17)</t>
        </is>
      </c>
    </row>
    <row r="61">
      <c r="AM61" s="0" t="inlineStr">
        <is>
          <t>New Item Acquired: 600.00K (6, 10)</t>
        </is>
      </c>
    </row>
    <row r="62">
      <c r="AM62" s="0" t="inlineStr">
        <is>
          <t>New Item Acquired: 180.00K (6, 19)</t>
        </is>
      </c>
    </row>
    <row r="63">
      <c r="AM63" s="0" t="inlineStr">
        <is>
          <t>New Item Acquired: 100.00K (2, 12)</t>
        </is>
      </c>
    </row>
    <row r="64">
      <c r="AM64" s="0" t="inlineStr">
        <is>
          <t>New Item Acquired: 30.00K (1, 7)</t>
        </is>
      </c>
    </row>
    <row r="65">
      <c r="AM65" s="0" t="inlineStr">
        <is>
          <t>New Item Acquired: 200.00K (2, 23)</t>
        </is>
      </c>
    </row>
    <row r="66">
      <c r="AM66" s="0" t="inlineStr">
        <is>
          <t>New Item Acquired: 100.00K (1, 2)</t>
        </is>
      </c>
    </row>
    <row r="67">
      <c r="AM67" s="0" t="inlineStr">
        <is>
          <t>New Item Acquired: Minor (4, 19)</t>
        </is>
      </c>
    </row>
    <row r="68">
      <c r="AM68" s="0" t="inlineStr">
        <is>
          <t>New Item Acquired: 200.00K (2, 22)</t>
        </is>
      </c>
    </row>
    <row r="69">
      <c r="AM69" s="0" t="inlineStr">
        <is>
          <t>New Item Acquired: 500.00K (5, 20)</t>
        </is>
      </c>
    </row>
    <row r="70">
      <c r="AM70" s="0" t="inlineStr">
        <is>
          <t>New Item Acquired: 120.00K (4, 8)</t>
        </is>
      </c>
    </row>
    <row r="71">
      <c r="AM71" s="0" t="inlineStr">
        <is>
          <t>New Item Acquired: 150.00K (4, 23)</t>
        </is>
      </c>
    </row>
    <row r="72">
      <c r="AM72" s="0" t="inlineStr">
        <is>
          <t>New Item Acquired: 200.00K (2, 18)</t>
        </is>
      </c>
    </row>
    <row r="73">
      <c r="AM73" s="0" t="inlineStr">
        <is>
          <t>New Item Acquired: 350.00K (7, 11)</t>
        </is>
      </c>
    </row>
    <row r="74">
      <c r="AM74" s="0" t="inlineStr">
        <is>
          <t>New Item Acquired: 300.00K (6, 7)</t>
        </is>
      </c>
    </row>
    <row r="75">
      <c r="AM75" s="0" t="inlineStr">
        <is>
          <t>New Item Acquired: 180.00K (6, 25)</t>
        </is>
      </c>
    </row>
    <row r="76">
      <c r="AM76" s="0" t="inlineStr">
        <is>
          <t>New Item Acquired: Minor (3, 22)</t>
        </is>
      </c>
    </row>
    <row r="77">
      <c r="AM77" s="0" t="inlineStr">
        <is>
          <t>New Item Acquired: 150.00K (3, 10)</t>
        </is>
      </c>
    </row>
    <row r="78">
      <c r="AM78" s="0" t="inlineStr">
        <is>
          <t>Line Prize Won: 570.00K (Stage : 3) - 570000</t>
        </is>
      </c>
    </row>
    <row r="79">
      <c r="AM79" s="0" t="inlineStr">
        <is>
          <t>Clear Gem Acquired : 100 -&gt; 200 (Stage : 3)</t>
        </is>
      </c>
    </row>
    <row r="80">
      <c r="AM80" s="0" t="inlineStr">
        <is>
          <t>Item ReSelect Failed : Attempts - 3</t>
        </is>
      </c>
    </row>
    <row r="81">
      <c r="AM81" s="0" t="inlineStr">
        <is>
          <t>New Item Acquired: 50.00K (1, 24)</t>
        </is>
      </c>
    </row>
    <row r="82">
      <c r="AM82" s="0" t="inlineStr">
        <is>
          <t>New Item Acquired: 50.00K (1, 6)</t>
        </is>
      </c>
    </row>
    <row r="83">
      <c r="AM83" s="0" t="inlineStr">
        <is>
          <t>New Item Acquired: 50.00K (1, 5)</t>
        </is>
      </c>
    </row>
    <row r="84">
      <c r="AM84" s="0" t="inlineStr">
        <is>
          <t>New Item Acquired: 60.00K (2, 14)</t>
        </is>
      </c>
    </row>
    <row r="85">
      <c r="AM85" s="0" t="inlineStr">
        <is>
          <t>New Item Acquired: 300.00K (3, 12)</t>
        </is>
      </c>
    </row>
    <row r="86">
      <c r="AM86" s="0" t="inlineStr">
        <is>
          <t>New Item Acquired: 250.00K (5, 21)</t>
        </is>
      </c>
    </row>
    <row r="87">
      <c r="AM87" s="0" t="inlineStr">
        <is>
          <t>New Item Acquired: 150.00K (5, 12)</t>
        </is>
      </c>
    </row>
    <row r="88">
      <c r="AM88" s="0" t="inlineStr">
        <is>
          <t>Line Prize Won: 1.40M (Stage : 5) - 1400000</t>
        </is>
      </c>
    </row>
    <row r="89">
      <c r="AM89" s="0" t="inlineStr">
        <is>
          <t>Clear Gem Acquired : 200 -&gt; 300 (Stage : 5)</t>
        </is>
      </c>
    </row>
    <row r="90">
      <c r="AM90" s="0" t="inlineStr">
        <is>
          <t>New Item Acquired: 300.00K (4, 17)</t>
        </is>
      </c>
    </row>
    <row r="91">
      <c r="AM91" s="0" t="inlineStr">
        <is>
          <t>New Item Acquired: 250.00K (5, 9)</t>
        </is>
      </c>
    </row>
    <row r="92">
      <c r="AM92" s="0" t="inlineStr">
        <is>
          <t>New Item Acquired: 30.00K (1, 15)</t>
        </is>
      </c>
    </row>
    <row r="93">
      <c r="AM93" s="0" t="inlineStr">
        <is>
          <t>New Item Acquired: 300.00K (3, 14)</t>
        </is>
      </c>
    </row>
    <row r="94">
      <c r="AM94" s="0" t="inlineStr">
        <is>
          <t>New Item Acquired: 60.00K (2, 25)</t>
        </is>
      </c>
    </row>
    <row r="95">
      <c r="AM95" s="0" t="inlineStr">
        <is>
          <t>New Item Acquired: 150.00K (5, 2)</t>
        </is>
      </c>
    </row>
    <row r="96">
      <c r="AM96" s="0" t="inlineStr">
        <is>
          <t>New Item Acquired: 150.00K (5, 21)</t>
        </is>
      </c>
    </row>
    <row r="97">
      <c r="AM97" s="0" t="inlineStr">
        <is>
          <t>New Item Acquired: 240.00K (8, 19)</t>
        </is>
      </c>
    </row>
    <row r="98">
      <c r="AM98" s="0" t="inlineStr">
        <is>
          <t>Item ReSelect Failed : Attempts - 3</t>
        </is>
      </c>
    </row>
    <row r="99">
      <c r="AM99" s="0" t="inlineStr">
        <is>
          <t>New Item Acquired: Mini (7, 10)</t>
        </is>
      </c>
    </row>
    <row r="100">
      <c r="AM100" s="0" t="inlineStr">
        <is>
          <t>New Item Acquired: 120.00K (4, 3)</t>
        </is>
      </c>
    </row>
    <row r="101">
      <c r="AM101" s="0" t="inlineStr">
        <is>
          <t>Line Prize Won: 1.31M (Stage : 4) - 1310000</t>
        </is>
      </c>
    </row>
    <row r="102">
      <c r="AM102" s="0" t="inlineStr">
        <is>
          <t>Clear Gem Acquired : 300 -&gt; 400 (Stage : 4)</t>
        </is>
      </c>
    </row>
    <row r="103">
      <c r="AM103" s="0" t="inlineStr">
        <is>
          <t>New Item Acquired: 120.00K (4, 14)</t>
        </is>
      </c>
    </row>
    <row r="104">
      <c r="AM104" s="0" t="inlineStr">
        <is>
          <t>New Item Acquired: 60.00K (2, 5)</t>
        </is>
      </c>
    </row>
    <row r="105">
      <c r="AM105" s="0" t="inlineStr">
        <is>
          <t>New Item Acquired: 300.00K (4, 22)</t>
        </is>
      </c>
    </row>
    <row r="106">
      <c r="AM106" s="0" t="inlineStr">
        <is>
          <t>New Item Acquired: 30.00K (1, 9)</t>
        </is>
      </c>
    </row>
    <row r="107">
      <c r="AM107" s="0" t="inlineStr">
        <is>
          <t>Line Prize Won: 630.00K (Stage : 1) - 630000</t>
        </is>
      </c>
    </row>
    <row r="108">
      <c r="AM108" s="0" t="inlineStr">
        <is>
          <t>Clear Gem Acquired : 400 -&gt; 500 (Stage : 1)</t>
        </is>
      </c>
    </row>
    <row r="109">
      <c r="AM109" s="0" t="inlineStr">
        <is>
          <t>New Item Acquired: 150.00K (3, 20)</t>
        </is>
      </c>
    </row>
    <row r="110">
      <c r="AM110" s="0" t="inlineStr">
        <is>
          <t>New Item Acquired: Minor (3, 7)</t>
        </is>
      </c>
    </row>
    <row r="111">
      <c r="AM111" s="0" t="inlineStr">
        <is>
          <t>New Item Acquired: 700.00K (7, 9)</t>
        </is>
      </c>
    </row>
    <row r="112">
      <c r="AM112" s="0" t="inlineStr">
        <is>
          <t>New Item Acquired: 120.00K (4, 23)</t>
        </is>
      </c>
    </row>
    <row r="113">
      <c r="AM113" s="0" t="inlineStr">
        <is>
          <t>New Item Acquired: 150.00K (5, 20)</t>
        </is>
      </c>
    </row>
    <row r="114">
      <c r="AM114" s="0" t="inlineStr">
        <is>
          <t>New Item Acquired: 100.00K (1, 16)</t>
        </is>
      </c>
    </row>
    <row r="115">
      <c r="AM115" s="0" t="inlineStr">
        <is>
          <t>New Item Acquired: 60.00K (2, 17)</t>
        </is>
      </c>
    </row>
    <row r="116">
      <c r="AM116" s="0" t="inlineStr">
        <is>
          <t>New Item Acquired: 350.00K (7, 22)</t>
        </is>
      </c>
    </row>
    <row r="117">
      <c r="AM117" s="0" t="inlineStr">
        <is>
          <t>New Item Acquired: 300.00K (6, 3)</t>
        </is>
      </c>
    </row>
    <row r="118">
      <c r="AM118" s="0" t="inlineStr">
        <is>
          <t>New Item Acquired: 100.00K (1, 18)</t>
        </is>
      </c>
    </row>
    <row r="119">
      <c r="AM119" s="0" t="inlineStr">
        <is>
          <t>New Item Acquired: 90.00K (3, 25)</t>
        </is>
      </c>
    </row>
    <row r="120">
      <c r="AM120" s="0" t="inlineStr">
        <is>
          <t>New Item Acquired: 150.00K (4, 17)</t>
        </is>
      </c>
    </row>
    <row r="121">
      <c r="AM121" s="0" t="inlineStr">
        <is>
          <t>New Item Acquired: Mini (7, 4)</t>
        </is>
      </c>
    </row>
    <row r="122">
      <c r="AM122" s="0" t="inlineStr">
        <is>
          <t>New Item Acquired: 120.00K (4, 10)</t>
        </is>
      </c>
    </row>
    <row r="123">
      <c r="AM123" s="0" t="inlineStr">
        <is>
          <t>New Item Acquired: 250.00K (5, 19)</t>
        </is>
      </c>
    </row>
    <row r="124">
      <c r="AM124" s="0" t="inlineStr">
        <is>
          <t>New Item Acquired: 100.00K (2, 6)</t>
        </is>
      </c>
    </row>
    <row r="125">
      <c r="AM125" s="0" t="inlineStr">
        <is>
          <t>New Item Acquired: 150.00K (3, 8)</t>
        </is>
      </c>
    </row>
    <row r="126">
      <c r="AM126" s="0" t="inlineStr">
        <is>
          <t>New Item Acquired: Minor (1, 14)</t>
        </is>
      </c>
    </row>
    <row r="127">
      <c r="AM127" s="0" t="inlineStr">
        <is>
          <t>New Item Acquired: 100.00K (1, 24)</t>
        </is>
      </c>
    </row>
    <row r="128">
      <c r="AM128" s="0" t="inlineStr">
        <is>
          <t>New Item Acquired: Mini (2, 15)</t>
        </is>
      </c>
    </row>
    <row r="129">
      <c r="AM129" s="0" t="inlineStr">
        <is>
          <t>New Item Acquired: 100.00K (1, 21)</t>
        </is>
      </c>
    </row>
    <row r="130">
      <c r="AM130" s="0" t="inlineStr">
        <is>
          <t>New Item Acquired: 30.00K (1, 7)</t>
        </is>
      </c>
    </row>
    <row r="131">
      <c r="AM131" s="0" t="inlineStr">
        <is>
          <t>New Item Acquired: Minor (2, 8)</t>
        </is>
      </c>
    </row>
    <row r="132">
      <c r="AM132" s="0" t="inlineStr">
        <is>
          <t>Line Prize Won: 1.50M (Stage : 2) - 1500000</t>
        </is>
      </c>
    </row>
    <row r="133">
      <c r="AM133" s="0" t="inlineStr">
        <is>
          <t>Clear Gem Acquired : 500 -&gt; 600 (Stage : 2)</t>
        </is>
      </c>
    </row>
    <row r="134">
      <c r="AM134" s="0" t="inlineStr">
        <is>
          <t>New Item Acquired: 300.00K (4, 15)</t>
        </is>
      </c>
    </row>
    <row r="135">
      <c r="AM135" s="0" t="inlineStr">
        <is>
          <t>New Item Acquired: 600.00K (6, 6)</t>
        </is>
      </c>
    </row>
    <row r="136">
      <c r="AM136" s="0" t="inlineStr">
        <is>
          <t>New Item Acquired: 350.00K (7, 17)</t>
        </is>
      </c>
    </row>
    <row r="137">
      <c r="AM137" s="0" t="inlineStr">
        <is>
          <t>New Item Acquired: 30.00K (1, 8)</t>
        </is>
      </c>
    </row>
    <row r="138">
      <c r="AM138" s="0" t="inlineStr">
        <is>
          <t>New Item Acquired: 50.00K (1, 17)</t>
        </is>
      </c>
    </row>
    <row r="139">
      <c r="AM139" s="0" t="inlineStr">
        <is>
          <t>New Item Acquired: 350.00K (7, 21)</t>
        </is>
      </c>
    </row>
    <row r="140">
      <c r="AM140" s="0" t="inlineStr">
        <is>
          <t>New Item Acquired: 600.00K (6, 8)</t>
        </is>
      </c>
    </row>
    <row r="141">
      <c r="AM141" s="0" t="inlineStr">
        <is>
          <t>New Item Acquired: 180.00K (6, 2)</t>
        </is>
      </c>
    </row>
    <row r="142">
      <c r="AM142" s="0" t="inlineStr">
        <is>
          <t>New Item Acquired: Minor (5, 11)</t>
        </is>
      </c>
    </row>
    <row r="143">
      <c r="AM143" s="0" t="inlineStr">
        <is>
          <t>New Item Acquired: 30.00K (1, 15)</t>
        </is>
      </c>
    </row>
    <row r="144">
      <c r="AM144" s="0" t="inlineStr">
        <is>
          <t>New Item Acquired: 100.00K (1, 10)</t>
        </is>
      </c>
    </row>
    <row r="145">
      <c r="AM145" s="0" t="inlineStr">
        <is>
          <t>New Item Acquired: 500.00K (5, 8)</t>
        </is>
      </c>
    </row>
    <row r="146">
      <c r="AM146" s="0" t="inlineStr">
        <is>
          <t>New Item Acquired: 100.00K (1, 22)</t>
        </is>
      </c>
    </row>
    <row r="147">
      <c r="AM147" s="0" t="inlineStr">
        <is>
          <t>New Item Acquired: 100.00K (2, 7)</t>
        </is>
      </c>
    </row>
    <row r="148">
      <c r="AM148" s="0" t="inlineStr">
        <is>
          <t>New Item Acquired: 90.00K (3, 11)</t>
        </is>
      </c>
    </row>
    <row r="149">
      <c r="AM149" s="0" t="inlineStr">
        <is>
          <t>New Item Acquired: 150.00K (3, 4)</t>
        </is>
      </c>
    </row>
    <row r="150">
      <c r="AM150" s="0" t="inlineStr">
        <is>
          <t>New Item Acquired: 150.00K (4, 2)</t>
        </is>
      </c>
    </row>
    <row r="151">
      <c r="AM151" s="0" t="inlineStr">
        <is>
          <t>New Item Acquired: 800.00K (8, 9)</t>
        </is>
      </c>
    </row>
    <row r="152">
      <c r="AM152" s="0" t="inlineStr">
        <is>
          <t>New Item Acquired: 150.00K (4, 20)</t>
        </is>
      </c>
    </row>
    <row r="153">
      <c r="AM153" s="0" t="inlineStr">
        <is>
          <t>New Item Acquired: 30.00K (1, 20)</t>
        </is>
      </c>
    </row>
    <row r="154">
      <c r="AM154" s="0" t="inlineStr">
        <is>
          <t>New Item Acquired: 90.00K (3, 3)</t>
        </is>
      </c>
    </row>
    <row r="155">
      <c r="AM155" s="0" t="inlineStr">
        <is>
          <t>New Item Acquired: 150.00K (4, 19)</t>
        </is>
      </c>
    </row>
    <row r="156">
      <c r="AM156" s="0" t="inlineStr">
        <is>
          <t>New Item Acquired: 100.00K (2, 23)</t>
        </is>
      </c>
    </row>
    <row r="157">
      <c r="AM157" s="0" t="inlineStr">
        <is>
          <t>New Item Acquired: 100.00K (2, 22)</t>
        </is>
      </c>
    </row>
    <row r="158">
      <c r="AM158" s="0" t="inlineStr">
        <is>
          <t>New Item Acquired: 100.00K (1, 19)</t>
        </is>
      </c>
    </row>
    <row r="159">
      <c r="AM159" s="0" t="inlineStr">
        <is>
          <t>Line Prize Won: 380.00K (Stage : 1) - 380000</t>
        </is>
      </c>
    </row>
    <row r="160">
      <c r="AM160" s="0" t="inlineStr">
        <is>
          <t>Clear Gem Acquired : 600 -&gt; 700 (Stage : 1)</t>
        </is>
      </c>
    </row>
    <row r="161">
      <c r="AM161" s="0" t="inlineStr">
        <is>
          <t>New Item Acquired: 150.00K (3, 15)</t>
        </is>
      </c>
    </row>
    <row r="162">
      <c r="AM162" s="0" t="inlineStr">
        <is>
          <t>Line Prize Won: 1.44M (Stage : 3) - 1440000</t>
        </is>
      </c>
    </row>
    <row r="163">
      <c r="AM163" s="0" t="inlineStr">
        <is>
          <t>Clear Gem Acquired : 700 -&gt; 800 (Stage : 3)</t>
        </is>
      </c>
    </row>
    <row r="164">
      <c r="AM164" s="0" t="inlineStr">
        <is>
          <t>New Item Acquired: 150.00K (5, 3)</t>
        </is>
      </c>
    </row>
    <row r="165">
      <c r="AM165" s="0" t="inlineStr">
        <is>
          <t>New Item Acquired: 90.00K (3, 3)</t>
        </is>
      </c>
    </row>
    <row r="166">
      <c r="AM166" s="0" t="inlineStr">
        <is>
          <t>New Item Acquired: 120.00K (4, 9)</t>
        </is>
      </c>
    </row>
    <row r="167">
      <c r="AM167" s="0" t="inlineStr">
        <is>
          <t>New Item Acquired: 50.00K (1, 21)</t>
        </is>
      </c>
    </row>
    <row r="168">
      <c r="AM168" s="0" t="inlineStr">
        <is>
          <t>New Item Acquired: 100.00K (2, 25)</t>
        </is>
      </c>
    </row>
    <row r="169">
      <c r="AM169" s="0" t="inlineStr">
        <is>
          <t>New Item Acquired: 150.00K (3, 18)</t>
        </is>
      </c>
    </row>
    <row r="170">
      <c r="AM170" s="0" t="inlineStr">
        <is>
          <t>New Item Acquired: 300.00K (3, 5)</t>
        </is>
      </c>
    </row>
    <row r="171">
      <c r="AM171" s="0" t="inlineStr">
        <is>
          <t>New Item Acquired: 300.00K (3, 10)</t>
        </is>
      </c>
    </row>
    <row r="172">
      <c r="AM172" s="0" t="inlineStr">
        <is>
          <t>New Item Acquired: Minor (3, 4)</t>
        </is>
      </c>
    </row>
    <row r="173">
      <c r="AM173" s="0" t="inlineStr">
        <is>
          <t>New Item Acquired: 60.00K (2, 15)</t>
        </is>
      </c>
    </row>
    <row r="174">
      <c r="AM174" s="0" t="inlineStr">
        <is>
          <t>New Item Acquired: 180.00K (6, 23)</t>
        </is>
      </c>
    </row>
    <row r="175">
      <c r="AM175" s="0" t="inlineStr">
        <is>
          <t>New Item Acquired: 100.00K (2, 20)</t>
        </is>
      </c>
    </row>
    <row r="176">
      <c r="AM176" s="0" t="inlineStr">
        <is>
          <t>New Item Acquired: 120.00K (4, 16)</t>
        </is>
      </c>
    </row>
    <row r="177">
      <c r="AM177" s="0" t="inlineStr">
        <is>
          <t>New Item Acquired: 120.00K (4, 12)</t>
        </is>
      </c>
    </row>
    <row r="178">
      <c r="AM178" s="0" t="inlineStr">
        <is>
          <t>New Item Acquired: 300.00K (4, 8)</t>
        </is>
      </c>
    </row>
    <row r="179">
      <c r="AM179" s="0" t="inlineStr">
        <is>
          <t>New Item Acquired: 800.00K (8, 3)</t>
        </is>
      </c>
    </row>
    <row r="180">
      <c r="AM180" s="0" t="inlineStr">
        <is>
          <t>New Item Acquired: Minor (3, 20)</t>
        </is>
      </c>
    </row>
    <row r="181">
      <c r="AM181" s="0" t="inlineStr">
        <is>
          <t>New Item Acquired: 100.00K (1, 24)</t>
        </is>
      </c>
    </row>
    <row r="182">
      <c r="AM182" s="0" t="inlineStr">
        <is>
          <t>New Item Acquired: Minor (5, 16)</t>
        </is>
      </c>
    </row>
    <row r="183">
      <c r="AM183" s="0" t="inlineStr">
        <is>
          <t>New Item Acquired: 100.00K (1, 17)</t>
        </is>
      </c>
    </row>
  </sheetData>
  <mergeCells count="1">
    <mergeCell ref="A1:A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</dc:creator>
  <dcterms:created xmlns:dcterms="http://purl.org/dc/terms/" xmlns:xsi="http://www.w3.org/2001/XMLSchema-instance" xsi:type="dcterms:W3CDTF">2020-12-18T08:20:00Z</dcterms:created>
  <dcterms:modified xmlns:dcterms="http://purl.org/dc/terms/" xmlns:xsi="http://www.w3.org/2001/XMLSchema-instance" xsi:type="dcterms:W3CDTF">2026-03-13T23:03:27Z</dcterms:modified>
  <cp:lastModifiedBy>Juwon Lee</cp:lastModifiedBy>
</cp:coreProperties>
</file>